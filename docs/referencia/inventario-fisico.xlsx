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Negocios\ORVANN\orvann-gestion\docs\referencia\"/>
    </mc:Choice>
  </mc:AlternateContent>
  <xr:revisionPtr revIDLastSave="0" documentId="13_ncr:1_{19E174A9-92FD-44C8-A862-FEA95A3212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ventario fisico" sheetId="1" r:id="rId1"/>
  </sheets>
  <definedNames>
    <definedName name="_xlnm._FilterDatabase" localSheetId="0" hidden="1">'Inventario fisico'!$A$2:$P$2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" i="1" l="1"/>
  <c r="K1" i="1"/>
  <c r="J1" i="1"/>
</calcChain>
</file>

<file path=xl/sharedStrings.xml><?xml version="1.0" encoding="utf-8"?>
<sst xmlns="http://schemas.openxmlformats.org/spreadsheetml/2006/main" count="793" uniqueCount="83">
  <si>
    <t>Tipo</t>
  </si>
  <si>
    <t>Producto_base</t>
  </si>
  <si>
    <t>Color</t>
  </si>
  <si>
    <t>Talla</t>
  </si>
  <si>
    <t>Diseño</t>
  </si>
  <si>
    <t>Cantidad</t>
  </si>
  <si>
    <t>Costo_unit</t>
  </si>
  <si>
    <t>Precio_venta</t>
  </si>
  <si>
    <t>Observación</t>
  </si>
  <si>
    <t>Camisa Oversize Peruana</t>
  </si>
  <si>
    <t>Negro</t>
  </si>
  <si>
    <t>S</t>
  </si>
  <si>
    <t>Fragancia</t>
  </si>
  <si>
    <t>Pulp Fiction</t>
  </si>
  <si>
    <t>Accesorio</t>
  </si>
  <si>
    <t>Dorada</t>
  </si>
  <si>
    <t>Estampado Punto Corazón</t>
  </si>
  <si>
    <t>Bordado Punto Corazón</t>
  </si>
  <si>
    <t>Estampado Completo</t>
  </si>
  <si>
    <t>SI</t>
  </si>
  <si>
    <t>NO</t>
  </si>
  <si>
    <t>Prenda</t>
  </si>
  <si>
    <t>SKU</t>
  </si>
  <si>
    <t>Buzo Cuello Redondo Oversized</t>
  </si>
  <si>
    <t>Chompa Capucha</t>
  </si>
  <si>
    <t>M</t>
  </si>
  <si>
    <t>XXL</t>
  </si>
  <si>
    <t>L</t>
  </si>
  <si>
    <t>Perla</t>
  </si>
  <si>
    <t>Beige</t>
  </si>
  <si>
    <t>XL</t>
  </si>
  <si>
    <t>Café</t>
  </si>
  <si>
    <t>Jhon Wick</t>
  </si>
  <si>
    <t>Camisa Boxy fit</t>
  </si>
  <si>
    <t>Camisa Réplica 1.1</t>
  </si>
  <si>
    <t>Camisa Regular Peruana</t>
  </si>
  <si>
    <t>Acid Wash Gris</t>
  </si>
  <si>
    <t>Gris</t>
  </si>
  <si>
    <t>Camisa Réplica Y/Out</t>
  </si>
  <si>
    <t>Blanco</t>
  </si>
  <si>
    <t>Kobe Bryant</t>
  </si>
  <si>
    <t>Sudadera Bota Recta</t>
  </si>
  <si>
    <t>Jogger Largo</t>
  </si>
  <si>
    <t>Pantaloneta</t>
  </si>
  <si>
    <t>Chaqueta Cortavientos</t>
  </si>
  <si>
    <t>Gris Claro/Negro</t>
  </si>
  <si>
    <t>Gris Oscuro</t>
  </si>
  <si>
    <t>Gris Claro</t>
  </si>
  <si>
    <t>Willie Colón</t>
  </si>
  <si>
    <t>Eminem</t>
  </si>
  <si>
    <t>220gr</t>
  </si>
  <si>
    <t>Diomedez</t>
  </si>
  <si>
    <t>Reserva</t>
  </si>
  <si>
    <t>Azul</t>
  </si>
  <si>
    <t>Malas condiciones</t>
  </si>
  <si>
    <t>Mostaza/Negro</t>
  </si>
  <si>
    <t>Rascador Mediano</t>
  </si>
  <si>
    <t>Rosa</t>
  </si>
  <si>
    <t>Rascador Galleta</t>
  </si>
  <si>
    <t>Amarillo</t>
  </si>
  <si>
    <t>Candela</t>
  </si>
  <si>
    <t>Rascador Metal Relieve</t>
  </si>
  <si>
    <t>Rascador Metal 4cm</t>
  </si>
  <si>
    <t>Rascador Metal 6cm</t>
  </si>
  <si>
    <t>Candela Soplete Baraja</t>
  </si>
  <si>
    <t>Candela Tipo Cigarrilos</t>
  </si>
  <si>
    <t>Navaja Grande</t>
  </si>
  <si>
    <t>Navaja Automatica</t>
  </si>
  <si>
    <t>Consumible</t>
  </si>
  <si>
    <t>Vaporizador Orion</t>
  </si>
  <si>
    <t>Vaporizador Singa</t>
  </si>
  <si>
    <t>Vaporizador Pync</t>
  </si>
  <si>
    <t>Eros 100mg</t>
  </si>
  <si>
    <t>2/2 HM 3.4</t>
  </si>
  <si>
    <t>Lacoste Blanca</t>
  </si>
  <si>
    <t>Yara Elixir</t>
  </si>
  <si>
    <t>Yara</t>
  </si>
  <si>
    <t>Rascador Calavera Vidrio</t>
  </si>
  <si>
    <t>Verde</t>
  </si>
  <si>
    <t>Shutter Island</t>
  </si>
  <si>
    <t>Hector Lavoe</t>
  </si>
  <si>
    <t>Fecha Act</t>
  </si>
  <si>
    <t>250gr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</si>
</sst>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5685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8" fillId="33" borderId="11" xfId="0" applyFont="1" applyFill="1" applyBorder="1" applyAlignment="1">
      <alignment horizontal="center" vertical="center"/>
    </xf>
    <xf numFmtId="14" fontId="0" fillId="0" borderId="0" xfId="0" applyNumberFormat="1"/>
    <xf numFmtId="164" fontId="18" fillId="33" borderId="10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164" fontId="0" fillId="0" borderId="0" xfId="1" applyNumberFormat="1" applyFont="1" applyFill="1" applyAlignment="1">
      <alignment vertical="center"/>
    </xf>
    <xf numFmtId="0" fontId="19" fillId="0" borderId="0" xfId="0" applyFont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5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ED1C11-65A3-4A46-8769-E4D776BDF1D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723c3b8-c28b-42e9-bcd3-3b145394d46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tabSelected="1" zoomScale="70" zoomScaleNormal="70" workbookViewId="0">
      <pane ySplit="2" topLeftCell="A3" activePane="bottomLeft" state="frozen"/>
      <selection pane="bottomLeft" activeCell="M135" sqref="M135"/>
    </sheetView>
  </sheetViews>
  <sheetFormatPr baseColWidth="10" defaultRowHeight="14.4" x14ac:dyDescent="0.3"/>
  <cols>
    <col min="1" max="1" width="11.33203125" style="2" bestFit="1" customWidth="1"/>
    <col min="2" max="2" width="10.77734375" style="2" bestFit="1" customWidth="1"/>
    <col min="3" max="3" width="28.6640625" style="2" bestFit="1" customWidth="1"/>
    <col min="4" max="4" width="15.77734375" style="2" bestFit="1" customWidth="1"/>
    <col min="5" max="5" width="11.21875" style="2" bestFit="1" customWidth="1"/>
    <col min="6" max="6" width="13.33203125" style="2" bestFit="1" customWidth="1"/>
    <col min="7" max="7" width="30.44140625" style="2" bestFit="1" customWidth="1"/>
    <col min="8" max="8" width="28" style="2" bestFit="1" customWidth="1"/>
    <col min="9" max="9" width="26.109375" style="2" bestFit="1" customWidth="1"/>
    <col min="10" max="10" width="16.33203125" style="6" bestFit="1" customWidth="1"/>
    <col min="11" max="11" width="18" style="6" bestFit="1" customWidth="1"/>
    <col min="12" max="12" width="20" style="6" bestFit="1" customWidth="1"/>
    <col min="13" max="13" width="26.88671875" style="2" bestFit="1" customWidth="1"/>
    <col min="14" max="14" width="4.21875" customWidth="1"/>
    <col min="15" max="15" width="15.6640625" bestFit="1" customWidth="1"/>
    <col min="16" max="16" width="11.5546875" bestFit="1" customWidth="1"/>
  </cols>
  <sheetData>
    <row r="1" spans="1:16" ht="15" thickBot="1" x14ac:dyDescent="0.35">
      <c r="J1" s="6">
        <f>+SUM(J3:J1048576)</f>
        <v>219</v>
      </c>
      <c r="K1" s="6">
        <f>+SUMPRODUCT($J$3:$J$1048576,K3:K1048576)</f>
        <v>8458000</v>
      </c>
      <c r="L1" s="6">
        <f>+SUMPRODUCT($J$3:$J$1048576,L3:L1048576)</f>
        <v>19915000</v>
      </c>
    </row>
    <row r="2" spans="1:16" ht="15" thickBot="1" x14ac:dyDescent="0.35">
      <c r="A2" s="1" t="s">
        <v>0</v>
      </c>
      <c r="B2" s="1" t="s">
        <v>22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16</v>
      </c>
      <c r="H2" s="1" t="s">
        <v>17</v>
      </c>
      <c r="I2" s="1" t="s">
        <v>18</v>
      </c>
      <c r="J2" s="5" t="s">
        <v>5</v>
      </c>
      <c r="K2" s="5" t="s">
        <v>6</v>
      </c>
      <c r="L2" s="5" t="s">
        <v>7</v>
      </c>
      <c r="M2" s="1" t="s">
        <v>8</v>
      </c>
      <c r="O2" s="3" t="s">
        <v>81</v>
      </c>
      <c r="P2" s="4">
        <v>46135</v>
      </c>
    </row>
    <row r="3" spans="1:16" x14ac:dyDescent="0.3">
      <c r="A3" s="2" t="s">
        <v>21</v>
      </c>
      <c r="C3" s="2" t="s">
        <v>23</v>
      </c>
      <c r="D3" s="2" t="s">
        <v>10</v>
      </c>
      <c r="E3" s="2" t="s">
        <v>27</v>
      </c>
      <c r="G3" s="2" t="s">
        <v>20</v>
      </c>
      <c r="H3" s="2" t="s">
        <v>20</v>
      </c>
      <c r="I3" s="2" t="s">
        <v>20</v>
      </c>
      <c r="J3" s="7">
        <v>4</v>
      </c>
      <c r="K3" s="7">
        <v>55000</v>
      </c>
      <c r="L3" s="7">
        <v>120000</v>
      </c>
      <c r="N3" s="8"/>
    </row>
    <row r="4" spans="1:16" x14ac:dyDescent="0.3">
      <c r="A4" s="2" t="s">
        <v>21</v>
      </c>
      <c r="C4" s="2" t="s">
        <v>23</v>
      </c>
      <c r="D4" s="2" t="s">
        <v>29</v>
      </c>
      <c r="E4" s="2" t="s">
        <v>27</v>
      </c>
      <c r="G4" s="2" t="s">
        <v>20</v>
      </c>
      <c r="H4" s="2" t="s">
        <v>20</v>
      </c>
      <c r="I4" s="2" t="s">
        <v>20</v>
      </c>
      <c r="J4" s="7">
        <v>3</v>
      </c>
      <c r="K4" s="7">
        <v>55000</v>
      </c>
      <c r="L4" s="7">
        <v>120000</v>
      </c>
      <c r="N4" s="8"/>
    </row>
    <row r="5" spans="1:16" x14ac:dyDescent="0.3">
      <c r="A5" s="2" t="s">
        <v>21</v>
      </c>
      <c r="C5" s="2" t="s">
        <v>23</v>
      </c>
      <c r="D5" s="2" t="s">
        <v>31</v>
      </c>
      <c r="E5" s="2" t="s">
        <v>27</v>
      </c>
      <c r="G5" s="2" t="s">
        <v>20</v>
      </c>
      <c r="H5" s="2" t="s">
        <v>20</v>
      </c>
      <c r="I5" s="2" t="s">
        <v>20</v>
      </c>
      <c r="J5" s="7">
        <v>1</v>
      </c>
      <c r="K5" s="7">
        <v>55000</v>
      </c>
      <c r="L5" s="7">
        <v>120000</v>
      </c>
    </row>
    <row r="6" spans="1:16" x14ac:dyDescent="0.3">
      <c r="A6" s="2" t="s">
        <v>21</v>
      </c>
      <c r="C6" s="2" t="s">
        <v>23</v>
      </c>
      <c r="D6" s="2" t="s">
        <v>31</v>
      </c>
      <c r="E6" s="2" t="s">
        <v>25</v>
      </c>
      <c r="G6" s="2" t="s">
        <v>20</v>
      </c>
      <c r="H6" s="2" t="s">
        <v>20</v>
      </c>
      <c r="I6" s="2" t="s">
        <v>20</v>
      </c>
      <c r="J6" s="7">
        <v>1</v>
      </c>
      <c r="K6" s="7">
        <v>55000</v>
      </c>
      <c r="L6" s="7">
        <v>120000</v>
      </c>
    </row>
    <row r="7" spans="1:16" x14ac:dyDescent="0.3">
      <c r="A7" s="2" t="s">
        <v>21</v>
      </c>
      <c r="C7" s="2" t="s">
        <v>23</v>
      </c>
      <c r="D7" s="2" t="s">
        <v>29</v>
      </c>
      <c r="E7" s="2" t="s">
        <v>30</v>
      </c>
      <c r="G7" s="2" t="s">
        <v>20</v>
      </c>
      <c r="H7" s="2" t="s">
        <v>20</v>
      </c>
      <c r="I7" s="2" t="s">
        <v>20</v>
      </c>
      <c r="J7" s="7">
        <v>2</v>
      </c>
      <c r="K7" s="7">
        <v>55000</v>
      </c>
      <c r="L7" s="7">
        <v>120000</v>
      </c>
      <c r="N7" s="8"/>
    </row>
    <row r="8" spans="1:16" x14ac:dyDescent="0.3">
      <c r="A8" s="2" t="s">
        <v>21</v>
      </c>
      <c r="C8" s="2" t="s">
        <v>23</v>
      </c>
      <c r="D8" s="2" t="s">
        <v>29</v>
      </c>
      <c r="E8" s="2" t="s">
        <v>30</v>
      </c>
      <c r="F8" s="2" t="s">
        <v>13</v>
      </c>
      <c r="G8" s="2" t="s">
        <v>19</v>
      </c>
      <c r="H8" s="2" t="s">
        <v>20</v>
      </c>
      <c r="I8" s="2" t="s">
        <v>19</v>
      </c>
      <c r="J8" s="7">
        <v>1</v>
      </c>
      <c r="K8" s="7"/>
      <c r="L8" s="7">
        <v>120000</v>
      </c>
    </row>
    <row r="9" spans="1:16" x14ac:dyDescent="0.3">
      <c r="A9" s="2" t="s">
        <v>21</v>
      </c>
      <c r="C9" s="2" t="s">
        <v>23</v>
      </c>
      <c r="D9" s="2" t="s">
        <v>31</v>
      </c>
      <c r="E9" s="2" t="s">
        <v>30</v>
      </c>
      <c r="G9" s="2" t="s">
        <v>20</v>
      </c>
      <c r="H9" s="2" t="s">
        <v>20</v>
      </c>
      <c r="I9" s="2" t="s">
        <v>20</v>
      </c>
      <c r="J9" s="7">
        <v>2</v>
      </c>
      <c r="K9" s="7">
        <v>55000</v>
      </c>
      <c r="L9" s="7">
        <v>120000</v>
      </c>
      <c r="N9" s="8"/>
    </row>
    <row r="10" spans="1:16" x14ac:dyDescent="0.3">
      <c r="A10" s="2" t="s">
        <v>21</v>
      </c>
      <c r="C10" s="2" t="s">
        <v>23</v>
      </c>
      <c r="D10" s="2" t="s">
        <v>10</v>
      </c>
      <c r="E10" s="2" t="s">
        <v>30</v>
      </c>
      <c r="G10" s="2" t="s">
        <v>20</v>
      </c>
      <c r="H10" s="2" t="s">
        <v>20</v>
      </c>
      <c r="I10" s="2" t="s">
        <v>20</v>
      </c>
      <c r="J10" s="7">
        <v>2</v>
      </c>
      <c r="K10" s="7">
        <v>55000</v>
      </c>
      <c r="L10" s="7">
        <v>120000</v>
      </c>
    </row>
    <row r="11" spans="1:16" x14ac:dyDescent="0.3">
      <c r="A11" s="2" t="s">
        <v>21</v>
      </c>
      <c r="C11" s="2" t="s">
        <v>23</v>
      </c>
      <c r="D11" s="2" t="s">
        <v>10</v>
      </c>
      <c r="E11" s="2" t="s">
        <v>26</v>
      </c>
      <c r="G11" s="2" t="s">
        <v>20</v>
      </c>
      <c r="H11" s="2" t="s">
        <v>20</v>
      </c>
      <c r="I11" s="2" t="s">
        <v>20</v>
      </c>
      <c r="J11" s="7">
        <v>1</v>
      </c>
      <c r="K11" s="7">
        <v>55000</v>
      </c>
      <c r="L11" s="7">
        <v>120000</v>
      </c>
    </row>
    <row r="12" spans="1:16" x14ac:dyDescent="0.3">
      <c r="A12" s="2" t="s">
        <v>21</v>
      </c>
      <c r="C12" s="2" t="s">
        <v>23</v>
      </c>
      <c r="D12" s="2" t="s">
        <v>29</v>
      </c>
      <c r="E12" s="2" t="s">
        <v>26</v>
      </c>
      <c r="G12" s="2" t="s">
        <v>20</v>
      </c>
      <c r="H12" s="2" t="s">
        <v>20</v>
      </c>
      <c r="I12" s="2" t="s">
        <v>20</v>
      </c>
      <c r="J12" s="7">
        <v>1</v>
      </c>
      <c r="K12" s="7">
        <v>55000</v>
      </c>
      <c r="L12" s="7">
        <v>120000</v>
      </c>
      <c r="N12" s="8"/>
    </row>
    <row r="13" spans="1:16" x14ac:dyDescent="0.3">
      <c r="A13" s="2" t="s">
        <v>21</v>
      </c>
      <c r="C13" s="2" t="s">
        <v>33</v>
      </c>
      <c r="D13" s="2" t="s">
        <v>37</v>
      </c>
      <c r="E13" s="2" t="s">
        <v>27</v>
      </c>
      <c r="G13" s="2" t="s">
        <v>20</v>
      </c>
      <c r="H13" s="2" t="s">
        <v>19</v>
      </c>
      <c r="I13" s="2" t="s">
        <v>20</v>
      </c>
      <c r="J13" s="7">
        <v>1</v>
      </c>
      <c r="K13" s="7">
        <v>37000</v>
      </c>
      <c r="L13" s="7">
        <v>75000</v>
      </c>
    </row>
    <row r="14" spans="1:16" x14ac:dyDescent="0.3">
      <c r="A14" s="2" t="s">
        <v>21</v>
      </c>
      <c r="C14" s="2" t="s">
        <v>33</v>
      </c>
      <c r="D14" s="2" t="s">
        <v>10</v>
      </c>
      <c r="E14" s="2" t="s">
        <v>27</v>
      </c>
      <c r="G14" s="2" t="s">
        <v>20</v>
      </c>
      <c r="H14" s="2" t="s">
        <v>20</v>
      </c>
      <c r="I14" s="2" t="s">
        <v>20</v>
      </c>
      <c r="J14" s="7">
        <v>2</v>
      </c>
      <c r="K14" s="7">
        <v>37000</v>
      </c>
      <c r="L14" s="7">
        <v>75000</v>
      </c>
      <c r="N14" s="8"/>
    </row>
    <row r="15" spans="1:16" x14ac:dyDescent="0.3">
      <c r="A15" s="2" t="s">
        <v>21</v>
      </c>
      <c r="C15" s="2" t="s">
        <v>33</v>
      </c>
      <c r="D15" s="2" t="s">
        <v>39</v>
      </c>
      <c r="E15" s="2" t="s">
        <v>27</v>
      </c>
      <c r="G15" s="2" t="s">
        <v>20</v>
      </c>
      <c r="H15" s="2" t="s">
        <v>20</v>
      </c>
      <c r="I15" s="2" t="s">
        <v>20</v>
      </c>
      <c r="J15" s="7">
        <v>1</v>
      </c>
      <c r="K15" s="7">
        <v>37000</v>
      </c>
      <c r="L15" s="7">
        <v>75000</v>
      </c>
      <c r="N15" s="8"/>
    </row>
    <row r="16" spans="1:16" x14ac:dyDescent="0.3">
      <c r="A16" s="2" t="s">
        <v>21</v>
      </c>
      <c r="C16" s="2" t="s">
        <v>33</v>
      </c>
      <c r="D16" s="2" t="s">
        <v>37</v>
      </c>
      <c r="E16" s="2" t="s">
        <v>27</v>
      </c>
      <c r="G16" s="2" t="s">
        <v>20</v>
      </c>
      <c r="H16" s="2" t="s">
        <v>20</v>
      </c>
      <c r="I16" s="2" t="s">
        <v>20</v>
      </c>
      <c r="J16" s="7">
        <v>7</v>
      </c>
      <c r="K16" s="7">
        <v>37000</v>
      </c>
      <c r="L16" s="7">
        <v>75000</v>
      </c>
    </row>
    <row r="17" spans="1:14" x14ac:dyDescent="0.3">
      <c r="A17" s="2" t="s">
        <v>21</v>
      </c>
      <c r="C17" s="2" t="s">
        <v>33</v>
      </c>
      <c r="D17" s="2" t="s">
        <v>10</v>
      </c>
      <c r="E17" s="2" t="s">
        <v>25</v>
      </c>
      <c r="G17" s="2" t="s">
        <v>20</v>
      </c>
      <c r="H17" s="2" t="s">
        <v>20</v>
      </c>
      <c r="I17" s="2" t="s">
        <v>20</v>
      </c>
      <c r="J17" s="7">
        <v>1</v>
      </c>
      <c r="K17" s="7">
        <v>37000</v>
      </c>
      <c r="L17" s="7">
        <v>75000</v>
      </c>
    </row>
    <row r="18" spans="1:14" x14ac:dyDescent="0.3">
      <c r="A18" s="2" t="s">
        <v>21</v>
      </c>
      <c r="C18" s="2" t="s">
        <v>33</v>
      </c>
      <c r="D18" s="2" t="s">
        <v>39</v>
      </c>
      <c r="E18" s="2" t="s">
        <v>25</v>
      </c>
      <c r="F18" s="2" t="s">
        <v>40</v>
      </c>
      <c r="G18" s="2" t="s">
        <v>19</v>
      </c>
      <c r="H18" s="2" t="s">
        <v>20</v>
      </c>
      <c r="I18" s="2" t="s">
        <v>19</v>
      </c>
      <c r="J18" s="7">
        <v>1</v>
      </c>
      <c r="K18" s="7"/>
      <c r="L18" s="7">
        <v>120000</v>
      </c>
    </row>
    <row r="19" spans="1:14" x14ac:dyDescent="0.3">
      <c r="A19" s="2" t="s">
        <v>21</v>
      </c>
      <c r="C19" s="2" t="s">
        <v>33</v>
      </c>
      <c r="D19" s="2" t="s">
        <v>10</v>
      </c>
      <c r="E19" s="2" t="s">
        <v>25</v>
      </c>
      <c r="F19" s="2" t="s">
        <v>49</v>
      </c>
      <c r="G19" s="2" t="s">
        <v>20</v>
      </c>
      <c r="H19" s="2" t="s">
        <v>19</v>
      </c>
      <c r="I19" s="2" t="s">
        <v>19</v>
      </c>
      <c r="J19" s="7">
        <v>1</v>
      </c>
      <c r="K19" s="7"/>
      <c r="L19" s="7">
        <v>120000</v>
      </c>
      <c r="N19" s="8"/>
    </row>
    <row r="20" spans="1:14" x14ac:dyDescent="0.3">
      <c r="A20" s="2" t="s">
        <v>21</v>
      </c>
      <c r="C20" s="2" t="s">
        <v>33</v>
      </c>
      <c r="D20" s="2" t="s">
        <v>10</v>
      </c>
      <c r="E20" s="2" t="s">
        <v>25</v>
      </c>
      <c r="G20" s="2" t="s">
        <v>20</v>
      </c>
      <c r="H20" s="2" t="s">
        <v>20</v>
      </c>
      <c r="I20" s="2" t="s">
        <v>20</v>
      </c>
      <c r="J20" s="7">
        <v>1</v>
      </c>
      <c r="K20" s="7">
        <v>37000</v>
      </c>
      <c r="L20" s="7">
        <v>120000</v>
      </c>
    </row>
    <row r="21" spans="1:14" x14ac:dyDescent="0.3">
      <c r="A21" s="2" t="s">
        <v>21</v>
      </c>
      <c r="C21" s="2" t="s">
        <v>33</v>
      </c>
      <c r="D21" s="2" t="s">
        <v>53</v>
      </c>
      <c r="E21" s="2" t="s">
        <v>25</v>
      </c>
      <c r="G21" s="2" t="s">
        <v>20</v>
      </c>
      <c r="H21" s="2" t="s">
        <v>20</v>
      </c>
      <c r="I21" s="2" t="s">
        <v>20</v>
      </c>
      <c r="J21" s="7">
        <v>1</v>
      </c>
      <c r="K21" s="7">
        <v>30000</v>
      </c>
      <c r="L21" s="7">
        <v>75000</v>
      </c>
      <c r="M21" s="2" t="s">
        <v>50</v>
      </c>
    </row>
    <row r="22" spans="1:14" x14ac:dyDescent="0.3">
      <c r="A22" s="2" t="s">
        <v>21</v>
      </c>
      <c r="C22" s="2" t="s">
        <v>33</v>
      </c>
      <c r="D22" s="2" t="s">
        <v>37</v>
      </c>
      <c r="E22" s="2" t="s">
        <v>25</v>
      </c>
      <c r="G22" s="2" t="s">
        <v>20</v>
      </c>
      <c r="H22" s="2" t="s">
        <v>20</v>
      </c>
      <c r="I22" s="2" t="s">
        <v>20</v>
      </c>
      <c r="J22" s="7">
        <v>1</v>
      </c>
      <c r="K22" s="7">
        <v>37000</v>
      </c>
      <c r="L22" s="7">
        <v>75000</v>
      </c>
      <c r="N22" s="8"/>
    </row>
    <row r="23" spans="1:14" x14ac:dyDescent="0.3">
      <c r="A23" s="2" t="s">
        <v>21</v>
      </c>
      <c r="C23" s="2" t="s">
        <v>33</v>
      </c>
      <c r="D23" s="2" t="s">
        <v>37</v>
      </c>
      <c r="E23" s="2" t="s">
        <v>25</v>
      </c>
      <c r="G23" s="2" t="s">
        <v>20</v>
      </c>
      <c r="H23" s="2" t="s">
        <v>20</v>
      </c>
      <c r="I23" s="2" t="s">
        <v>20</v>
      </c>
      <c r="J23" s="7">
        <v>2</v>
      </c>
      <c r="K23" s="7">
        <v>30000</v>
      </c>
      <c r="L23" s="7">
        <v>75000</v>
      </c>
      <c r="M23" s="2" t="s">
        <v>50</v>
      </c>
      <c r="N23" s="8"/>
    </row>
    <row r="24" spans="1:14" x14ac:dyDescent="0.3">
      <c r="A24" s="2" t="s">
        <v>21</v>
      </c>
      <c r="C24" s="2" t="s">
        <v>33</v>
      </c>
      <c r="D24" s="2" t="s">
        <v>39</v>
      </c>
      <c r="E24" s="2" t="s">
        <v>25</v>
      </c>
      <c r="G24" s="2" t="s">
        <v>20</v>
      </c>
      <c r="H24" s="2" t="s">
        <v>20</v>
      </c>
      <c r="I24" s="2" t="s">
        <v>20</v>
      </c>
      <c r="J24" s="7">
        <v>1</v>
      </c>
      <c r="K24" s="7">
        <v>37000</v>
      </c>
      <c r="L24" s="7">
        <v>75000</v>
      </c>
      <c r="N24" s="8"/>
    </row>
    <row r="25" spans="1:14" x14ac:dyDescent="0.3">
      <c r="A25" s="2" t="s">
        <v>21</v>
      </c>
      <c r="C25" s="2" t="s">
        <v>33</v>
      </c>
      <c r="D25" s="2" t="s">
        <v>10</v>
      </c>
      <c r="E25" s="2" t="s">
        <v>11</v>
      </c>
      <c r="G25" s="2" t="s">
        <v>20</v>
      </c>
      <c r="H25" s="2" t="s">
        <v>20</v>
      </c>
      <c r="I25" s="2" t="s">
        <v>20</v>
      </c>
      <c r="J25" s="7">
        <v>1</v>
      </c>
      <c r="K25" s="7">
        <v>37000</v>
      </c>
      <c r="L25" s="7">
        <v>75000</v>
      </c>
    </row>
    <row r="26" spans="1:14" x14ac:dyDescent="0.3">
      <c r="A26" s="2" t="s">
        <v>21</v>
      </c>
      <c r="C26" s="2" t="s">
        <v>9</v>
      </c>
      <c r="D26" s="2" t="s">
        <v>10</v>
      </c>
      <c r="E26" s="2" t="s">
        <v>27</v>
      </c>
      <c r="G26" s="2" t="s">
        <v>20</v>
      </c>
      <c r="H26" s="2" t="s">
        <v>20</v>
      </c>
      <c r="I26" s="2" t="s">
        <v>20</v>
      </c>
      <c r="J26" s="7">
        <v>4</v>
      </c>
      <c r="K26" s="7">
        <v>37000</v>
      </c>
      <c r="L26" s="7">
        <v>75000</v>
      </c>
      <c r="N26" s="8"/>
    </row>
    <row r="27" spans="1:14" x14ac:dyDescent="0.3">
      <c r="A27" s="2" t="s">
        <v>21</v>
      </c>
      <c r="C27" s="2" t="s">
        <v>9</v>
      </c>
      <c r="D27" s="2" t="s">
        <v>39</v>
      </c>
      <c r="E27" s="2" t="s">
        <v>27</v>
      </c>
      <c r="F27" s="2" t="s">
        <v>40</v>
      </c>
      <c r="G27" s="2" t="s">
        <v>19</v>
      </c>
      <c r="H27" s="2" t="s">
        <v>20</v>
      </c>
      <c r="I27" s="2" t="s">
        <v>19</v>
      </c>
      <c r="J27" s="7">
        <v>1</v>
      </c>
      <c r="K27" s="7"/>
      <c r="L27" s="7">
        <v>120000</v>
      </c>
    </row>
    <row r="28" spans="1:14" x14ac:dyDescent="0.3">
      <c r="A28" s="2" t="s">
        <v>21</v>
      </c>
      <c r="C28" s="2" t="s">
        <v>9</v>
      </c>
      <c r="D28" s="2" t="s">
        <v>39</v>
      </c>
      <c r="E28" s="2" t="s">
        <v>27</v>
      </c>
      <c r="G28" s="2" t="s">
        <v>19</v>
      </c>
      <c r="H28" s="2" t="s">
        <v>20</v>
      </c>
      <c r="I28" s="2" t="s">
        <v>20</v>
      </c>
      <c r="J28" s="7">
        <v>1</v>
      </c>
      <c r="K28" s="7"/>
      <c r="L28" s="7">
        <v>120000</v>
      </c>
    </row>
    <row r="29" spans="1:14" x14ac:dyDescent="0.3">
      <c r="A29" s="2" t="s">
        <v>21</v>
      </c>
      <c r="C29" s="2" t="s">
        <v>9</v>
      </c>
      <c r="D29" s="2" t="s">
        <v>39</v>
      </c>
      <c r="E29" s="2" t="s">
        <v>27</v>
      </c>
      <c r="G29" s="2" t="s">
        <v>20</v>
      </c>
      <c r="H29" s="2" t="s">
        <v>20</v>
      </c>
      <c r="I29" s="2" t="s">
        <v>20</v>
      </c>
      <c r="J29" s="7">
        <v>2</v>
      </c>
      <c r="K29" s="7">
        <v>37000</v>
      </c>
      <c r="L29" s="7">
        <v>75000</v>
      </c>
      <c r="N29" s="8"/>
    </row>
    <row r="30" spans="1:14" x14ac:dyDescent="0.3">
      <c r="A30" s="2" t="s">
        <v>21</v>
      </c>
      <c r="C30" s="2" t="s">
        <v>9</v>
      </c>
      <c r="D30" s="2" t="s">
        <v>39</v>
      </c>
      <c r="E30" s="2" t="s">
        <v>27</v>
      </c>
      <c r="F30" s="2" t="s">
        <v>49</v>
      </c>
      <c r="G30" s="2" t="s">
        <v>19</v>
      </c>
      <c r="H30" s="2" t="s">
        <v>20</v>
      </c>
      <c r="I30" s="2" t="s">
        <v>19</v>
      </c>
      <c r="J30" s="7">
        <v>2</v>
      </c>
      <c r="K30" s="7"/>
      <c r="L30" s="7">
        <v>120000</v>
      </c>
    </row>
    <row r="31" spans="1:14" x14ac:dyDescent="0.3">
      <c r="A31" s="2" t="s">
        <v>21</v>
      </c>
      <c r="C31" s="2" t="s">
        <v>9</v>
      </c>
      <c r="D31" s="2" t="s">
        <v>28</v>
      </c>
      <c r="E31" s="2" t="s">
        <v>27</v>
      </c>
      <c r="F31" s="2" t="s">
        <v>49</v>
      </c>
      <c r="G31" s="2" t="s">
        <v>19</v>
      </c>
      <c r="H31" s="2" t="s">
        <v>20</v>
      </c>
      <c r="I31" s="2" t="s">
        <v>19</v>
      </c>
      <c r="J31" s="7">
        <v>1</v>
      </c>
      <c r="K31" s="7"/>
      <c r="L31" s="7">
        <v>120000</v>
      </c>
      <c r="N31" s="8"/>
    </row>
    <row r="32" spans="1:14" x14ac:dyDescent="0.3">
      <c r="A32" s="2" t="s">
        <v>21</v>
      </c>
      <c r="C32" s="2" t="s">
        <v>9</v>
      </c>
      <c r="D32" s="2" t="s">
        <v>28</v>
      </c>
      <c r="E32" s="2" t="s">
        <v>27</v>
      </c>
      <c r="G32" s="2" t="s">
        <v>20</v>
      </c>
      <c r="H32" s="2" t="s">
        <v>20</v>
      </c>
      <c r="I32" s="2" t="s">
        <v>20</v>
      </c>
      <c r="J32" s="7">
        <v>2</v>
      </c>
      <c r="K32" s="7">
        <v>37000</v>
      </c>
      <c r="L32" s="7">
        <v>75000</v>
      </c>
      <c r="N32" s="8"/>
    </row>
    <row r="33" spans="1:14" x14ac:dyDescent="0.3">
      <c r="A33" s="2" t="s">
        <v>21</v>
      </c>
      <c r="C33" s="2" t="s">
        <v>9</v>
      </c>
      <c r="D33" s="2" t="s">
        <v>39</v>
      </c>
      <c r="E33" s="2" t="s">
        <v>25</v>
      </c>
      <c r="F33" s="2" t="s">
        <v>40</v>
      </c>
      <c r="G33" s="2" t="s">
        <v>19</v>
      </c>
      <c r="H33" s="2" t="s">
        <v>20</v>
      </c>
      <c r="I33" s="2" t="s">
        <v>19</v>
      </c>
      <c r="J33" s="7">
        <v>1</v>
      </c>
      <c r="K33" s="7"/>
      <c r="L33" s="7">
        <v>120000</v>
      </c>
    </row>
    <row r="34" spans="1:14" x14ac:dyDescent="0.3">
      <c r="A34" s="2" t="s">
        <v>21</v>
      </c>
      <c r="C34" s="2" t="s">
        <v>9</v>
      </c>
      <c r="D34" s="2" t="s">
        <v>39</v>
      </c>
      <c r="E34" s="2" t="s">
        <v>25</v>
      </c>
      <c r="G34" s="2" t="s">
        <v>20</v>
      </c>
      <c r="H34" s="2" t="s">
        <v>20</v>
      </c>
      <c r="I34" s="2" t="s">
        <v>20</v>
      </c>
      <c r="J34" s="7">
        <v>3</v>
      </c>
      <c r="K34" s="7">
        <v>37000</v>
      </c>
      <c r="L34" s="7">
        <v>75000</v>
      </c>
      <c r="N34" s="8"/>
    </row>
    <row r="35" spans="1:14" x14ac:dyDescent="0.3">
      <c r="A35" s="2" t="s">
        <v>21</v>
      </c>
      <c r="C35" s="2" t="s">
        <v>9</v>
      </c>
      <c r="D35" s="2" t="s">
        <v>39</v>
      </c>
      <c r="E35" s="2" t="s">
        <v>25</v>
      </c>
      <c r="F35" s="2" t="s">
        <v>48</v>
      </c>
      <c r="G35" s="2" t="s">
        <v>19</v>
      </c>
      <c r="H35" s="2" t="s">
        <v>20</v>
      </c>
      <c r="I35" s="2" t="s">
        <v>19</v>
      </c>
      <c r="J35" s="7">
        <v>1</v>
      </c>
      <c r="K35" s="7"/>
      <c r="L35" s="7">
        <v>120000</v>
      </c>
    </row>
    <row r="36" spans="1:14" x14ac:dyDescent="0.3">
      <c r="A36" s="2" t="s">
        <v>21</v>
      </c>
      <c r="C36" s="2" t="s">
        <v>9</v>
      </c>
      <c r="D36" s="2" t="s">
        <v>10</v>
      </c>
      <c r="E36" s="2" t="s">
        <v>25</v>
      </c>
      <c r="F36" s="2" t="s">
        <v>48</v>
      </c>
      <c r="G36" s="2" t="s">
        <v>19</v>
      </c>
      <c r="H36" s="2" t="s">
        <v>20</v>
      </c>
      <c r="I36" s="2" t="s">
        <v>19</v>
      </c>
      <c r="J36" s="7">
        <v>1</v>
      </c>
      <c r="K36" s="7"/>
      <c r="L36" s="7">
        <v>120000</v>
      </c>
      <c r="M36" s="2" t="s">
        <v>52</v>
      </c>
    </row>
    <row r="37" spans="1:14" x14ac:dyDescent="0.3">
      <c r="A37" s="2" t="s">
        <v>21</v>
      </c>
      <c r="C37" s="2" t="s">
        <v>9</v>
      </c>
      <c r="D37" s="2" t="s">
        <v>10</v>
      </c>
      <c r="E37" s="2" t="s">
        <v>25</v>
      </c>
      <c r="G37" s="2" t="s">
        <v>20</v>
      </c>
      <c r="H37" s="2" t="s">
        <v>20</v>
      </c>
      <c r="I37" s="2" t="s">
        <v>20</v>
      </c>
      <c r="J37" s="7">
        <v>1</v>
      </c>
      <c r="K37" s="7">
        <v>37000</v>
      </c>
      <c r="L37" s="7">
        <v>75000</v>
      </c>
      <c r="N37" s="8"/>
    </row>
    <row r="38" spans="1:14" x14ac:dyDescent="0.3">
      <c r="A38" s="2" t="s">
        <v>21</v>
      </c>
      <c r="C38" s="2" t="s">
        <v>9</v>
      </c>
      <c r="D38" s="2" t="s">
        <v>10</v>
      </c>
      <c r="E38" s="2" t="s">
        <v>11</v>
      </c>
      <c r="F38" s="2" t="s">
        <v>51</v>
      </c>
      <c r="G38" s="2" t="s">
        <v>19</v>
      </c>
      <c r="H38" s="2" t="s">
        <v>20</v>
      </c>
      <c r="I38" s="2" t="s">
        <v>19</v>
      </c>
      <c r="J38" s="7">
        <v>1</v>
      </c>
      <c r="K38" s="7"/>
      <c r="L38" s="7">
        <v>120000</v>
      </c>
      <c r="N38" s="8"/>
    </row>
    <row r="39" spans="1:14" x14ac:dyDescent="0.3">
      <c r="A39" s="2" t="s">
        <v>21</v>
      </c>
      <c r="C39" s="2" t="s">
        <v>9</v>
      </c>
      <c r="D39" s="2" t="s">
        <v>28</v>
      </c>
      <c r="E39" s="2" t="s">
        <v>11</v>
      </c>
      <c r="G39" s="2" t="s">
        <v>20</v>
      </c>
      <c r="H39" s="2" t="s">
        <v>20</v>
      </c>
      <c r="I39" s="2" t="s">
        <v>20</v>
      </c>
      <c r="J39" s="7">
        <v>1</v>
      </c>
      <c r="K39" s="7">
        <v>37000</v>
      </c>
      <c r="L39" s="7">
        <v>75000</v>
      </c>
      <c r="N39" s="8"/>
    </row>
    <row r="40" spans="1:14" x14ac:dyDescent="0.3">
      <c r="A40" s="2" t="s">
        <v>21</v>
      </c>
      <c r="C40" s="2" t="s">
        <v>9</v>
      </c>
      <c r="D40" s="2" t="s">
        <v>10</v>
      </c>
      <c r="E40" s="2" t="s">
        <v>11</v>
      </c>
      <c r="G40" s="2" t="s">
        <v>20</v>
      </c>
      <c r="H40" s="2" t="s">
        <v>20</v>
      </c>
      <c r="I40" s="2" t="s">
        <v>20</v>
      </c>
      <c r="J40" s="7">
        <v>4</v>
      </c>
      <c r="K40" s="7">
        <v>37000</v>
      </c>
      <c r="L40" s="7">
        <v>75000</v>
      </c>
    </row>
    <row r="41" spans="1:14" x14ac:dyDescent="0.3">
      <c r="A41" s="2" t="s">
        <v>21</v>
      </c>
      <c r="C41" s="2" t="s">
        <v>9</v>
      </c>
      <c r="D41" s="2" t="s">
        <v>10</v>
      </c>
      <c r="E41" s="2" t="s">
        <v>30</v>
      </c>
      <c r="F41" s="2" t="s">
        <v>32</v>
      </c>
      <c r="G41" s="2" t="s">
        <v>20</v>
      </c>
      <c r="H41" s="2" t="s">
        <v>19</v>
      </c>
      <c r="I41" s="2" t="s">
        <v>19</v>
      </c>
      <c r="J41" s="7">
        <v>1</v>
      </c>
      <c r="K41" s="7"/>
      <c r="L41" s="7">
        <v>120000</v>
      </c>
    </row>
    <row r="42" spans="1:14" x14ac:dyDescent="0.3">
      <c r="A42" s="2" t="s">
        <v>21</v>
      </c>
      <c r="C42" s="2" t="s">
        <v>9</v>
      </c>
      <c r="D42" s="2" t="s">
        <v>10</v>
      </c>
      <c r="E42" s="2" t="s">
        <v>30</v>
      </c>
      <c r="F42" s="2" t="s">
        <v>32</v>
      </c>
      <c r="G42" s="2" t="s">
        <v>19</v>
      </c>
      <c r="H42" s="2" t="s">
        <v>20</v>
      </c>
      <c r="I42" s="2" t="s">
        <v>19</v>
      </c>
      <c r="J42" s="7">
        <v>1</v>
      </c>
      <c r="K42" s="7"/>
      <c r="L42" s="7">
        <v>120000</v>
      </c>
    </row>
    <row r="43" spans="1:14" x14ac:dyDescent="0.3">
      <c r="A43" s="2" t="s">
        <v>21</v>
      </c>
      <c r="C43" s="2" t="s">
        <v>9</v>
      </c>
      <c r="D43" s="2" t="s">
        <v>10</v>
      </c>
      <c r="E43" s="2" t="s">
        <v>30</v>
      </c>
      <c r="G43" s="2" t="s">
        <v>20</v>
      </c>
      <c r="H43" s="2" t="s">
        <v>20</v>
      </c>
      <c r="I43" s="2" t="s">
        <v>20</v>
      </c>
      <c r="J43" s="7">
        <v>4</v>
      </c>
      <c r="K43" s="7">
        <v>37000</v>
      </c>
      <c r="L43" s="7">
        <v>75000</v>
      </c>
    </row>
    <row r="44" spans="1:14" x14ac:dyDescent="0.3">
      <c r="A44" s="2" t="s">
        <v>21</v>
      </c>
      <c r="C44" s="2" t="s">
        <v>9</v>
      </c>
      <c r="D44" s="2" t="s">
        <v>39</v>
      </c>
      <c r="E44" s="2" t="s">
        <v>30</v>
      </c>
      <c r="F44" s="2" t="s">
        <v>13</v>
      </c>
      <c r="G44" s="2" t="s">
        <v>19</v>
      </c>
      <c r="H44" s="2" t="s">
        <v>20</v>
      </c>
      <c r="I44" s="2" t="s">
        <v>19</v>
      </c>
      <c r="J44" s="7">
        <v>1</v>
      </c>
      <c r="K44" s="7"/>
      <c r="L44" s="7">
        <v>120000</v>
      </c>
    </row>
    <row r="45" spans="1:14" x14ac:dyDescent="0.3">
      <c r="A45" s="2" t="s">
        <v>21</v>
      </c>
      <c r="C45" s="2" t="s">
        <v>9</v>
      </c>
      <c r="D45" s="2" t="s">
        <v>28</v>
      </c>
      <c r="E45" s="2" t="s">
        <v>30</v>
      </c>
      <c r="F45" s="2" t="s">
        <v>13</v>
      </c>
      <c r="G45" s="2" t="s">
        <v>20</v>
      </c>
      <c r="H45" s="2" t="s">
        <v>19</v>
      </c>
      <c r="I45" s="2" t="s">
        <v>19</v>
      </c>
      <c r="J45" s="7">
        <v>1</v>
      </c>
      <c r="K45" s="7"/>
      <c r="L45" s="7">
        <v>120000</v>
      </c>
    </row>
    <row r="46" spans="1:14" x14ac:dyDescent="0.3">
      <c r="A46" s="2" t="s">
        <v>21</v>
      </c>
      <c r="C46" s="2" t="s">
        <v>9</v>
      </c>
      <c r="D46" s="2" t="s">
        <v>28</v>
      </c>
      <c r="E46" s="2" t="s">
        <v>30</v>
      </c>
      <c r="F46" s="2" t="s">
        <v>40</v>
      </c>
      <c r="G46" s="2" t="s">
        <v>19</v>
      </c>
      <c r="H46" s="2" t="s">
        <v>20</v>
      </c>
      <c r="I46" s="2" t="s">
        <v>19</v>
      </c>
      <c r="J46" s="7">
        <v>1</v>
      </c>
      <c r="K46" s="7"/>
      <c r="L46" s="7">
        <v>120000</v>
      </c>
      <c r="N46" s="8"/>
    </row>
    <row r="47" spans="1:14" x14ac:dyDescent="0.3">
      <c r="A47" s="2" t="s">
        <v>21</v>
      </c>
      <c r="C47" s="2" t="s">
        <v>9</v>
      </c>
      <c r="D47" s="2" t="s">
        <v>28</v>
      </c>
      <c r="E47" s="2" t="s">
        <v>30</v>
      </c>
      <c r="G47" s="2" t="s">
        <v>20</v>
      </c>
      <c r="H47" s="2" t="s">
        <v>20</v>
      </c>
      <c r="I47" s="2" t="s">
        <v>20</v>
      </c>
      <c r="J47" s="7">
        <v>3</v>
      </c>
      <c r="K47" s="7">
        <v>37000</v>
      </c>
      <c r="L47" s="7">
        <v>75000</v>
      </c>
    </row>
    <row r="48" spans="1:14" x14ac:dyDescent="0.3">
      <c r="A48" s="2" t="s">
        <v>21</v>
      </c>
      <c r="C48" s="2" t="s">
        <v>9</v>
      </c>
      <c r="D48" s="2" t="s">
        <v>10</v>
      </c>
      <c r="E48" s="2" t="s">
        <v>30</v>
      </c>
      <c r="F48" s="2" t="s">
        <v>13</v>
      </c>
      <c r="G48" s="2" t="s">
        <v>19</v>
      </c>
      <c r="H48" s="2" t="s">
        <v>20</v>
      </c>
      <c r="I48" s="2" t="s">
        <v>19</v>
      </c>
      <c r="J48" s="7">
        <v>1</v>
      </c>
      <c r="K48" s="7"/>
      <c r="L48" s="7">
        <v>120000</v>
      </c>
      <c r="M48" s="2" t="s">
        <v>54</v>
      </c>
    </row>
    <row r="49" spans="1:14" x14ac:dyDescent="0.3">
      <c r="A49" s="2" t="s">
        <v>21</v>
      </c>
      <c r="C49" s="2" t="s">
        <v>9</v>
      </c>
      <c r="D49" s="2" t="s">
        <v>39</v>
      </c>
      <c r="E49" s="2" t="s">
        <v>30</v>
      </c>
      <c r="G49" s="2" t="s">
        <v>20</v>
      </c>
      <c r="H49" s="2" t="s">
        <v>20</v>
      </c>
      <c r="I49" s="2" t="s">
        <v>20</v>
      </c>
      <c r="J49" s="7">
        <v>2</v>
      </c>
      <c r="K49" s="7">
        <v>37000</v>
      </c>
      <c r="L49" s="7">
        <v>75000</v>
      </c>
      <c r="N49" s="8"/>
    </row>
    <row r="50" spans="1:14" x14ac:dyDescent="0.3">
      <c r="A50" s="2" t="s">
        <v>21</v>
      </c>
      <c r="C50" s="2" t="s">
        <v>9</v>
      </c>
      <c r="D50" s="2" t="s">
        <v>10</v>
      </c>
      <c r="E50" s="2" t="s">
        <v>27</v>
      </c>
      <c r="F50" s="2" t="s">
        <v>79</v>
      </c>
      <c r="G50" s="2" t="s">
        <v>20</v>
      </c>
      <c r="H50" s="2" t="s">
        <v>19</v>
      </c>
      <c r="I50" s="2" t="s">
        <v>19</v>
      </c>
      <c r="J50" s="7">
        <v>1</v>
      </c>
      <c r="K50" s="7"/>
      <c r="L50" s="7">
        <v>120000</v>
      </c>
      <c r="N50" s="8"/>
    </row>
    <row r="51" spans="1:14" x14ac:dyDescent="0.3">
      <c r="A51" s="2" t="s">
        <v>21</v>
      </c>
      <c r="C51" s="2" t="s">
        <v>9</v>
      </c>
      <c r="D51" s="2" t="s">
        <v>10</v>
      </c>
      <c r="E51" s="2" t="s">
        <v>27</v>
      </c>
      <c r="F51" s="2" t="s">
        <v>80</v>
      </c>
      <c r="G51" s="2" t="s">
        <v>20</v>
      </c>
      <c r="H51" s="2" t="s">
        <v>19</v>
      </c>
      <c r="I51" s="2" t="s">
        <v>19</v>
      </c>
      <c r="J51" s="7">
        <v>1</v>
      </c>
      <c r="K51" s="7"/>
      <c r="L51" s="7">
        <v>120000</v>
      </c>
      <c r="N51" s="8"/>
    </row>
    <row r="52" spans="1:14" x14ac:dyDescent="0.3">
      <c r="A52" s="2" t="s">
        <v>21</v>
      </c>
      <c r="C52" s="2" t="s">
        <v>9</v>
      </c>
      <c r="D52" s="2" t="s">
        <v>10</v>
      </c>
      <c r="E52" s="2" t="s">
        <v>27</v>
      </c>
      <c r="F52" s="2" t="s">
        <v>32</v>
      </c>
      <c r="G52" s="2" t="s">
        <v>20</v>
      </c>
      <c r="H52" s="2" t="s">
        <v>19</v>
      </c>
      <c r="I52" s="2" t="s">
        <v>19</v>
      </c>
      <c r="J52" s="7">
        <v>1</v>
      </c>
      <c r="K52" s="7"/>
      <c r="L52" s="7">
        <v>120000</v>
      </c>
      <c r="N52" s="8"/>
    </row>
    <row r="53" spans="1:14" x14ac:dyDescent="0.3">
      <c r="A53" s="2" t="s">
        <v>21</v>
      </c>
      <c r="C53" s="2" t="s">
        <v>9</v>
      </c>
      <c r="D53" s="2" t="s">
        <v>10</v>
      </c>
      <c r="E53" s="2" t="s">
        <v>27</v>
      </c>
      <c r="F53" s="2" t="s">
        <v>13</v>
      </c>
      <c r="G53" s="2" t="s">
        <v>20</v>
      </c>
      <c r="H53" s="2" t="s">
        <v>19</v>
      </c>
      <c r="I53" s="2" t="s">
        <v>19</v>
      </c>
      <c r="J53" s="7">
        <v>1</v>
      </c>
      <c r="K53" s="7"/>
      <c r="L53" s="7">
        <v>120000</v>
      </c>
      <c r="N53" s="8"/>
    </row>
    <row r="54" spans="1:14" x14ac:dyDescent="0.3">
      <c r="A54" s="2" t="s">
        <v>21</v>
      </c>
      <c r="C54" s="2" t="s">
        <v>35</v>
      </c>
      <c r="D54" s="2" t="s">
        <v>36</v>
      </c>
      <c r="E54" s="2" t="s">
        <v>27</v>
      </c>
      <c r="G54" s="2" t="s">
        <v>20</v>
      </c>
      <c r="H54" s="2" t="s">
        <v>20</v>
      </c>
      <c r="I54" s="2" t="s">
        <v>20</v>
      </c>
      <c r="J54" s="7">
        <v>3</v>
      </c>
      <c r="K54" s="7">
        <v>36000</v>
      </c>
      <c r="L54" s="7">
        <v>85000</v>
      </c>
      <c r="M54" s="2" t="s">
        <v>82</v>
      </c>
    </row>
    <row r="55" spans="1:14" x14ac:dyDescent="0.3">
      <c r="A55" s="2" t="s">
        <v>21</v>
      </c>
      <c r="C55" s="2" t="s">
        <v>35</v>
      </c>
      <c r="D55" s="2" t="s">
        <v>36</v>
      </c>
      <c r="E55" s="2" t="s">
        <v>25</v>
      </c>
      <c r="G55" s="2" t="s">
        <v>20</v>
      </c>
      <c r="H55" s="2" t="s">
        <v>20</v>
      </c>
      <c r="I55" s="2" t="s">
        <v>20</v>
      </c>
      <c r="J55" s="7">
        <v>2</v>
      </c>
      <c r="K55" s="7">
        <v>36000</v>
      </c>
      <c r="L55" s="7">
        <v>85000</v>
      </c>
      <c r="M55" s="2" t="s">
        <v>82</v>
      </c>
    </row>
    <row r="56" spans="1:14" x14ac:dyDescent="0.3">
      <c r="A56" s="2" t="s">
        <v>21</v>
      </c>
      <c r="C56" s="2" t="s">
        <v>35</v>
      </c>
      <c r="D56" s="2" t="s">
        <v>36</v>
      </c>
      <c r="E56" s="2" t="s">
        <v>11</v>
      </c>
      <c r="G56" s="2" t="s">
        <v>20</v>
      </c>
      <c r="H56" s="2" t="s">
        <v>20</v>
      </c>
      <c r="I56" s="2" t="s">
        <v>20</v>
      </c>
      <c r="J56" s="7">
        <v>2</v>
      </c>
      <c r="K56" s="7">
        <v>36000</v>
      </c>
      <c r="L56" s="7">
        <v>85000</v>
      </c>
      <c r="M56" s="2" t="s">
        <v>82</v>
      </c>
    </row>
    <row r="57" spans="1:14" x14ac:dyDescent="0.3">
      <c r="A57" s="2" t="s">
        <v>21</v>
      </c>
      <c r="C57" s="2" t="s">
        <v>35</v>
      </c>
      <c r="D57" s="2" t="s">
        <v>36</v>
      </c>
      <c r="E57" s="2" t="s">
        <v>30</v>
      </c>
      <c r="G57" s="2" t="s">
        <v>20</v>
      </c>
      <c r="H57" s="2" t="s">
        <v>20</v>
      </c>
      <c r="I57" s="2" t="s">
        <v>20</v>
      </c>
      <c r="J57" s="7">
        <v>2</v>
      </c>
      <c r="K57" s="7">
        <v>36000</v>
      </c>
      <c r="L57" s="7">
        <v>85000</v>
      </c>
      <c r="M57" s="2" t="s">
        <v>82</v>
      </c>
    </row>
    <row r="58" spans="1:14" x14ac:dyDescent="0.3">
      <c r="A58" s="2" t="s">
        <v>21</v>
      </c>
      <c r="C58" s="2" t="s">
        <v>34</v>
      </c>
      <c r="D58" s="2" t="s">
        <v>10</v>
      </c>
      <c r="E58" s="2" t="s">
        <v>27</v>
      </c>
      <c r="G58" s="2" t="s">
        <v>20</v>
      </c>
      <c r="H58" s="2" t="s">
        <v>20</v>
      </c>
      <c r="I58" s="2" t="s">
        <v>20</v>
      </c>
      <c r="J58" s="7">
        <v>2</v>
      </c>
      <c r="K58" s="7">
        <v>54000</v>
      </c>
      <c r="L58" s="7">
        <v>75000</v>
      </c>
    </row>
    <row r="59" spans="1:14" x14ac:dyDescent="0.3">
      <c r="A59" s="2" t="s">
        <v>21</v>
      </c>
      <c r="C59" s="2" t="s">
        <v>34</v>
      </c>
      <c r="D59" s="2" t="s">
        <v>39</v>
      </c>
      <c r="E59" s="2" t="s">
        <v>25</v>
      </c>
      <c r="G59" s="2" t="s">
        <v>20</v>
      </c>
      <c r="H59" s="2" t="s">
        <v>20</v>
      </c>
      <c r="I59" s="2" t="s">
        <v>20</v>
      </c>
      <c r="J59" s="7">
        <v>2</v>
      </c>
      <c r="K59" s="7">
        <v>54000</v>
      </c>
      <c r="L59" s="7">
        <v>75000</v>
      </c>
      <c r="N59" s="8"/>
    </row>
    <row r="60" spans="1:14" x14ac:dyDescent="0.3">
      <c r="A60" s="2" t="s">
        <v>21</v>
      </c>
      <c r="C60" s="2" t="s">
        <v>34</v>
      </c>
      <c r="D60" s="2" t="s">
        <v>10</v>
      </c>
      <c r="E60" s="2" t="s">
        <v>30</v>
      </c>
      <c r="G60" s="2" t="s">
        <v>20</v>
      </c>
      <c r="H60" s="2" t="s">
        <v>20</v>
      </c>
      <c r="I60" s="2" t="s">
        <v>20</v>
      </c>
      <c r="J60" s="7">
        <v>1</v>
      </c>
      <c r="K60" s="7">
        <v>54000</v>
      </c>
      <c r="L60" s="7">
        <v>75000</v>
      </c>
      <c r="N60" s="8"/>
    </row>
    <row r="61" spans="1:14" x14ac:dyDescent="0.3">
      <c r="A61" s="2" t="s">
        <v>21</v>
      </c>
      <c r="C61" s="2" t="s">
        <v>34</v>
      </c>
      <c r="D61" s="2" t="s">
        <v>39</v>
      </c>
      <c r="E61" s="2" t="s">
        <v>30</v>
      </c>
      <c r="G61" s="2" t="s">
        <v>20</v>
      </c>
      <c r="H61" s="2" t="s">
        <v>20</v>
      </c>
      <c r="I61" s="2" t="s">
        <v>20</v>
      </c>
      <c r="J61" s="7">
        <v>1</v>
      </c>
      <c r="K61" s="7">
        <v>54000</v>
      </c>
      <c r="L61" s="7">
        <v>75000</v>
      </c>
    </row>
    <row r="62" spans="1:14" x14ac:dyDescent="0.3">
      <c r="A62" s="2" t="s">
        <v>21</v>
      </c>
      <c r="C62" s="2" t="s">
        <v>38</v>
      </c>
      <c r="D62" s="2" t="s">
        <v>10</v>
      </c>
      <c r="E62" s="2" t="s">
        <v>25</v>
      </c>
      <c r="G62" s="2" t="s">
        <v>20</v>
      </c>
      <c r="H62" s="2" t="s">
        <v>20</v>
      </c>
      <c r="I62" s="2" t="s">
        <v>20</v>
      </c>
      <c r="J62" s="7">
        <v>1</v>
      </c>
      <c r="K62" s="7">
        <v>60000</v>
      </c>
      <c r="L62" s="7">
        <v>75000</v>
      </c>
    </row>
    <row r="63" spans="1:14" x14ac:dyDescent="0.3">
      <c r="A63" s="2" t="s">
        <v>21</v>
      </c>
      <c r="C63" s="2" t="s">
        <v>44</v>
      </c>
      <c r="D63" s="2" t="s">
        <v>45</v>
      </c>
      <c r="E63" s="2" t="s">
        <v>27</v>
      </c>
      <c r="G63" s="2" t="s">
        <v>20</v>
      </c>
      <c r="H63" s="2" t="s">
        <v>20</v>
      </c>
      <c r="I63" s="2" t="s">
        <v>20</v>
      </c>
      <c r="J63" s="7">
        <v>2</v>
      </c>
      <c r="K63" s="7">
        <v>40000</v>
      </c>
      <c r="L63" s="7">
        <v>110000</v>
      </c>
    </row>
    <row r="64" spans="1:14" x14ac:dyDescent="0.3">
      <c r="A64" s="2" t="s">
        <v>21</v>
      </c>
      <c r="C64" s="2" t="s">
        <v>44</v>
      </c>
      <c r="D64" s="2" t="s">
        <v>78</v>
      </c>
      <c r="E64" s="2" t="s">
        <v>26</v>
      </c>
      <c r="G64" s="2" t="s">
        <v>20</v>
      </c>
      <c r="H64" s="2" t="s">
        <v>20</v>
      </c>
      <c r="I64" s="2" t="s">
        <v>20</v>
      </c>
      <c r="J64" s="7">
        <v>1</v>
      </c>
      <c r="K64" s="7">
        <v>40000</v>
      </c>
      <c r="L64" s="7">
        <v>110000</v>
      </c>
      <c r="N64" s="8"/>
    </row>
    <row r="65" spans="1:14" x14ac:dyDescent="0.3">
      <c r="A65" s="2" t="s">
        <v>21</v>
      </c>
      <c r="C65" s="2" t="s">
        <v>44</v>
      </c>
      <c r="D65" s="2" t="s">
        <v>10</v>
      </c>
      <c r="E65" s="2" t="s">
        <v>27</v>
      </c>
      <c r="G65" s="2" t="s">
        <v>20</v>
      </c>
      <c r="H65" s="2" t="s">
        <v>20</v>
      </c>
      <c r="I65" s="2" t="s">
        <v>20</v>
      </c>
      <c r="J65" s="7">
        <v>4</v>
      </c>
      <c r="K65" s="7">
        <v>40000</v>
      </c>
      <c r="L65" s="7">
        <v>110000</v>
      </c>
      <c r="N65" s="8"/>
    </row>
    <row r="66" spans="1:14" x14ac:dyDescent="0.3">
      <c r="A66" s="2" t="s">
        <v>21</v>
      </c>
      <c r="C66" s="2" t="s">
        <v>44</v>
      </c>
      <c r="D66" s="2" t="s">
        <v>47</v>
      </c>
      <c r="E66" s="2" t="s">
        <v>27</v>
      </c>
      <c r="G66" s="2" t="s">
        <v>20</v>
      </c>
      <c r="H66" s="2" t="s">
        <v>20</v>
      </c>
      <c r="I66" s="2" t="s">
        <v>20</v>
      </c>
      <c r="J66" s="7">
        <v>1</v>
      </c>
      <c r="K66" s="7">
        <v>40000</v>
      </c>
      <c r="L66" s="7">
        <v>110000</v>
      </c>
    </row>
    <row r="67" spans="1:14" x14ac:dyDescent="0.3">
      <c r="A67" s="2" t="s">
        <v>21</v>
      </c>
      <c r="C67" s="2" t="s">
        <v>44</v>
      </c>
      <c r="D67" s="2" t="s">
        <v>47</v>
      </c>
      <c r="E67" s="2" t="s">
        <v>26</v>
      </c>
      <c r="G67" s="2" t="s">
        <v>20</v>
      </c>
      <c r="H67" s="2" t="s">
        <v>20</v>
      </c>
      <c r="I67" s="2" t="s">
        <v>20</v>
      </c>
      <c r="J67" s="7">
        <v>1</v>
      </c>
      <c r="K67" s="7">
        <v>40000</v>
      </c>
      <c r="L67" s="7">
        <v>110000</v>
      </c>
      <c r="N67" s="8"/>
    </row>
    <row r="68" spans="1:14" x14ac:dyDescent="0.3">
      <c r="A68" s="2" t="s">
        <v>21</v>
      </c>
      <c r="C68" s="2" t="s">
        <v>44</v>
      </c>
      <c r="D68" s="2" t="s">
        <v>46</v>
      </c>
      <c r="E68" s="2" t="s">
        <v>27</v>
      </c>
      <c r="G68" s="2" t="s">
        <v>20</v>
      </c>
      <c r="H68" s="2" t="s">
        <v>20</v>
      </c>
      <c r="I68" s="2" t="s">
        <v>20</v>
      </c>
      <c r="J68" s="7">
        <v>2</v>
      </c>
      <c r="K68" s="7">
        <v>40000</v>
      </c>
      <c r="L68" s="7">
        <v>110000</v>
      </c>
      <c r="N68" s="8"/>
    </row>
    <row r="69" spans="1:14" x14ac:dyDescent="0.3">
      <c r="A69" s="2" t="s">
        <v>21</v>
      </c>
      <c r="C69" s="2" t="s">
        <v>44</v>
      </c>
      <c r="D69" s="2" t="s">
        <v>55</v>
      </c>
      <c r="E69" s="2" t="s">
        <v>27</v>
      </c>
      <c r="G69" s="2" t="s">
        <v>20</v>
      </c>
      <c r="H69" s="2" t="s">
        <v>20</v>
      </c>
      <c r="I69" s="2" t="s">
        <v>20</v>
      </c>
      <c r="J69" s="7">
        <v>1</v>
      </c>
      <c r="K69" s="7">
        <v>40000</v>
      </c>
      <c r="L69" s="7">
        <v>110000</v>
      </c>
    </row>
    <row r="70" spans="1:14" x14ac:dyDescent="0.3">
      <c r="A70" s="2" t="s">
        <v>21</v>
      </c>
      <c r="C70" s="2" t="s">
        <v>44</v>
      </c>
      <c r="D70" s="2" t="s">
        <v>46</v>
      </c>
      <c r="E70" s="2" t="s">
        <v>25</v>
      </c>
      <c r="G70" s="2" t="s">
        <v>20</v>
      </c>
      <c r="H70" s="2" t="s">
        <v>20</v>
      </c>
      <c r="I70" s="2" t="s">
        <v>20</v>
      </c>
      <c r="J70" s="7">
        <v>1</v>
      </c>
      <c r="K70" s="7">
        <v>40000</v>
      </c>
      <c r="L70" s="7">
        <v>110000</v>
      </c>
      <c r="N70" s="8"/>
    </row>
    <row r="71" spans="1:14" x14ac:dyDescent="0.3">
      <c r="A71" s="2" t="s">
        <v>21</v>
      </c>
      <c r="C71" s="2" t="s">
        <v>44</v>
      </c>
      <c r="D71" s="2" t="s">
        <v>10</v>
      </c>
      <c r="E71" s="2" t="s">
        <v>25</v>
      </c>
      <c r="G71" s="2" t="s">
        <v>20</v>
      </c>
      <c r="H71" s="2" t="s">
        <v>20</v>
      </c>
      <c r="I71" s="2" t="s">
        <v>20</v>
      </c>
      <c r="J71" s="7">
        <v>3</v>
      </c>
      <c r="K71" s="7">
        <v>40000</v>
      </c>
      <c r="L71" s="7">
        <v>110000</v>
      </c>
    </row>
    <row r="72" spans="1:14" x14ac:dyDescent="0.3">
      <c r="A72" s="2" t="s">
        <v>21</v>
      </c>
      <c r="C72" s="2" t="s">
        <v>44</v>
      </c>
      <c r="D72" s="2" t="s">
        <v>47</v>
      </c>
      <c r="E72" s="2" t="s">
        <v>25</v>
      </c>
      <c r="G72" s="2" t="s">
        <v>20</v>
      </c>
      <c r="H72" s="2" t="s">
        <v>20</v>
      </c>
      <c r="I72" s="2" t="s">
        <v>20</v>
      </c>
      <c r="J72" s="7">
        <v>1</v>
      </c>
      <c r="K72" s="7">
        <v>40000</v>
      </c>
      <c r="L72" s="7">
        <v>110000</v>
      </c>
      <c r="N72" s="8"/>
    </row>
    <row r="73" spans="1:14" x14ac:dyDescent="0.3">
      <c r="A73" s="2" t="s">
        <v>21</v>
      </c>
      <c r="C73" s="2" t="s">
        <v>44</v>
      </c>
      <c r="D73" s="2" t="s">
        <v>45</v>
      </c>
      <c r="E73" s="2" t="s">
        <v>30</v>
      </c>
      <c r="G73" s="2" t="s">
        <v>20</v>
      </c>
      <c r="H73" s="2" t="s">
        <v>20</v>
      </c>
      <c r="I73" s="2" t="s">
        <v>20</v>
      </c>
      <c r="J73" s="7">
        <v>2</v>
      </c>
      <c r="K73" s="7">
        <v>40000</v>
      </c>
      <c r="L73" s="7">
        <v>110000</v>
      </c>
      <c r="N73" s="8"/>
    </row>
    <row r="74" spans="1:14" x14ac:dyDescent="0.3">
      <c r="A74" s="2" t="s">
        <v>21</v>
      </c>
      <c r="C74" s="2" t="s">
        <v>44</v>
      </c>
      <c r="D74" s="2" t="s">
        <v>46</v>
      </c>
      <c r="E74" s="2" t="s">
        <v>30</v>
      </c>
      <c r="G74" s="2" t="s">
        <v>20</v>
      </c>
      <c r="H74" s="2" t="s">
        <v>20</v>
      </c>
      <c r="I74" s="2" t="s">
        <v>20</v>
      </c>
      <c r="J74" s="7">
        <v>1</v>
      </c>
      <c r="K74" s="7">
        <v>40000</v>
      </c>
      <c r="L74" s="7">
        <v>110000</v>
      </c>
      <c r="N74" s="8"/>
    </row>
    <row r="75" spans="1:14" x14ac:dyDescent="0.3">
      <c r="A75" s="2" t="s">
        <v>21</v>
      </c>
      <c r="C75" s="2" t="s">
        <v>44</v>
      </c>
      <c r="D75" s="2" t="s">
        <v>10</v>
      </c>
      <c r="E75" s="2" t="s">
        <v>30</v>
      </c>
      <c r="G75" s="2" t="s">
        <v>20</v>
      </c>
      <c r="H75" s="2" t="s">
        <v>20</v>
      </c>
      <c r="I75" s="2" t="s">
        <v>20</v>
      </c>
      <c r="J75" s="7">
        <v>1</v>
      </c>
      <c r="K75" s="7">
        <v>40000</v>
      </c>
      <c r="L75" s="7">
        <v>110000</v>
      </c>
      <c r="N75" s="8"/>
    </row>
    <row r="76" spans="1:14" x14ac:dyDescent="0.3">
      <c r="A76" s="2" t="s">
        <v>21</v>
      </c>
      <c r="C76" s="2" t="s">
        <v>44</v>
      </c>
      <c r="D76" s="2" t="s">
        <v>47</v>
      </c>
      <c r="E76" s="2" t="s">
        <v>30</v>
      </c>
      <c r="G76" s="2" t="s">
        <v>20</v>
      </c>
      <c r="H76" s="2" t="s">
        <v>20</v>
      </c>
      <c r="I76" s="2" t="s">
        <v>20</v>
      </c>
      <c r="J76" s="7">
        <v>2</v>
      </c>
      <c r="K76" s="7">
        <v>40000</v>
      </c>
      <c r="L76" s="7">
        <v>110000</v>
      </c>
    </row>
    <row r="77" spans="1:14" x14ac:dyDescent="0.3">
      <c r="A77" s="2" t="s">
        <v>21</v>
      </c>
      <c r="C77" s="2" t="s">
        <v>44</v>
      </c>
      <c r="D77" s="2" t="s">
        <v>55</v>
      </c>
      <c r="E77" s="2" t="s">
        <v>30</v>
      </c>
      <c r="G77" s="2" t="s">
        <v>20</v>
      </c>
      <c r="H77" s="2" t="s">
        <v>20</v>
      </c>
      <c r="I77" s="2" t="s">
        <v>20</v>
      </c>
      <c r="J77" s="7">
        <v>1</v>
      </c>
      <c r="K77" s="7">
        <v>40000</v>
      </c>
      <c r="L77" s="7">
        <v>110000</v>
      </c>
    </row>
    <row r="78" spans="1:14" x14ac:dyDescent="0.3">
      <c r="A78" s="2" t="s">
        <v>21</v>
      </c>
      <c r="C78" s="2" t="s">
        <v>24</v>
      </c>
      <c r="D78" s="2" t="s">
        <v>28</v>
      </c>
      <c r="E78" s="2" t="s">
        <v>27</v>
      </c>
      <c r="G78" s="2" t="s">
        <v>20</v>
      </c>
      <c r="H78" s="2" t="s">
        <v>20</v>
      </c>
      <c r="I78" s="2" t="s">
        <v>20</v>
      </c>
      <c r="J78" s="7">
        <v>3</v>
      </c>
      <c r="K78" s="7">
        <v>90000</v>
      </c>
      <c r="L78" s="7">
        <v>180000</v>
      </c>
    </row>
    <row r="79" spans="1:14" x14ac:dyDescent="0.3">
      <c r="A79" s="2" t="s">
        <v>21</v>
      </c>
      <c r="C79" s="2" t="s">
        <v>24</v>
      </c>
      <c r="D79" s="2" t="s">
        <v>10</v>
      </c>
      <c r="E79" s="2" t="s">
        <v>25</v>
      </c>
      <c r="G79" s="2" t="s">
        <v>20</v>
      </c>
      <c r="H79" s="2" t="s">
        <v>20</v>
      </c>
      <c r="I79" s="2" t="s">
        <v>20</v>
      </c>
      <c r="J79" s="7">
        <v>2</v>
      </c>
      <c r="K79" s="7">
        <v>90000</v>
      </c>
      <c r="L79" s="7">
        <v>180000</v>
      </c>
    </row>
    <row r="80" spans="1:14" x14ac:dyDescent="0.3">
      <c r="A80" s="2" t="s">
        <v>21</v>
      </c>
      <c r="C80" s="2" t="s">
        <v>42</v>
      </c>
      <c r="D80" s="2" t="s">
        <v>29</v>
      </c>
      <c r="E80" s="2" t="s">
        <v>27</v>
      </c>
      <c r="G80" s="2" t="s">
        <v>20</v>
      </c>
      <c r="H80" s="2" t="s">
        <v>20</v>
      </c>
      <c r="I80" s="2" t="s">
        <v>20</v>
      </c>
      <c r="J80" s="7">
        <v>1</v>
      </c>
      <c r="K80" s="7">
        <v>55000</v>
      </c>
      <c r="L80" s="7">
        <v>100000</v>
      </c>
      <c r="N80" s="8"/>
    </row>
    <row r="81" spans="1:14" x14ac:dyDescent="0.3">
      <c r="A81" s="2" t="s">
        <v>21</v>
      </c>
      <c r="C81" s="2" t="s">
        <v>42</v>
      </c>
      <c r="D81" s="2" t="s">
        <v>10</v>
      </c>
      <c r="E81" s="2" t="s">
        <v>27</v>
      </c>
      <c r="G81" s="2" t="s">
        <v>20</v>
      </c>
      <c r="H81" s="2" t="s">
        <v>20</v>
      </c>
      <c r="I81" s="2" t="s">
        <v>20</v>
      </c>
      <c r="J81" s="7">
        <v>4</v>
      </c>
      <c r="K81" s="7">
        <v>55000</v>
      </c>
      <c r="L81" s="7">
        <v>100000</v>
      </c>
      <c r="N81" s="8"/>
    </row>
    <row r="82" spans="1:14" x14ac:dyDescent="0.3">
      <c r="A82" s="2" t="s">
        <v>21</v>
      </c>
      <c r="C82" s="2" t="s">
        <v>42</v>
      </c>
      <c r="D82" s="2" t="s">
        <v>31</v>
      </c>
      <c r="E82" s="2" t="s">
        <v>27</v>
      </c>
      <c r="G82" s="2" t="s">
        <v>20</v>
      </c>
      <c r="H82" s="2" t="s">
        <v>20</v>
      </c>
      <c r="I82" s="2" t="s">
        <v>20</v>
      </c>
      <c r="J82" s="7">
        <v>2</v>
      </c>
      <c r="K82" s="7">
        <v>55000</v>
      </c>
      <c r="L82" s="7">
        <v>100000</v>
      </c>
    </row>
    <row r="83" spans="1:14" x14ac:dyDescent="0.3">
      <c r="A83" s="2" t="s">
        <v>21</v>
      </c>
      <c r="C83" s="2" t="s">
        <v>42</v>
      </c>
      <c r="D83" s="2" t="s">
        <v>10</v>
      </c>
      <c r="E83" s="2" t="s">
        <v>25</v>
      </c>
      <c r="G83" s="2" t="s">
        <v>20</v>
      </c>
      <c r="H83" s="2" t="s">
        <v>20</v>
      </c>
      <c r="I83" s="2" t="s">
        <v>20</v>
      </c>
      <c r="J83" s="7">
        <v>4</v>
      </c>
      <c r="K83" s="7">
        <v>55000</v>
      </c>
      <c r="L83" s="7">
        <v>100000</v>
      </c>
      <c r="N83" s="8"/>
    </row>
    <row r="84" spans="1:14" x14ac:dyDescent="0.3">
      <c r="A84" s="2" t="s">
        <v>21</v>
      </c>
      <c r="C84" s="2" t="s">
        <v>42</v>
      </c>
      <c r="D84" s="2" t="s">
        <v>29</v>
      </c>
      <c r="E84" s="2" t="s">
        <v>25</v>
      </c>
      <c r="G84" s="2" t="s">
        <v>20</v>
      </c>
      <c r="H84" s="2" t="s">
        <v>20</v>
      </c>
      <c r="I84" s="2" t="s">
        <v>20</v>
      </c>
      <c r="J84" s="7">
        <v>2</v>
      </c>
      <c r="K84" s="7">
        <v>55000</v>
      </c>
      <c r="L84" s="7">
        <v>100000</v>
      </c>
    </row>
    <row r="85" spans="1:14" x14ac:dyDescent="0.3">
      <c r="A85" s="2" t="s">
        <v>21</v>
      </c>
      <c r="C85" s="2" t="s">
        <v>42</v>
      </c>
      <c r="D85" s="2" t="s">
        <v>31</v>
      </c>
      <c r="E85" s="2" t="s">
        <v>25</v>
      </c>
      <c r="G85" s="2" t="s">
        <v>20</v>
      </c>
      <c r="H85" s="2" t="s">
        <v>20</v>
      </c>
      <c r="I85" s="2" t="s">
        <v>20</v>
      </c>
      <c r="J85" s="7">
        <v>2</v>
      </c>
      <c r="K85" s="7">
        <v>55000</v>
      </c>
      <c r="L85" s="7">
        <v>100000</v>
      </c>
    </row>
    <row r="86" spans="1:14" x14ac:dyDescent="0.3">
      <c r="A86" s="2" t="s">
        <v>21</v>
      </c>
      <c r="C86" s="2" t="s">
        <v>42</v>
      </c>
      <c r="D86" s="2" t="s">
        <v>31</v>
      </c>
      <c r="E86" s="2" t="s">
        <v>30</v>
      </c>
      <c r="G86" s="2" t="s">
        <v>20</v>
      </c>
      <c r="H86" s="2" t="s">
        <v>20</v>
      </c>
      <c r="I86" s="2" t="s">
        <v>20</v>
      </c>
      <c r="J86" s="7">
        <v>2</v>
      </c>
      <c r="K86" s="7">
        <v>55000</v>
      </c>
      <c r="L86" s="7">
        <v>100000</v>
      </c>
    </row>
    <row r="87" spans="1:14" x14ac:dyDescent="0.3">
      <c r="A87" s="2" t="s">
        <v>21</v>
      </c>
      <c r="C87" s="2" t="s">
        <v>42</v>
      </c>
      <c r="D87" s="2" t="s">
        <v>29</v>
      </c>
      <c r="E87" s="2" t="s">
        <v>30</v>
      </c>
      <c r="G87" s="2" t="s">
        <v>20</v>
      </c>
      <c r="H87" s="2" t="s">
        <v>20</v>
      </c>
      <c r="I87" s="2" t="s">
        <v>20</v>
      </c>
      <c r="J87" s="7">
        <v>2</v>
      </c>
      <c r="K87" s="7">
        <v>55000</v>
      </c>
      <c r="L87" s="7">
        <v>100000</v>
      </c>
    </row>
    <row r="88" spans="1:14" x14ac:dyDescent="0.3">
      <c r="A88" s="2" t="s">
        <v>21</v>
      </c>
      <c r="C88" s="2" t="s">
        <v>42</v>
      </c>
      <c r="D88" s="2" t="s">
        <v>10</v>
      </c>
      <c r="E88" s="2" t="s">
        <v>30</v>
      </c>
      <c r="G88" s="2" t="s">
        <v>20</v>
      </c>
      <c r="H88" s="2" t="s">
        <v>20</v>
      </c>
      <c r="I88" s="2" t="s">
        <v>20</v>
      </c>
      <c r="J88" s="7">
        <v>3</v>
      </c>
      <c r="K88" s="7">
        <v>55000</v>
      </c>
      <c r="L88" s="7">
        <v>100000</v>
      </c>
      <c r="N88" s="8"/>
    </row>
    <row r="89" spans="1:14" x14ac:dyDescent="0.3">
      <c r="A89" s="2" t="s">
        <v>21</v>
      </c>
      <c r="C89" s="2" t="s">
        <v>42</v>
      </c>
      <c r="D89" s="2" t="s">
        <v>10</v>
      </c>
      <c r="E89" s="2" t="s">
        <v>26</v>
      </c>
      <c r="G89" s="2" t="s">
        <v>20</v>
      </c>
      <c r="H89" s="2" t="s">
        <v>20</v>
      </c>
      <c r="I89" s="2" t="s">
        <v>20</v>
      </c>
      <c r="J89" s="7">
        <v>1</v>
      </c>
      <c r="K89" s="7">
        <v>55000</v>
      </c>
      <c r="L89" s="7">
        <v>100000</v>
      </c>
    </row>
    <row r="90" spans="1:14" x14ac:dyDescent="0.3">
      <c r="A90" s="2" t="s">
        <v>21</v>
      </c>
      <c r="C90" s="2" t="s">
        <v>43</v>
      </c>
      <c r="D90" s="2" t="s">
        <v>29</v>
      </c>
      <c r="E90" s="2" t="s">
        <v>27</v>
      </c>
      <c r="G90" s="2" t="s">
        <v>20</v>
      </c>
      <c r="H90" s="2" t="s">
        <v>20</v>
      </c>
      <c r="I90" s="2" t="s">
        <v>20</v>
      </c>
      <c r="J90" s="7">
        <v>1</v>
      </c>
      <c r="K90" s="7">
        <v>45000</v>
      </c>
      <c r="L90" s="7">
        <v>90000</v>
      </c>
      <c r="N90" s="8"/>
    </row>
    <row r="91" spans="1:14" x14ac:dyDescent="0.3">
      <c r="A91" s="2" t="s">
        <v>21</v>
      </c>
      <c r="C91" s="2" t="s">
        <v>43</v>
      </c>
      <c r="D91" s="2" t="s">
        <v>31</v>
      </c>
      <c r="E91" s="2" t="s">
        <v>27</v>
      </c>
      <c r="G91" s="2" t="s">
        <v>20</v>
      </c>
      <c r="H91" s="2" t="s">
        <v>20</v>
      </c>
      <c r="I91" s="2" t="s">
        <v>20</v>
      </c>
      <c r="J91" s="7">
        <v>2</v>
      </c>
      <c r="K91" s="7">
        <v>45000</v>
      </c>
      <c r="L91" s="7">
        <v>90000</v>
      </c>
      <c r="N91" s="8"/>
    </row>
    <row r="92" spans="1:14" x14ac:dyDescent="0.3">
      <c r="A92" s="2" t="s">
        <v>21</v>
      </c>
      <c r="C92" s="2" t="s">
        <v>43</v>
      </c>
      <c r="D92" s="2" t="s">
        <v>10</v>
      </c>
      <c r="E92" s="2" t="s">
        <v>25</v>
      </c>
      <c r="G92" s="2" t="s">
        <v>20</v>
      </c>
      <c r="H92" s="2" t="s">
        <v>20</v>
      </c>
      <c r="I92" s="2" t="s">
        <v>20</v>
      </c>
      <c r="J92" s="7">
        <v>1</v>
      </c>
      <c r="K92" s="7">
        <v>45000</v>
      </c>
      <c r="L92" s="7">
        <v>90000</v>
      </c>
      <c r="N92" s="8"/>
    </row>
    <row r="93" spans="1:14" x14ac:dyDescent="0.3">
      <c r="A93" s="2" t="s">
        <v>21</v>
      </c>
      <c r="C93" s="2" t="s">
        <v>43</v>
      </c>
      <c r="D93" s="2" t="s">
        <v>29</v>
      </c>
      <c r="E93" s="2" t="s">
        <v>11</v>
      </c>
      <c r="G93" s="2" t="s">
        <v>20</v>
      </c>
      <c r="H93" s="2" t="s">
        <v>20</v>
      </c>
      <c r="I93" s="2" t="s">
        <v>20</v>
      </c>
      <c r="J93" s="7">
        <v>1</v>
      </c>
      <c r="K93" s="7">
        <v>45000</v>
      </c>
      <c r="L93" s="7">
        <v>90000</v>
      </c>
      <c r="N93" s="8"/>
    </row>
    <row r="94" spans="1:14" x14ac:dyDescent="0.3">
      <c r="A94" s="2" t="s">
        <v>21</v>
      </c>
      <c r="C94" s="2" t="s">
        <v>43</v>
      </c>
      <c r="D94" s="2" t="s">
        <v>31</v>
      </c>
      <c r="E94" s="2" t="s">
        <v>11</v>
      </c>
      <c r="G94" s="2" t="s">
        <v>20</v>
      </c>
      <c r="H94" s="2" t="s">
        <v>20</v>
      </c>
      <c r="I94" s="2" t="s">
        <v>20</v>
      </c>
      <c r="J94" s="7">
        <v>1</v>
      </c>
      <c r="K94" s="7">
        <v>45000</v>
      </c>
      <c r="L94" s="7">
        <v>90000</v>
      </c>
    </row>
    <row r="95" spans="1:14" x14ac:dyDescent="0.3">
      <c r="A95" s="2" t="s">
        <v>21</v>
      </c>
      <c r="C95" s="2" t="s">
        <v>43</v>
      </c>
      <c r="D95" s="2" t="s">
        <v>31</v>
      </c>
      <c r="E95" s="2" t="s">
        <v>30</v>
      </c>
      <c r="G95" s="2" t="s">
        <v>20</v>
      </c>
      <c r="H95" s="2" t="s">
        <v>20</v>
      </c>
      <c r="I95" s="2" t="s">
        <v>20</v>
      </c>
      <c r="J95" s="7">
        <v>2</v>
      </c>
      <c r="K95" s="7">
        <v>45000</v>
      </c>
      <c r="L95" s="7">
        <v>90000</v>
      </c>
    </row>
    <row r="96" spans="1:14" x14ac:dyDescent="0.3">
      <c r="A96" s="2" t="s">
        <v>21</v>
      </c>
      <c r="C96" s="2" t="s">
        <v>43</v>
      </c>
      <c r="D96" s="2" t="s">
        <v>29</v>
      </c>
      <c r="E96" s="2" t="s">
        <v>30</v>
      </c>
      <c r="G96" s="2" t="s">
        <v>20</v>
      </c>
      <c r="H96" s="2" t="s">
        <v>20</v>
      </c>
      <c r="I96" s="2" t="s">
        <v>20</v>
      </c>
      <c r="J96" s="7">
        <v>1</v>
      </c>
      <c r="K96" s="7">
        <v>45000</v>
      </c>
      <c r="L96" s="7">
        <v>90000</v>
      </c>
    </row>
    <row r="97" spans="1:14" x14ac:dyDescent="0.3">
      <c r="A97" s="2" t="s">
        <v>21</v>
      </c>
      <c r="C97" s="2" t="s">
        <v>41</v>
      </c>
      <c r="D97" s="2" t="s">
        <v>31</v>
      </c>
      <c r="E97" s="2" t="s">
        <v>27</v>
      </c>
      <c r="G97" s="2" t="s">
        <v>20</v>
      </c>
      <c r="H97" s="2" t="s">
        <v>20</v>
      </c>
      <c r="I97" s="2" t="s">
        <v>20</v>
      </c>
      <c r="J97" s="7">
        <v>1</v>
      </c>
      <c r="K97" s="7">
        <v>55000</v>
      </c>
      <c r="L97" s="7">
        <v>100000</v>
      </c>
      <c r="N97" s="8"/>
    </row>
    <row r="98" spans="1:14" x14ac:dyDescent="0.3">
      <c r="A98" s="2" t="s">
        <v>21</v>
      </c>
      <c r="C98" s="2" t="s">
        <v>41</v>
      </c>
      <c r="D98" s="2" t="s">
        <v>10</v>
      </c>
      <c r="E98" s="2" t="s">
        <v>27</v>
      </c>
      <c r="G98" s="2" t="s">
        <v>20</v>
      </c>
      <c r="H98" s="2" t="s">
        <v>20</v>
      </c>
      <c r="I98" s="2" t="s">
        <v>20</v>
      </c>
      <c r="J98" s="7">
        <v>2</v>
      </c>
      <c r="K98" s="7">
        <v>55000</v>
      </c>
      <c r="L98" s="7">
        <v>100000</v>
      </c>
      <c r="N98" s="8"/>
    </row>
    <row r="99" spans="1:14" x14ac:dyDescent="0.3">
      <c r="A99" s="2" t="s">
        <v>21</v>
      </c>
      <c r="C99" s="2" t="s">
        <v>41</v>
      </c>
      <c r="D99" s="2" t="s">
        <v>29</v>
      </c>
      <c r="E99" s="2" t="s">
        <v>25</v>
      </c>
      <c r="G99" s="2" t="s">
        <v>20</v>
      </c>
      <c r="H99" s="2" t="s">
        <v>20</v>
      </c>
      <c r="I99" s="2" t="s">
        <v>20</v>
      </c>
      <c r="J99" s="7">
        <v>1</v>
      </c>
      <c r="K99" s="7">
        <v>55000</v>
      </c>
      <c r="L99" s="7">
        <v>100000</v>
      </c>
    </row>
    <row r="100" spans="1:14" x14ac:dyDescent="0.3">
      <c r="A100" s="2" t="s">
        <v>21</v>
      </c>
      <c r="C100" s="2" t="s">
        <v>41</v>
      </c>
      <c r="D100" s="2" t="s">
        <v>10</v>
      </c>
      <c r="E100" s="2" t="s">
        <v>25</v>
      </c>
      <c r="G100" s="2" t="s">
        <v>20</v>
      </c>
      <c r="H100" s="2" t="s">
        <v>20</v>
      </c>
      <c r="I100" s="2" t="s">
        <v>20</v>
      </c>
      <c r="J100" s="7">
        <v>1</v>
      </c>
      <c r="K100" s="7">
        <v>55000</v>
      </c>
      <c r="L100" s="7">
        <v>100000</v>
      </c>
      <c r="N100" s="8"/>
    </row>
    <row r="101" spans="1:14" x14ac:dyDescent="0.3">
      <c r="A101" s="2" t="s">
        <v>21</v>
      </c>
      <c r="C101" s="2" t="s">
        <v>41</v>
      </c>
      <c r="D101" s="2" t="s">
        <v>29</v>
      </c>
      <c r="E101" s="2" t="s">
        <v>11</v>
      </c>
      <c r="G101" s="2" t="s">
        <v>20</v>
      </c>
      <c r="H101" s="2" t="s">
        <v>20</v>
      </c>
      <c r="I101" s="2" t="s">
        <v>20</v>
      </c>
      <c r="J101" s="7">
        <v>1</v>
      </c>
      <c r="K101" s="7">
        <v>55000</v>
      </c>
      <c r="L101" s="7">
        <v>100000</v>
      </c>
      <c r="N101" s="8"/>
    </row>
    <row r="102" spans="1:14" x14ac:dyDescent="0.3">
      <c r="A102" s="2" t="s">
        <v>21</v>
      </c>
      <c r="C102" s="2" t="s">
        <v>41</v>
      </c>
      <c r="D102" s="2" t="s">
        <v>29</v>
      </c>
      <c r="E102" s="2" t="s">
        <v>30</v>
      </c>
      <c r="G102" s="2" t="s">
        <v>20</v>
      </c>
      <c r="H102" s="2" t="s">
        <v>20</v>
      </c>
      <c r="I102" s="2" t="s">
        <v>20</v>
      </c>
      <c r="J102" s="7">
        <v>2</v>
      </c>
      <c r="K102" s="7">
        <v>55000</v>
      </c>
      <c r="L102" s="7">
        <v>100000</v>
      </c>
    </row>
    <row r="103" spans="1:14" x14ac:dyDescent="0.3">
      <c r="A103" s="2" t="s">
        <v>21</v>
      </c>
      <c r="C103" s="2" t="s">
        <v>41</v>
      </c>
      <c r="D103" s="2" t="s">
        <v>31</v>
      </c>
      <c r="E103" s="2" t="s">
        <v>30</v>
      </c>
      <c r="G103" s="2" t="s">
        <v>20</v>
      </c>
      <c r="H103" s="2" t="s">
        <v>20</v>
      </c>
      <c r="I103" s="2" t="s">
        <v>20</v>
      </c>
      <c r="J103" s="7">
        <v>1</v>
      </c>
      <c r="K103" s="7">
        <v>55000</v>
      </c>
      <c r="L103" s="7">
        <v>100000</v>
      </c>
      <c r="N103" s="8"/>
    </row>
    <row r="104" spans="1:14" x14ac:dyDescent="0.3">
      <c r="A104" s="2" t="s">
        <v>12</v>
      </c>
      <c r="C104" s="2" t="s">
        <v>73</v>
      </c>
      <c r="J104" s="7">
        <v>1</v>
      </c>
      <c r="K104" s="7">
        <v>320000</v>
      </c>
      <c r="L104" s="7">
        <v>420000</v>
      </c>
    </row>
    <row r="105" spans="1:14" x14ac:dyDescent="0.3">
      <c r="A105" s="2" t="s">
        <v>12</v>
      </c>
      <c r="C105" s="2" t="s">
        <v>72</v>
      </c>
      <c r="J105" s="7">
        <v>1</v>
      </c>
      <c r="K105" s="7">
        <v>255000</v>
      </c>
      <c r="L105" s="7">
        <v>390000</v>
      </c>
    </row>
    <row r="106" spans="1:14" x14ac:dyDescent="0.3">
      <c r="A106" s="2" t="s">
        <v>12</v>
      </c>
      <c r="C106" s="2" t="s">
        <v>74</v>
      </c>
      <c r="J106" s="7">
        <v>1</v>
      </c>
      <c r="K106" s="7">
        <v>220000</v>
      </c>
      <c r="L106" s="7">
        <v>350000</v>
      </c>
    </row>
    <row r="107" spans="1:14" x14ac:dyDescent="0.3">
      <c r="A107" s="2" t="s">
        <v>12</v>
      </c>
      <c r="C107" s="2" t="s">
        <v>76</v>
      </c>
      <c r="J107" s="7">
        <v>1</v>
      </c>
      <c r="K107" s="7">
        <v>120000</v>
      </c>
      <c r="L107" s="7">
        <v>250000</v>
      </c>
      <c r="N107" s="8"/>
    </row>
    <row r="108" spans="1:14" x14ac:dyDescent="0.3">
      <c r="A108" s="2" t="s">
        <v>12</v>
      </c>
      <c r="C108" s="2" t="s">
        <v>75</v>
      </c>
      <c r="J108" s="7">
        <v>1</v>
      </c>
      <c r="K108" s="7">
        <v>230000</v>
      </c>
      <c r="L108" s="7">
        <v>350000</v>
      </c>
    </row>
    <row r="109" spans="1:14" x14ac:dyDescent="0.3">
      <c r="A109" s="2" t="s">
        <v>68</v>
      </c>
      <c r="C109" s="2" t="s">
        <v>69</v>
      </c>
      <c r="J109" s="7">
        <v>10</v>
      </c>
      <c r="K109" s="7">
        <v>5000</v>
      </c>
      <c r="L109" s="7">
        <v>25000</v>
      </c>
      <c r="N109" s="8"/>
    </row>
    <row r="110" spans="1:14" x14ac:dyDescent="0.3">
      <c r="A110" s="2" t="s">
        <v>68</v>
      </c>
      <c r="C110" s="2" t="s">
        <v>71</v>
      </c>
      <c r="J110" s="7">
        <v>5</v>
      </c>
      <c r="K110" s="7">
        <v>8500</v>
      </c>
      <c r="L110" s="7">
        <v>25000</v>
      </c>
      <c r="N110" s="8"/>
    </row>
    <row r="111" spans="1:14" x14ac:dyDescent="0.3">
      <c r="A111" s="2" t="s">
        <v>68</v>
      </c>
      <c r="C111" s="2" t="s">
        <v>70</v>
      </c>
      <c r="J111" s="7">
        <v>10</v>
      </c>
      <c r="K111" s="7">
        <v>6900</v>
      </c>
      <c r="L111" s="7">
        <v>25000</v>
      </c>
    </row>
    <row r="112" spans="1:14" x14ac:dyDescent="0.3">
      <c r="A112" s="2" t="s">
        <v>14</v>
      </c>
      <c r="C112" s="2" t="s">
        <v>60</v>
      </c>
      <c r="D112" s="2" t="s">
        <v>15</v>
      </c>
      <c r="J112" s="7">
        <v>4</v>
      </c>
      <c r="K112" s="7">
        <v>6000</v>
      </c>
      <c r="L112" s="7">
        <v>20000</v>
      </c>
      <c r="N112" s="8"/>
    </row>
    <row r="113" spans="1:14" x14ac:dyDescent="0.3">
      <c r="A113" s="2" t="s">
        <v>14</v>
      </c>
      <c r="C113" s="2" t="s">
        <v>64</v>
      </c>
      <c r="J113" s="7">
        <v>1</v>
      </c>
      <c r="K113" s="7">
        <v>10500</v>
      </c>
      <c r="L113" s="7">
        <v>25000</v>
      </c>
    </row>
    <row r="114" spans="1:14" x14ac:dyDescent="0.3">
      <c r="A114" s="2" t="s">
        <v>14</v>
      </c>
      <c r="C114" s="2" t="s">
        <v>65</v>
      </c>
      <c r="J114" s="7">
        <v>1</v>
      </c>
      <c r="K114" s="7">
        <v>11000</v>
      </c>
      <c r="L114" s="7">
        <v>20000</v>
      </c>
      <c r="N114" s="8"/>
    </row>
    <row r="115" spans="1:14" x14ac:dyDescent="0.3">
      <c r="A115" s="2" t="s">
        <v>14</v>
      </c>
      <c r="C115" s="2" t="s">
        <v>67</v>
      </c>
      <c r="J115" s="7">
        <v>1</v>
      </c>
      <c r="K115" s="7">
        <v>7500</v>
      </c>
      <c r="L115" s="7">
        <v>20000</v>
      </c>
      <c r="N115" s="8"/>
    </row>
    <row r="116" spans="1:14" x14ac:dyDescent="0.3">
      <c r="A116" s="2" t="s">
        <v>14</v>
      </c>
      <c r="C116" s="2" t="s">
        <v>66</v>
      </c>
      <c r="J116" s="7">
        <v>1</v>
      </c>
      <c r="K116" s="7">
        <v>9000</v>
      </c>
      <c r="L116" s="7">
        <v>20000</v>
      </c>
      <c r="N116" s="8"/>
    </row>
    <row r="117" spans="1:14" x14ac:dyDescent="0.3">
      <c r="A117" s="2" t="s">
        <v>14</v>
      </c>
      <c r="C117" s="2" t="s">
        <v>77</v>
      </c>
      <c r="J117" s="7">
        <v>1</v>
      </c>
      <c r="K117" s="7">
        <v>45000</v>
      </c>
      <c r="L117" s="7">
        <v>75000</v>
      </c>
      <c r="N117" s="8"/>
    </row>
    <row r="118" spans="1:14" x14ac:dyDescent="0.3">
      <c r="A118" s="2" t="s">
        <v>14</v>
      </c>
      <c r="C118" s="2" t="s">
        <v>58</v>
      </c>
      <c r="D118" s="2" t="s">
        <v>59</v>
      </c>
      <c r="J118" s="7">
        <v>1</v>
      </c>
      <c r="K118" s="7">
        <v>15000</v>
      </c>
      <c r="L118" s="7">
        <v>35000</v>
      </c>
      <c r="N118" s="8"/>
    </row>
    <row r="119" spans="1:14" x14ac:dyDescent="0.3">
      <c r="A119" s="2" t="s">
        <v>14</v>
      </c>
      <c r="C119" s="2" t="s">
        <v>56</v>
      </c>
      <c r="D119" s="2" t="s">
        <v>39</v>
      </c>
      <c r="J119" s="7">
        <v>2</v>
      </c>
      <c r="K119" s="7">
        <v>20000</v>
      </c>
      <c r="L119" s="7">
        <v>40000</v>
      </c>
      <c r="N119" s="8"/>
    </row>
    <row r="120" spans="1:14" x14ac:dyDescent="0.3">
      <c r="A120" s="2" t="s">
        <v>14</v>
      </c>
      <c r="C120" s="2" t="s">
        <v>56</v>
      </c>
      <c r="D120" s="2" t="s">
        <v>57</v>
      </c>
      <c r="J120" s="7">
        <v>2</v>
      </c>
      <c r="K120" s="7">
        <v>18000</v>
      </c>
      <c r="L120" s="7">
        <v>35000</v>
      </c>
      <c r="N120" s="8"/>
    </row>
    <row r="121" spans="1:14" x14ac:dyDescent="0.3">
      <c r="A121" s="2" t="s">
        <v>14</v>
      </c>
      <c r="C121" s="2" t="s">
        <v>62</v>
      </c>
      <c r="J121" s="7">
        <v>1</v>
      </c>
      <c r="K121" s="7">
        <v>11000</v>
      </c>
      <c r="L121" s="7">
        <v>25000</v>
      </c>
    </row>
    <row r="122" spans="1:14" x14ac:dyDescent="0.3">
      <c r="A122" s="2" t="s">
        <v>14</v>
      </c>
      <c r="C122" s="2" t="s">
        <v>63</v>
      </c>
      <c r="J122" s="7">
        <v>3</v>
      </c>
      <c r="K122" s="7">
        <v>19500</v>
      </c>
      <c r="L122" s="7">
        <v>35000</v>
      </c>
    </row>
    <row r="123" spans="1:14" x14ac:dyDescent="0.3">
      <c r="A123" s="2" t="s">
        <v>14</v>
      </c>
      <c r="C123" s="2" t="s">
        <v>61</v>
      </c>
      <c r="J123" s="7">
        <v>1</v>
      </c>
      <c r="K123" s="7">
        <v>22000</v>
      </c>
      <c r="L123" s="7">
        <v>35000</v>
      </c>
      <c r="N123" s="8"/>
    </row>
    <row r="124" spans="1:14" x14ac:dyDescent="0.3">
      <c r="J124" s="7"/>
      <c r="K124" s="7"/>
      <c r="L124" s="7"/>
      <c r="N124" s="8"/>
    </row>
    <row r="125" spans="1:14" x14ac:dyDescent="0.3">
      <c r="J125" s="7"/>
      <c r="K125" s="7"/>
      <c r="L125" s="7"/>
      <c r="N125" s="8"/>
    </row>
    <row r="126" spans="1:14" x14ac:dyDescent="0.3">
      <c r="J126" s="7"/>
      <c r="K126" s="7"/>
      <c r="L126" s="7"/>
      <c r="N126" s="8"/>
    </row>
    <row r="127" spans="1:14" x14ac:dyDescent="0.3">
      <c r="J127" s="7"/>
      <c r="K127" s="7"/>
      <c r="L127" s="7"/>
    </row>
    <row r="128" spans="1:14" x14ac:dyDescent="0.3">
      <c r="J128" s="7"/>
      <c r="K128" s="7"/>
      <c r="L128" s="7"/>
    </row>
    <row r="129" spans="10:14" x14ac:dyDescent="0.3">
      <c r="J129" s="7"/>
      <c r="K129" s="7"/>
      <c r="L129" s="7"/>
      <c r="N129" s="8"/>
    </row>
    <row r="130" spans="10:14" x14ac:dyDescent="0.3">
      <c r="J130" s="7"/>
      <c r="K130" s="7"/>
      <c r="L130" s="7"/>
      <c r="N130" s="8"/>
    </row>
    <row r="131" spans="10:14" x14ac:dyDescent="0.3">
      <c r="J131" s="7"/>
      <c r="K131" s="7"/>
      <c r="L131" s="7"/>
      <c r="N131" s="8"/>
    </row>
    <row r="132" spans="10:14" x14ac:dyDescent="0.3">
      <c r="J132" s="7"/>
      <c r="K132" s="7"/>
      <c r="L132" s="7"/>
      <c r="N132" s="8"/>
    </row>
    <row r="133" spans="10:14" x14ac:dyDescent="0.3">
      <c r="J133" s="7"/>
      <c r="K133" s="7"/>
      <c r="L133" s="7"/>
    </row>
    <row r="134" spans="10:14" x14ac:dyDescent="0.3">
      <c r="J134" s="7"/>
      <c r="K134" s="7"/>
      <c r="L134" s="7"/>
    </row>
    <row r="135" spans="10:14" x14ac:dyDescent="0.3">
      <c r="J135" s="7"/>
      <c r="K135" s="7"/>
      <c r="L135" s="7"/>
    </row>
    <row r="136" spans="10:14" x14ac:dyDescent="0.3">
      <c r="J136" s="7"/>
      <c r="K136" s="7"/>
      <c r="L136" s="7"/>
    </row>
    <row r="137" spans="10:14" x14ac:dyDescent="0.3">
      <c r="J137" s="7"/>
      <c r="K137" s="7"/>
      <c r="L137" s="7"/>
    </row>
    <row r="138" spans="10:14" x14ac:dyDescent="0.3">
      <c r="J138" s="7"/>
      <c r="K138" s="7"/>
      <c r="L138" s="7"/>
    </row>
    <row r="139" spans="10:14" x14ac:dyDescent="0.3">
      <c r="J139" s="7"/>
      <c r="K139" s="7"/>
      <c r="L139" s="7"/>
    </row>
    <row r="140" spans="10:14" x14ac:dyDescent="0.3">
      <c r="J140" s="7"/>
      <c r="K140" s="7"/>
      <c r="L140" s="7"/>
    </row>
    <row r="141" spans="10:14" x14ac:dyDescent="0.3">
      <c r="J141" s="7"/>
      <c r="K141" s="7"/>
      <c r="L141" s="7"/>
    </row>
    <row r="142" spans="10:14" x14ac:dyDescent="0.3">
      <c r="J142" s="7"/>
      <c r="K142" s="7"/>
      <c r="L142" s="7"/>
    </row>
    <row r="143" spans="10:14" x14ac:dyDescent="0.3">
      <c r="J143" s="7"/>
      <c r="K143" s="7"/>
      <c r="L143" s="7"/>
    </row>
    <row r="144" spans="10:14" x14ac:dyDescent="0.3">
      <c r="J144" s="7"/>
      <c r="K144" s="7"/>
      <c r="L144" s="7"/>
    </row>
    <row r="145" spans="10:12" x14ac:dyDescent="0.3">
      <c r="J145" s="7"/>
      <c r="K145" s="7"/>
      <c r="L145" s="7"/>
    </row>
    <row r="146" spans="10:12" x14ac:dyDescent="0.3">
      <c r="J146" s="7"/>
      <c r="K146" s="7"/>
      <c r="L146" s="7"/>
    </row>
    <row r="147" spans="10:12" x14ac:dyDescent="0.3">
      <c r="J147" s="7"/>
      <c r="K147" s="7"/>
      <c r="L147" s="7"/>
    </row>
    <row r="148" spans="10:12" x14ac:dyDescent="0.3">
      <c r="J148" s="7"/>
      <c r="K148" s="7"/>
      <c r="L148" s="7"/>
    </row>
    <row r="149" spans="10:12" x14ac:dyDescent="0.3">
      <c r="J149" s="7"/>
      <c r="K149" s="7"/>
      <c r="L149" s="7"/>
    </row>
    <row r="150" spans="10:12" x14ac:dyDescent="0.3">
      <c r="J150" s="7"/>
      <c r="K150" s="7"/>
      <c r="L150" s="7"/>
    </row>
    <row r="151" spans="10:12" x14ac:dyDescent="0.3">
      <c r="J151" s="7"/>
      <c r="K151" s="7"/>
      <c r="L151" s="7"/>
    </row>
  </sheetData>
  <autoFilter ref="A2:P2" xr:uid="{00000000-0001-0000-0000-000000000000}">
    <sortState xmlns:xlrd2="http://schemas.microsoft.com/office/spreadsheetml/2017/richdata2" ref="A3:P123">
      <sortCondition descending="1" ref="A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fisico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JPRE</cp:lastModifiedBy>
  <dcterms:created xsi:type="dcterms:W3CDTF">2026-04-21T21:31:10Z</dcterms:created>
  <dcterms:modified xsi:type="dcterms:W3CDTF">2026-04-24T06:22:43Z</dcterms:modified>
</cp:coreProperties>
</file>