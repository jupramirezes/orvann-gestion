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Personal\Negocios\ORVANN\orvann-gestion\docs\referencia\"/>
    </mc:Choice>
  </mc:AlternateContent>
  <xr:revisionPtr revIDLastSave="0" documentId="13_ncr:1_{48EBB8AA-6048-4E04-B90B-F15652129809}" xr6:coauthVersionLast="47" xr6:coauthVersionMax="47" xr10:uidLastSave="{00000000-0000-0000-0000-000000000000}"/>
  <bookViews>
    <workbookView xWindow="-108" yWindow="-108" windowWidth="23256" windowHeight="13896" firstSheet="1" activeTab="9" xr2:uid="{00000000-000D-0000-FFFF-FFFF00000000}"/>
  </bookViews>
  <sheets>
    <sheet name="Resumen" sheetId="1" r:id="rId1"/>
    <sheet name="Inventario" sheetId="2" r:id="rId2"/>
    <sheet name="Ventas" sheetId="3" r:id="rId3"/>
    <sheet name="Caja Diaria" sheetId="4" state="hidden" r:id="rId4"/>
    <sheet name="Pedidos Proveedores" sheetId="5" r:id="rId5"/>
    <sheet name="Gastos" sheetId="6" r:id="rId6"/>
    <sheet name="Costos Fijos" sheetId="7" r:id="rId7"/>
    <sheet name="Análisis Precios" sheetId="8" state="hidden" r:id="rId8"/>
    <sheet name="P.Eq  Proyeccion" sheetId="9" r:id="rId9"/>
    <sheet name="Cotizador" sheetId="10" r:id="rId10"/>
    <sheet name="Cierre de caja" sheetId="11" r:id="rId11"/>
  </sheets>
  <definedNames>
    <definedName name="_xlnm._FilterDatabase" localSheetId="5" hidden="1">Gastos!$A$1:$AD$174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0" i="11" l="1"/>
  <c r="F20" i="11"/>
  <c r="E20" i="11"/>
  <c r="D20" i="11"/>
  <c r="J20" i="11" s="1"/>
  <c r="B20" i="11"/>
  <c r="G19" i="11"/>
  <c r="F19" i="11"/>
  <c r="E19" i="11"/>
  <c r="D19" i="11"/>
  <c r="J19" i="11" s="1"/>
  <c r="B19" i="11"/>
  <c r="G18" i="11"/>
  <c r="F18" i="11"/>
  <c r="E18" i="11"/>
  <c r="D18" i="11"/>
  <c r="J18" i="11" s="1"/>
  <c r="B18" i="11"/>
  <c r="G17" i="11"/>
  <c r="J17" i="11" s="1"/>
  <c r="F17" i="11"/>
  <c r="E17" i="11"/>
  <c r="D17" i="11"/>
  <c r="B17" i="11"/>
  <c r="G16" i="11"/>
  <c r="J16" i="11" s="1"/>
  <c r="E16" i="11"/>
  <c r="D16" i="11"/>
  <c r="B16" i="11"/>
  <c r="G15" i="11"/>
  <c r="F15" i="11"/>
  <c r="E15" i="11"/>
  <c r="D15" i="11"/>
  <c r="J15" i="11" s="1"/>
  <c r="B15" i="11"/>
  <c r="J14" i="11"/>
  <c r="G14" i="11"/>
  <c r="F14" i="11"/>
  <c r="E14" i="11"/>
  <c r="D14" i="11"/>
  <c r="B14" i="11"/>
  <c r="J13" i="11"/>
  <c r="G13" i="11"/>
  <c r="F13" i="11"/>
  <c r="E13" i="11"/>
  <c r="D13" i="11"/>
  <c r="B13" i="11"/>
  <c r="G12" i="11"/>
  <c r="F12" i="11"/>
  <c r="E12" i="11"/>
  <c r="D12" i="11"/>
  <c r="J12" i="11" s="1"/>
  <c r="B12" i="11"/>
  <c r="G11" i="11"/>
  <c r="F11" i="11"/>
  <c r="E11" i="11"/>
  <c r="D11" i="11"/>
  <c r="J11" i="11" s="1"/>
  <c r="B11" i="11"/>
  <c r="G10" i="11"/>
  <c r="J10" i="11" s="1"/>
  <c r="F10" i="11"/>
  <c r="E10" i="11"/>
  <c r="D10" i="11"/>
  <c r="B10" i="11"/>
  <c r="G9" i="11"/>
  <c r="J9" i="11" s="1"/>
  <c r="F9" i="11"/>
  <c r="E9" i="11"/>
  <c r="D9" i="11"/>
  <c r="B9" i="11"/>
  <c r="G8" i="11"/>
  <c r="J8" i="11" s="1"/>
  <c r="F8" i="11"/>
  <c r="E8" i="11"/>
  <c r="D8" i="11"/>
  <c r="B8" i="11"/>
  <c r="G7" i="11"/>
  <c r="F7" i="11"/>
  <c r="E7" i="11"/>
  <c r="D7" i="11"/>
  <c r="J7" i="11" s="1"/>
  <c r="B7" i="11"/>
  <c r="J6" i="11"/>
  <c r="G6" i="11"/>
  <c r="F6" i="11"/>
  <c r="E6" i="11"/>
  <c r="D6" i="11"/>
  <c r="B6" i="11"/>
  <c r="J5" i="11"/>
  <c r="G5" i="11"/>
  <c r="F5" i="11"/>
  <c r="E5" i="11"/>
  <c r="D5" i="11"/>
  <c r="B5" i="11"/>
  <c r="G4" i="11"/>
  <c r="F4" i="11"/>
  <c r="E4" i="11"/>
  <c r="D4" i="11"/>
  <c r="J4" i="11" s="1"/>
  <c r="B4" i="11"/>
  <c r="G3" i="11"/>
  <c r="F3" i="11"/>
  <c r="E3" i="11"/>
  <c r="D3" i="11"/>
  <c r="J3" i="11" s="1"/>
  <c r="B3" i="11"/>
  <c r="G2" i="11"/>
  <c r="F2" i="11"/>
  <c r="E2" i="11"/>
  <c r="B2" i="11"/>
  <c r="E187" i="10"/>
  <c r="B192" i="10" s="1"/>
  <c r="Z186" i="10"/>
  <c r="Q185" i="10"/>
  <c r="M185" i="10"/>
  <c r="L185" i="10"/>
  <c r="K185" i="10"/>
  <c r="J185" i="10"/>
  <c r="I185" i="10"/>
  <c r="H185" i="10"/>
  <c r="G185" i="10"/>
  <c r="F185" i="10"/>
  <c r="Q184" i="10"/>
  <c r="I184" i="10"/>
  <c r="H184" i="10"/>
  <c r="G184" i="10"/>
  <c r="F184" i="10"/>
  <c r="V183" i="10"/>
  <c r="Q183" i="10"/>
  <c r="I183" i="10"/>
  <c r="H183" i="10"/>
  <c r="G183" i="10"/>
  <c r="F183" i="10"/>
  <c r="Q182" i="10"/>
  <c r="I182" i="10"/>
  <c r="H182" i="10"/>
  <c r="G182" i="10"/>
  <c r="F182" i="10"/>
  <c r="V181" i="10"/>
  <c r="Q181" i="10"/>
  <c r="I181" i="10"/>
  <c r="H181" i="10"/>
  <c r="G181" i="10"/>
  <c r="F181" i="10"/>
  <c r="V180" i="10"/>
  <c r="Q180" i="10"/>
  <c r="I180" i="10"/>
  <c r="H180" i="10"/>
  <c r="G180" i="10"/>
  <c r="F180" i="10"/>
  <c r="Q179" i="10"/>
  <c r="I179" i="10"/>
  <c r="H179" i="10"/>
  <c r="G179" i="10"/>
  <c r="V179" i="10" s="1"/>
  <c r="F179" i="10"/>
  <c r="Q178" i="10"/>
  <c r="I178" i="10"/>
  <c r="H178" i="10"/>
  <c r="G178" i="10"/>
  <c r="V178" i="10" s="1"/>
  <c r="F178" i="10"/>
  <c r="V177" i="10"/>
  <c r="Q177" i="10"/>
  <c r="I177" i="10"/>
  <c r="H177" i="10"/>
  <c r="G177" i="10"/>
  <c r="F177" i="10"/>
  <c r="Q176" i="10"/>
  <c r="I176" i="10"/>
  <c r="H176" i="10"/>
  <c r="G176" i="10"/>
  <c r="V176" i="10" s="1"/>
  <c r="F176" i="10"/>
  <c r="V175" i="10"/>
  <c r="Q175" i="10"/>
  <c r="I175" i="10"/>
  <c r="H175" i="10"/>
  <c r="G175" i="10"/>
  <c r="F175" i="10"/>
  <c r="Q174" i="10"/>
  <c r="I174" i="10"/>
  <c r="H174" i="10"/>
  <c r="G174" i="10"/>
  <c r="V174" i="10" s="1"/>
  <c r="F174" i="10"/>
  <c r="V173" i="10"/>
  <c r="Q173" i="10"/>
  <c r="I173" i="10"/>
  <c r="H173" i="10"/>
  <c r="G173" i="10"/>
  <c r="F173" i="10"/>
  <c r="V172" i="10"/>
  <c r="Q172" i="10"/>
  <c r="I172" i="10"/>
  <c r="H172" i="10"/>
  <c r="G172" i="10"/>
  <c r="F172" i="10"/>
  <c r="V171" i="10"/>
  <c r="Q171" i="10"/>
  <c r="I171" i="10"/>
  <c r="H171" i="10"/>
  <c r="G171" i="10"/>
  <c r="F171" i="10"/>
  <c r="Q170" i="10"/>
  <c r="I170" i="10"/>
  <c r="H170" i="10"/>
  <c r="G170" i="10"/>
  <c r="F170" i="10"/>
  <c r="Q169" i="10"/>
  <c r="I169" i="10"/>
  <c r="H169" i="10"/>
  <c r="G169" i="10"/>
  <c r="V169" i="10" s="1"/>
  <c r="F169" i="10"/>
  <c r="V168" i="10"/>
  <c r="Q168" i="10"/>
  <c r="I168" i="10"/>
  <c r="H168" i="10"/>
  <c r="G168" i="10"/>
  <c r="F168" i="10"/>
  <c r="V167" i="10"/>
  <c r="Q167" i="10"/>
  <c r="I167" i="10"/>
  <c r="H167" i="10"/>
  <c r="G167" i="10"/>
  <c r="F167" i="10"/>
  <c r="Q166" i="10"/>
  <c r="I166" i="10"/>
  <c r="H166" i="10"/>
  <c r="G166" i="10"/>
  <c r="F166" i="10"/>
  <c r="V165" i="10"/>
  <c r="Q165" i="10"/>
  <c r="I165" i="10"/>
  <c r="H165" i="10"/>
  <c r="G165" i="10"/>
  <c r="F165" i="10"/>
  <c r="V164" i="10"/>
  <c r="Q164" i="10"/>
  <c r="I164" i="10"/>
  <c r="H164" i="10"/>
  <c r="G164" i="10"/>
  <c r="F164" i="10"/>
  <c r="Q163" i="10"/>
  <c r="I163" i="10"/>
  <c r="H163" i="10"/>
  <c r="G163" i="10"/>
  <c r="V163" i="10" s="1"/>
  <c r="F163" i="10"/>
  <c r="Q162" i="10"/>
  <c r="I162" i="10"/>
  <c r="H162" i="10"/>
  <c r="G162" i="10"/>
  <c r="V162" i="10" s="1"/>
  <c r="F162" i="10"/>
  <c r="V161" i="10"/>
  <c r="Q161" i="10"/>
  <c r="I161" i="10"/>
  <c r="H161" i="10"/>
  <c r="G161" i="10"/>
  <c r="F161" i="10"/>
  <c r="Q160" i="10"/>
  <c r="I160" i="10"/>
  <c r="H160" i="10"/>
  <c r="G160" i="10"/>
  <c r="V160" i="10" s="1"/>
  <c r="F160" i="10"/>
  <c r="V159" i="10"/>
  <c r="Q159" i="10"/>
  <c r="I159" i="10"/>
  <c r="H159" i="10"/>
  <c r="G159" i="10"/>
  <c r="F159" i="10"/>
  <c r="Q158" i="10"/>
  <c r="I158" i="10"/>
  <c r="H158" i="10"/>
  <c r="G158" i="10"/>
  <c r="V158" i="10" s="1"/>
  <c r="F158" i="10"/>
  <c r="V157" i="10"/>
  <c r="Q157" i="10"/>
  <c r="I157" i="10"/>
  <c r="H157" i="10"/>
  <c r="G157" i="10"/>
  <c r="F157" i="10"/>
  <c r="V156" i="10"/>
  <c r="Q156" i="10"/>
  <c r="I156" i="10"/>
  <c r="H156" i="10"/>
  <c r="G156" i="10"/>
  <c r="F156" i="10"/>
  <c r="V155" i="10"/>
  <c r="Q155" i="10"/>
  <c r="I155" i="10"/>
  <c r="H155" i="10"/>
  <c r="G155" i="10"/>
  <c r="F155" i="10"/>
  <c r="Q154" i="10"/>
  <c r="I154" i="10"/>
  <c r="H154" i="10"/>
  <c r="G154" i="10"/>
  <c r="F154" i="10"/>
  <c r="Q153" i="10"/>
  <c r="I153" i="10"/>
  <c r="H153" i="10"/>
  <c r="G153" i="10"/>
  <c r="V153" i="10" s="1"/>
  <c r="F153" i="10"/>
  <c r="V152" i="10"/>
  <c r="Q152" i="10"/>
  <c r="I152" i="10"/>
  <c r="H152" i="10"/>
  <c r="G152" i="10"/>
  <c r="F152" i="10"/>
  <c r="Q151" i="10"/>
  <c r="L151" i="10"/>
  <c r="AC151" i="10" s="1"/>
  <c r="J151" i="10"/>
  <c r="I151" i="10"/>
  <c r="H151" i="10"/>
  <c r="G151" i="10"/>
  <c r="V151" i="10" s="1"/>
  <c r="F151" i="10"/>
  <c r="Q150" i="10"/>
  <c r="P150" i="10"/>
  <c r="AB150" i="10" s="1"/>
  <c r="L150" i="10"/>
  <c r="M150" i="10" s="1"/>
  <c r="J150" i="10"/>
  <c r="I150" i="10"/>
  <c r="H150" i="10"/>
  <c r="G150" i="10"/>
  <c r="N150" i="10" s="1"/>
  <c r="Y150" i="10" s="1"/>
  <c r="F150" i="10"/>
  <c r="V149" i="10"/>
  <c r="Q149" i="10"/>
  <c r="P149" i="10"/>
  <c r="AB149" i="10" s="1"/>
  <c r="L149" i="10"/>
  <c r="AF149" i="10" s="1"/>
  <c r="J149" i="10"/>
  <c r="I149" i="10"/>
  <c r="H149" i="10"/>
  <c r="G149" i="10"/>
  <c r="N149" i="10" s="1"/>
  <c r="Y149" i="10" s="1"/>
  <c r="F149" i="10"/>
  <c r="V148" i="10"/>
  <c r="Q148" i="10"/>
  <c r="L148" i="10"/>
  <c r="P148" i="10" s="1"/>
  <c r="AB148" i="10" s="1"/>
  <c r="J148" i="10"/>
  <c r="I148" i="10"/>
  <c r="H148" i="10"/>
  <c r="K148" i="10" s="1"/>
  <c r="G148" i="10"/>
  <c r="F148" i="10"/>
  <c r="AF147" i="10"/>
  <c r="V147" i="10"/>
  <c r="Q147" i="10"/>
  <c r="L147" i="10"/>
  <c r="J147" i="10"/>
  <c r="I147" i="10"/>
  <c r="N147" i="10" s="1"/>
  <c r="Y147" i="10" s="1"/>
  <c r="H147" i="10"/>
  <c r="G147" i="10"/>
  <c r="F147" i="10"/>
  <c r="AB146" i="10"/>
  <c r="V146" i="10"/>
  <c r="Q146" i="10"/>
  <c r="P146" i="10"/>
  <c r="M146" i="10"/>
  <c r="L146" i="10"/>
  <c r="Z146" i="10" s="1"/>
  <c r="J146" i="10"/>
  <c r="I146" i="10"/>
  <c r="H146" i="10"/>
  <c r="G146" i="10"/>
  <c r="F146" i="10"/>
  <c r="AC145" i="10"/>
  <c r="Q145" i="10"/>
  <c r="N145" i="10"/>
  <c r="Y145" i="10" s="1"/>
  <c r="L145" i="10"/>
  <c r="M145" i="10" s="1"/>
  <c r="K145" i="10"/>
  <c r="J145" i="10"/>
  <c r="I145" i="10"/>
  <c r="H145" i="10"/>
  <c r="G145" i="10"/>
  <c r="V145" i="10" s="1"/>
  <c r="F145" i="10"/>
  <c r="AI144" i="10"/>
  <c r="AF144" i="10"/>
  <c r="Q144" i="10"/>
  <c r="P144" i="10"/>
  <c r="AB144" i="10" s="1"/>
  <c r="L144" i="10"/>
  <c r="J144" i="10"/>
  <c r="I144" i="10"/>
  <c r="H144" i="10"/>
  <c r="G144" i="10"/>
  <c r="F144" i="10"/>
  <c r="AB143" i="10"/>
  <c r="V143" i="10"/>
  <c r="Q143" i="10"/>
  <c r="N143" i="10"/>
  <c r="Y143" i="10" s="1"/>
  <c r="M143" i="10"/>
  <c r="L143" i="10"/>
  <c r="P143" i="10" s="1"/>
  <c r="J143" i="10"/>
  <c r="I143" i="10"/>
  <c r="H143" i="10"/>
  <c r="G143" i="10"/>
  <c r="K143" i="10" s="1"/>
  <c r="F143" i="10"/>
  <c r="AK142" i="10"/>
  <c r="AF142" i="10"/>
  <c r="AG142" i="10" s="1"/>
  <c r="AC142" i="10"/>
  <c r="AE142" i="10" s="1"/>
  <c r="AB142" i="10"/>
  <c r="Z142" i="10"/>
  <c r="Q142" i="10"/>
  <c r="P142" i="10"/>
  <c r="M142" i="10"/>
  <c r="L142" i="10"/>
  <c r="AI142" i="10" s="1"/>
  <c r="AJ142" i="10" s="1"/>
  <c r="J142" i="10"/>
  <c r="I142" i="10"/>
  <c r="K142" i="10" s="1"/>
  <c r="H142" i="10"/>
  <c r="G142" i="10"/>
  <c r="V142" i="10" s="1"/>
  <c r="F142" i="10"/>
  <c r="Z141" i="10"/>
  <c r="V141" i="10"/>
  <c r="Q141" i="10"/>
  <c r="P141" i="10"/>
  <c r="AB141" i="10" s="1"/>
  <c r="N141" i="10"/>
  <c r="Y141" i="10" s="1"/>
  <c r="L141" i="10"/>
  <c r="M141" i="10" s="1"/>
  <c r="J141" i="10"/>
  <c r="I141" i="10"/>
  <c r="H141" i="10"/>
  <c r="G141" i="10"/>
  <c r="K141" i="10" s="1"/>
  <c r="F141" i="10"/>
  <c r="AF140" i="10"/>
  <c r="AG140" i="10" s="1"/>
  <c r="Z140" i="10"/>
  <c r="Q140" i="10"/>
  <c r="M140" i="10"/>
  <c r="L140" i="10"/>
  <c r="AC140" i="10" s="1"/>
  <c r="J140" i="10"/>
  <c r="I140" i="10"/>
  <c r="H140" i="10"/>
  <c r="G140" i="10"/>
  <c r="F140" i="10"/>
  <c r="AI139" i="10"/>
  <c r="AC139" i="10"/>
  <c r="V139" i="10"/>
  <c r="Q139" i="10"/>
  <c r="L139" i="10"/>
  <c r="J139" i="10"/>
  <c r="I139" i="10"/>
  <c r="H139" i="10"/>
  <c r="G139" i="10"/>
  <c r="F139" i="10"/>
  <c r="AH138" i="10"/>
  <c r="AG138" i="10"/>
  <c r="AF138" i="10"/>
  <c r="AD138" i="10"/>
  <c r="AC138" i="10"/>
  <c r="AE138" i="10" s="1"/>
  <c r="Z138" i="10"/>
  <c r="V138" i="10"/>
  <c r="Q138" i="10"/>
  <c r="P138" i="10"/>
  <c r="AB138" i="10" s="1"/>
  <c r="M138" i="10"/>
  <c r="L138" i="10"/>
  <c r="AI138" i="10" s="1"/>
  <c r="J138" i="10"/>
  <c r="I138" i="10"/>
  <c r="K138" i="10" s="1"/>
  <c r="H138" i="10"/>
  <c r="G138" i="10"/>
  <c r="N138" i="10" s="1"/>
  <c r="Y138" i="10" s="1"/>
  <c r="F138" i="10"/>
  <c r="AK137" i="10"/>
  <c r="AE137" i="10"/>
  <c r="AC137" i="10"/>
  <c r="AD137" i="10" s="1"/>
  <c r="Z137" i="10"/>
  <c r="V137" i="10"/>
  <c r="Q137" i="10"/>
  <c r="P137" i="10"/>
  <c r="AB137" i="10" s="1"/>
  <c r="N137" i="10"/>
  <c r="Y137" i="10" s="1"/>
  <c r="M137" i="10"/>
  <c r="L137" i="10"/>
  <c r="AI137" i="10" s="1"/>
  <c r="AJ137" i="10" s="1"/>
  <c r="J137" i="10"/>
  <c r="I137" i="10"/>
  <c r="H137" i="10"/>
  <c r="K137" i="10" s="1"/>
  <c r="G137" i="10"/>
  <c r="F137" i="10"/>
  <c r="AF136" i="10"/>
  <c r="AD136" i="10"/>
  <c r="Q136" i="10"/>
  <c r="M136" i="10"/>
  <c r="L136" i="10"/>
  <c r="AC136" i="10" s="1"/>
  <c r="AE136" i="10" s="1"/>
  <c r="J136" i="10"/>
  <c r="I136" i="10"/>
  <c r="H136" i="10"/>
  <c r="G136" i="10"/>
  <c r="F136" i="10"/>
  <c r="AG135" i="10"/>
  <c r="AF135" i="10"/>
  <c r="AH135" i="10" s="1"/>
  <c r="AE135" i="10"/>
  <c r="AC135" i="10"/>
  <c r="AD135" i="10" s="1"/>
  <c r="AB135" i="10"/>
  <c r="Z135" i="10"/>
  <c r="V135" i="10"/>
  <c r="Q135" i="10"/>
  <c r="P135" i="10"/>
  <c r="M135" i="10"/>
  <c r="L135" i="10"/>
  <c r="AI135" i="10" s="1"/>
  <c r="J135" i="10"/>
  <c r="I135" i="10"/>
  <c r="H135" i="10"/>
  <c r="G135" i="10"/>
  <c r="F135" i="10"/>
  <c r="AJ134" i="10"/>
  <c r="AH134" i="10"/>
  <c r="AF134" i="10"/>
  <c r="AG134" i="10" s="1"/>
  <c r="AC134" i="10"/>
  <c r="V134" i="10"/>
  <c r="Q134" i="10"/>
  <c r="P134" i="10"/>
  <c r="AB134" i="10" s="1"/>
  <c r="N134" i="10"/>
  <c r="Y134" i="10" s="1"/>
  <c r="M134" i="10"/>
  <c r="L134" i="10"/>
  <c r="AI134" i="10" s="1"/>
  <c r="AK134" i="10" s="1"/>
  <c r="K134" i="10"/>
  <c r="J134" i="10"/>
  <c r="I134" i="10"/>
  <c r="H134" i="10"/>
  <c r="G134" i="10"/>
  <c r="F134" i="10"/>
  <c r="Q133" i="10"/>
  <c r="P133" i="10"/>
  <c r="AB133" i="10" s="1"/>
  <c r="L133" i="10"/>
  <c r="AI133" i="10" s="1"/>
  <c r="J133" i="10"/>
  <c r="I133" i="10"/>
  <c r="H133" i="10"/>
  <c r="G133" i="10"/>
  <c r="F133" i="10"/>
  <c r="AJ132" i="10"/>
  <c r="V132" i="10"/>
  <c r="Q132" i="10"/>
  <c r="P132" i="10"/>
  <c r="AB132" i="10" s="1"/>
  <c r="M132" i="10"/>
  <c r="L132" i="10"/>
  <c r="AI132" i="10" s="1"/>
  <c r="AK132" i="10" s="1"/>
  <c r="K132" i="10"/>
  <c r="J132" i="10"/>
  <c r="I132" i="10"/>
  <c r="H132" i="10"/>
  <c r="N132" i="10" s="1"/>
  <c r="Y132" i="10" s="1"/>
  <c r="G132" i="10"/>
  <c r="F132" i="10"/>
  <c r="AI131" i="10"/>
  <c r="AE131" i="10"/>
  <c r="AC131" i="10"/>
  <c r="AD131" i="10" s="1"/>
  <c r="V131" i="10"/>
  <c r="Q131" i="10"/>
  <c r="L131" i="10"/>
  <c r="J131" i="10"/>
  <c r="I131" i="10"/>
  <c r="H131" i="10"/>
  <c r="G131" i="10"/>
  <c r="F131" i="10"/>
  <c r="V130" i="10"/>
  <c r="Q130" i="10"/>
  <c r="P130" i="10"/>
  <c r="AB130" i="10" s="1"/>
  <c r="L130" i="10"/>
  <c r="J130" i="10"/>
  <c r="I130" i="10"/>
  <c r="H130" i="10"/>
  <c r="G130" i="10"/>
  <c r="F130" i="10"/>
  <c r="AI129" i="10"/>
  <c r="AJ129" i="10" s="1"/>
  <c r="AE129" i="10"/>
  <c r="AC129" i="10"/>
  <c r="AD129" i="10" s="1"/>
  <c r="Q129" i="10"/>
  <c r="L129" i="10"/>
  <c r="J129" i="10"/>
  <c r="K129" i="10" s="1"/>
  <c r="I129" i="10"/>
  <c r="H129" i="10"/>
  <c r="G129" i="10"/>
  <c r="V129" i="10" s="1"/>
  <c r="F129" i="10"/>
  <c r="Q128" i="10"/>
  <c r="L128" i="10"/>
  <c r="J128" i="10"/>
  <c r="I128" i="10"/>
  <c r="N128" i="10" s="1"/>
  <c r="Y128" i="10" s="1"/>
  <c r="H128" i="10"/>
  <c r="G128" i="10"/>
  <c r="F128" i="10"/>
  <c r="Q127" i="10"/>
  <c r="L127" i="10"/>
  <c r="J127" i="10"/>
  <c r="N127" i="10" s="1"/>
  <c r="Y127" i="10" s="1"/>
  <c r="I127" i="10"/>
  <c r="H127" i="10"/>
  <c r="G127" i="10"/>
  <c r="V127" i="10" s="1"/>
  <c r="F127" i="10"/>
  <c r="AH126" i="10"/>
  <c r="AG126" i="10"/>
  <c r="AF126" i="10"/>
  <c r="AD126" i="10"/>
  <c r="AC126" i="10"/>
  <c r="AE126" i="10" s="1"/>
  <c r="V126" i="10"/>
  <c r="Q126" i="10"/>
  <c r="L126" i="10"/>
  <c r="Z126" i="10" s="1"/>
  <c r="J126" i="10"/>
  <c r="I126" i="10"/>
  <c r="H126" i="10"/>
  <c r="G126" i="10"/>
  <c r="K126" i="10" s="1"/>
  <c r="F126" i="10"/>
  <c r="AF125" i="10"/>
  <c r="Z125" i="10"/>
  <c r="Q125" i="10"/>
  <c r="L125" i="10"/>
  <c r="K125" i="10"/>
  <c r="J125" i="10"/>
  <c r="I125" i="10"/>
  <c r="H125" i="10"/>
  <c r="G125" i="10"/>
  <c r="V125" i="10" s="1"/>
  <c r="F125" i="10"/>
  <c r="AK124" i="10"/>
  <c r="AJ124" i="10"/>
  <c r="AI124" i="10"/>
  <c r="AF124" i="10"/>
  <c r="AG124" i="10" s="1"/>
  <c r="Q124" i="10"/>
  <c r="M124" i="10"/>
  <c r="L124" i="10"/>
  <c r="J124" i="10"/>
  <c r="I124" i="10"/>
  <c r="H124" i="10"/>
  <c r="G124" i="10"/>
  <c r="F124" i="10"/>
  <c r="AF123" i="10"/>
  <c r="Q123" i="10"/>
  <c r="N123" i="10"/>
  <c r="Y123" i="10" s="1"/>
  <c r="L123" i="10"/>
  <c r="K123" i="10"/>
  <c r="J123" i="10"/>
  <c r="I123" i="10"/>
  <c r="H123" i="10"/>
  <c r="G123" i="10"/>
  <c r="V123" i="10" s="1"/>
  <c r="F123" i="10"/>
  <c r="AK122" i="10"/>
  <c r="AG122" i="10"/>
  <c r="AF122" i="10"/>
  <c r="AH122" i="10" s="1"/>
  <c r="AC122" i="10"/>
  <c r="Z122" i="10"/>
  <c r="V122" i="10"/>
  <c r="Q122" i="10"/>
  <c r="P122" i="10"/>
  <c r="AB122" i="10" s="1"/>
  <c r="M122" i="10"/>
  <c r="L122" i="10"/>
  <c r="AI122" i="10" s="1"/>
  <c r="AJ122" i="10" s="1"/>
  <c r="K122" i="10"/>
  <c r="J122" i="10"/>
  <c r="I122" i="10"/>
  <c r="H122" i="10"/>
  <c r="N122" i="10" s="1"/>
  <c r="Y122" i="10" s="1"/>
  <c r="G122" i="10"/>
  <c r="F122" i="10"/>
  <c r="AK121" i="10"/>
  <c r="AJ121" i="10"/>
  <c r="AF121" i="10"/>
  <c r="AE121" i="10"/>
  <c r="AC121" i="10"/>
  <c r="AD121" i="10" s="1"/>
  <c r="Z121" i="10"/>
  <c r="Q121" i="10"/>
  <c r="P121" i="10"/>
  <c r="AB121" i="10" s="1"/>
  <c r="M121" i="10"/>
  <c r="L121" i="10"/>
  <c r="AI121" i="10" s="1"/>
  <c r="J121" i="10"/>
  <c r="I121" i="10"/>
  <c r="H121" i="10"/>
  <c r="G121" i="10"/>
  <c r="F121" i="10"/>
  <c r="AJ120" i="10"/>
  <c r="AI120" i="10"/>
  <c r="AK120" i="10" s="1"/>
  <c r="AG120" i="10"/>
  <c r="AF120" i="10"/>
  <c r="AH120" i="10" s="1"/>
  <c r="AE120" i="10"/>
  <c r="AC120" i="10"/>
  <c r="AD120" i="10" s="1"/>
  <c r="Z120" i="10"/>
  <c r="V120" i="10"/>
  <c r="Q120" i="10"/>
  <c r="P120" i="10"/>
  <c r="AB120" i="10" s="1"/>
  <c r="M120" i="10"/>
  <c r="L120" i="10"/>
  <c r="J120" i="10"/>
  <c r="I120" i="10"/>
  <c r="H120" i="10"/>
  <c r="G120" i="10"/>
  <c r="F120" i="10"/>
  <c r="AJ119" i="10"/>
  <c r="AF119" i="10"/>
  <c r="AE119" i="10"/>
  <c r="AC119" i="10"/>
  <c r="AD119" i="10" s="1"/>
  <c r="AB119" i="10"/>
  <c r="Z119" i="10"/>
  <c r="V119" i="10"/>
  <c r="Q119" i="10"/>
  <c r="P119" i="10"/>
  <c r="N119" i="10"/>
  <c r="Y119" i="10" s="1"/>
  <c r="M119" i="10"/>
  <c r="L119" i="10"/>
  <c r="AI119" i="10" s="1"/>
  <c r="AK119" i="10" s="1"/>
  <c r="J119" i="10"/>
  <c r="I119" i="10"/>
  <c r="H119" i="10"/>
  <c r="K119" i="10" s="1"/>
  <c r="G119" i="10"/>
  <c r="F119" i="10"/>
  <c r="AC118" i="10"/>
  <c r="AE118" i="10" s="1"/>
  <c r="Q118" i="10"/>
  <c r="L118" i="10"/>
  <c r="J118" i="10"/>
  <c r="I118" i="10"/>
  <c r="H118" i="10"/>
  <c r="G118" i="10"/>
  <c r="F118" i="10"/>
  <c r="Y117" i="10"/>
  <c r="Q117" i="10"/>
  <c r="L117" i="10"/>
  <c r="K117" i="10"/>
  <c r="J117" i="10"/>
  <c r="I117" i="10"/>
  <c r="H117" i="10"/>
  <c r="G117" i="10"/>
  <c r="N117" i="10" s="1"/>
  <c r="F117" i="10"/>
  <c r="AK116" i="10"/>
  <c r="AI116" i="10"/>
  <c r="AJ116" i="10" s="1"/>
  <c r="AH116" i="10"/>
  <c r="AF116" i="10"/>
  <c r="AG116" i="10" s="1"/>
  <c r="Z116" i="10"/>
  <c r="V116" i="10"/>
  <c r="Q116" i="10"/>
  <c r="N116" i="10"/>
  <c r="Y116" i="10" s="1"/>
  <c r="M116" i="10"/>
  <c r="L116" i="10"/>
  <c r="AC116" i="10" s="1"/>
  <c r="K116" i="10"/>
  <c r="J116" i="10"/>
  <c r="I116" i="10"/>
  <c r="H116" i="10"/>
  <c r="G116" i="10"/>
  <c r="F116" i="10"/>
  <c r="AC115" i="10"/>
  <c r="V115" i="10"/>
  <c r="Q115" i="10"/>
  <c r="M115" i="10"/>
  <c r="L115" i="10"/>
  <c r="J115" i="10"/>
  <c r="I115" i="10"/>
  <c r="H115" i="10"/>
  <c r="N115" i="10" s="1"/>
  <c r="Y115" i="10" s="1"/>
  <c r="G115" i="10"/>
  <c r="AJ114" i="10"/>
  <c r="AI114" i="10"/>
  <c r="AK114" i="10" s="1"/>
  <c r="AF114" i="10"/>
  <c r="AH114" i="10" s="1"/>
  <c r="AC114" i="10"/>
  <c r="AE114" i="10" s="1"/>
  <c r="Q114" i="10"/>
  <c r="L114" i="10"/>
  <c r="Z114" i="10" s="1"/>
  <c r="J114" i="10"/>
  <c r="I114" i="10"/>
  <c r="H114" i="10"/>
  <c r="G114" i="10"/>
  <c r="AF113" i="10"/>
  <c r="AH113" i="10" s="1"/>
  <c r="AC113" i="10"/>
  <c r="V113" i="10"/>
  <c r="Q113" i="10"/>
  <c r="P113" i="10"/>
  <c r="AB113" i="10" s="1"/>
  <c r="M113" i="10"/>
  <c r="L113" i="10"/>
  <c r="AI113" i="10" s="1"/>
  <c r="J113" i="10"/>
  <c r="I113" i="10"/>
  <c r="H113" i="10"/>
  <c r="G113" i="10"/>
  <c r="AK112" i="10"/>
  <c r="AI112" i="10"/>
  <c r="AJ112" i="10" s="1"/>
  <c r="AH112" i="10"/>
  <c r="AG112" i="10"/>
  <c r="AF112" i="10"/>
  <c r="AC112" i="10"/>
  <c r="AE112" i="10" s="1"/>
  <c r="Z112" i="10"/>
  <c r="Q112" i="10"/>
  <c r="P112" i="10"/>
  <c r="AB112" i="10" s="1"/>
  <c r="M112" i="10"/>
  <c r="L112" i="10"/>
  <c r="J112" i="10"/>
  <c r="I112" i="10"/>
  <c r="H112" i="10"/>
  <c r="G112" i="10"/>
  <c r="AF111" i="10"/>
  <c r="AB111" i="10"/>
  <c r="V111" i="10"/>
  <c r="Q111" i="10"/>
  <c r="P111" i="10"/>
  <c r="L111" i="10"/>
  <c r="M111" i="10" s="1"/>
  <c r="J111" i="10"/>
  <c r="I111" i="10"/>
  <c r="H111" i="10"/>
  <c r="G111" i="10"/>
  <c r="K111" i="10" s="1"/>
  <c r="AG110" i="10"/>
  <c r="AF110" i="10"/>
  <c r="AH110" i="10" s="1"/>
  <c r="AD110" i="10"/>
  <c r="AC110" i="10"/>
  <c r="AE110" i="10" s="1"/>
  <c r="Z110" i="10"/>
  <c r="Q110" i="10"/>
  <c r="P110" i="10"/>
  <c r="AB110" i="10" s="1"/>
  <c r="M110" i="10"/>
  <c r="L110" i="10"/>
  <c r="AI110" i="10" s="1"/>
  <c r="AK110" i="10" s="1"/>
  <c r="J110" i="10"/>
  <c r="I110" i="10"/>
  <c r="H110" i="10"/>
  <c r="G110" i="10"/>
  <c r="AF109" i="10"/>
  <c r="AB109" i="10"/>
  <c r="V109" i="10"/>
  <c r="Q109" i="10"/>
  <c r="P109" i="10"/>
  <c r="L109" i="10"/>
  <c r="AI109" i="10" s="1"/>
  <c r="AJ109" i="10" s="1"/>
  <c r="J109" i="10"/>
  <c r="I109" i="10"/>
  <c r="N109" i="10" s="1"/>
  <c r="Y109" i="10" s="1"/>
  <c r="H109" i="10"/>
  <c r="G109" i="10"/>
  <c r="AJ108" i="10"/>
  <c r="AF108" i="10"/>
  <c r="AC108" i="10"/>
  <c r="AE108" i="10" s="1"/>
  <c r="Z108" i="10"/>
  <c r="Q108" i="10"/>
  <c r="P108" i="10"/>
  <c r="AB108" i="10" s="1"/>
  <c r="M108" i="10"/>
  <c r="L108" i="10"/>
  <c r="AI108" i="10" s="1"/>
  <c r="AK108" i="10" s="1"/>
  <c r="J108" i="10"/>
  <c r="I108" i="10"/>
  <c r="H108" i="10"/>
  <c r="G108" i="10"/>
  <c r="AI107" i="10"/>
  <c r="Q107" i="10"/>
  <c r="L107" i="10"/>
  <c r="AF107" i="10" s="1"/>
  <c r="J107" i="10"/>
  <c r="I107" i="10"/>
  <c r="H107" i="10"/>
  <c r="G107" i="10"/>
  <c r="V107" i="10" s="1"/>
  <c r="AG106" i="10"/>
  <c r="AF106" i="10"/>
  <c r="AH106" i="10" s="1"/>
  <c r="AC106" i="10"/>
  <c r="AE106" i="10" s="1"/>
  <c r="Z106" i="10"/>
  <c r="Q106" i="10"/>
  <c r="P106" i="10"/>
  <c r="AB106" i="10" s="1"/>
  <c r="M106" i="10"/>
  <c r="L106" i="10"/>
  <c r="AI106" i="10" s="1"/>
  <c r="AK106" i="10" s="1"/>
  <c r="J106" i="10"/>
  <c r="I106" i="10"/>
  <c r="H106" i="10"/>
  <c r="G106" i="10"/>
  <c r="AF105" i="10"/>
  <c r="V105" i="10"/>
  <c r="Q105" i="10"/>
  <c r="P105" i="10"/>
  <c r="AB105" i="10" s="1"/>
  <c r="L105" i="10"/>
  <c r="AI105" i="10" s="1"/>
  <c r="J105" i="10"/>
  <c r="I105" i="10"/>
  <c r="H105" i="10"/>
  <c r="G105" i="10"/>
  <c r="AJ104" i="10"/>
  <c r="AF104" i="10"/>
  <c r="AC104" i="10"/>
  <c r="Z104" i="10"/>
  <c r="Q104" i="10"/>
  <c r="P104" i="10"/>
  <c r="AB104" i="10" s="1"/>
  <c r="M104" i="10"/>
  <c r="L104" i="10"/>
  <c r="AI104" i="10" s="1"/>
  <c r="AK104" i="10" s="1"/>
  <c r="J104" i="10"/>
  <c r="I104" i="10"/>
  <c r="H104" i="10"/>
  <c r="G104" i="10"/>
  <c r="AK103" i="10"/>
  <c r="AI103" i="10"/>
  <c r="AJ103" i="10" s="1"/>
  <c r="AF103" i="10"/>
  <c r="Q103" i="10"/>
  <c r="P103" i="10"/>
  <c r="AB103" i="10" s="1"/>
  <c r="L103" i="10"/>
  <c r="J103" i="10"/>
  <c r="I103" i="10"/>
  <c r="H103" i="10"/>
  <c r="G103" i="10"/>
  <c r="K103" i="10" s="1"/>
  <c r="AJ102" i="10"/>
  <c r="AG102" i="10"/>
  <c r="AF102" i="10"/>
  <c r="AH102" i="10" s="1"/>
  <c r="AD102" i="10"/>
  <c r="AC102" i="10"/>
  <c r="AE102" i="10" s="1"/>
  <c r="Z102" i="10"/>
  <c r="Q102" i="10"/>
  <c r="P102" i="10"/>
  <c r="AB102" i="10" s="1"/>
  <c r="M102" i="10"/>
  <c r="L102" i="10"/>
  <c r="AI102" i="10" s="1"/>
  <c r="AK102" i="10" s="1"/>
  <c r="J102" i="10"/>
  <c r="I102" i="10"/>
  <c r="H102" i="10"/>
  <c r="G102" i="10"/>
  <c r="AI101" i="10"/>
  <c r="AJ101" i="10" s="1"/>
  <c r="V101" i="10"/>
  <c r="Q101" i="10"/>
  <c r="L101" i="10"/>
  <c r="J101" i="10"/>
  <c r="I101" i="10"/>
  <c r="H101" i="10"/>
  <c r="N101" i="10" s="1"/>
  <c r="Y101" i="10" s="1"/>
  <c r="G101" i="10"/>
  <c r="AG100" i="10"/>
  <c r="AF100" i="10"/>
  <c r="AH100" i="10" s="1"/>
  <c r="AC100" i="10"/>
  <c r="Z100" i="10"/>
  <c r="Q100" i="10"/>
  <c r="P100" i="10"/>
  <c r="AB100" i="10" s="1"/>
  <c r="M100" i="10"/>
  <c r="L100" i="10"/>
  <c r="AI100" i="10" s="1"/>
  <c r="AK100" i="10" s="1"/>
  <c r="J100" i="10"/>
  <c r="I100" i="10"/>
  <c r="H100" i="10"/>
  <c r="G100" i="10"/>
  <c r="Q99" i="10"/>
  <c r="L99" i="10"/>
  <c r="J99" i="10"/>
  <c r="I99" i="10"/>
  <c r="H99" i="10"/>
  <c r="G99" i="10"/>
  <c r="AJ98" i="10"/>
  <c r="AF98" i="10"/>
  <c r="AH98" i="10" s="1"/>
  <c r="AD98" i="10"/>
  <c r="AC98" i="10"/>
  <c r="AE98" i="10" s="1"/>
  <c r="Z98" i="10"/>
  <c r="Q98" i="10"/>
  <c r="P98" i="10"/>
  <c r="AB98" i="10" s="1"/>
  <c r="M98" i="10"/>
  <c r="L98" i="10"/>
  <c r="AI98" i="10" s="1"/>
  <c r="AK98" i="10" s="1"/>
  <c r="J98" i="10"/>
  <c r="I98" i="10"/>
  <c r="H98" i="10"/>
  <c r="G98" i="10"/>
  <c r="AK97" i="10"/>
  <c r="AI97" i="10"/>
  <c r="AJ97" i="10" s="1"/>
  <c r="AF97" i="10"/>
  <c r="V97" i="10"/>
  <c r="Q97" i="10"/>
  <c r="P97" i="10"/>
  <c r="AB97" i="10" s="1"/>
  <c r="L97" i="10"/>
  <c r="J97" i="10"/>
  <c r="I97" i="10"/>
  <c r="N97" i="10" s="1"/>
  <c r="Y97" i="10" s="1"/>
  <c r="H97" i="10"/>
  <c r="G97" i="10"/>
  <c r="AJ96" i="10"/>
  <c r="AF96" i="10"/>
  <c r="AD96" i="10"/>
  <c r="AC96" i="10"/>
  <c r="AE96" i="10" s="1"/>
  <c r="Z96" i="10"/>
  <c r="Q96" i="10"/>
  <c r="P96" i="10"/>
  <c r="AB96" i="10" s="1"/>
  <c r="M96" i="10"/>
  <c r="L96" i="10"/>
  <c r="AI96" i="10" s="1"/>
  <c r="AK96" i="10" s="1"/>
  <c r="J96" i="10"/>
  <c r="I96" i="10"/>
  <c r="H96" i="10"/>
  <c r="G96" i="10"/>
  <c r="AI95" i="10"/>
  <c r="V95" i="10"/>
  <c r="Q95" i="10"/>
  <c r="P95" i="10"/>
  <c r="AB95" i="10" s="1"/>
  <c r="L95" i="10"/>
  <c r="J95" i="10"/>
  <c r="I95" i="10"/>
  <c r="H95" i="10"/>
  <c r="N95" i="10" s="1"/>
  <c r="Y95" i="10" s="1"/>
  <c r="G95" i="10"/>
  <c r="F95" i="10"/>
  <c r="AH94" i="10"/>
  <c r="AG94" i="10"/>
  <c r="AF94" i="10"/>
  <c r="Z94" i="10"/>
  <c r="V94" i="10"/>
  <c r="Q94" i="10"/>
  <c r="M94" i="10"/>
  <c r="L94" i="10"/>
  <c r="AC94" i="10" s="1"/>
  <c r="J94" i="10"/>
  <c r="I94" i="10"/>
  <c r="H94" i="10"/>
  <c r="G94" i="10"/>
  <c r="F94" i="10"/>
  <c r="AH93" i="10"/>
  <c r="AG93" i="10"/>
  <c r="AF93" i="10"/>
  <c r="Z93" i="10"/>
  <c r="Y93" i="10"/>
  <c r="Q93" i="10"/>
  <c r="L93" i="10"/>
  <c r="P93" i="10" s="1"/>
  <c r="AB93" i="10" s="1"/>
  <c r="J93" i="10"/>
  <c r="I93" i="10"/>
  <c r="K93" i="10" s="1"/>
  <c r="H93" i="10"/>
  <c r="G93" i="10"/>
  <c r="N93" i="10" s="1"/>
  <c r="F93" i="10"/>
  <c r="AG92" i="10"/>
  <c r="AF92" i="10"/>
  <c r="AH92" i="10" s="1"/>
  <c r="Z92" i="10"/>
  <c r="V92" i="10"/>
  <c r="Q92" i="10"/>
  <c r="L92" i="10"/>
  <c r="K92" i="10"/>
  <c r="J92" i="10"/>
  <c r="I92" i="10"/>
  <c r="H92" i="10"/>
  <c r="G92" i="10"/>
  <c r="F92" i="10"/>
  <c r="V91" i="10"/>
  <c r="Q91" i="10"/>
  <c r="L91" i="10"/>
  <c r="J91" i="10"/>
  <c r="I91" i="10"/>
  <c r="H91" i="10"/>
  <c r="G91" i="10"/>
  <c r="F91" i="10"/>
  <c r="AK90" i="10"/>
  <c r="AI90" i="10"/>
  <c r="AJ90" i="10" s="1"/>
  <c r="AH90" i="10"/>
  <c r="AF90" i="10"/>
  <c r="AG90" i="10" s="1"/>
  <c r="AD90" i="10"/>
  <c r="AC90" i="10"/>
  <c r="AE90" i="10" s="1"/>
  <c r="V90" i="10"/>
  <c r="Q90" i="10"/>
  <c r="P90" i="10"/>
  <c r="AB90" i="10" s="1"/>
  <c r="N90" i="10"/>
  <c r="Y90" i="10" s="1"/>
  <c r="M90" i="10"/>
  <c r="L90" i="10"/>
  <c r="Z90" i="10" s="1"/>
  <c r="J90" i="10"/>
  <c r="I90" i="10"/>
  <c r="H90" i="10"/>
  <c r="G90" i="10"/>
  <c r="K90" i="10" s="1"/>
  <c r="F90" i="10"/>
  <c r="AK89" i="10"/>
  <c r="AJ89" i="10"/>
  <c r="AE89" i="10"/>
  <c r="AD89" i="10"/>
  <c r="AC89" i="10"/>
  <c r="Z89" i="10"/>
  <c r="V89" i="10"/>
  <c r="Q89" i="10"/>
  <c r="P89" i="10"/>
  <c r="AB89" i="10" s="1"/>
  <c r="M89" i="10"/>
  <c r="L89" i="10"/>
  <c r="AI89" i="10" s="1"/>
  <c r="K89" i="10"/>
  <c r="J89" i="10"/>
  <c r="I89" i="10"/>
  <c r="H89" i="10"/>
  <c r="G89" i="10"/>
  <c r="N89" i="10" s="1"/>
  <c r="Y89" i="10" s="1"/>
  <c r="F89" i="10"/>
  <c r="AJ88" i="10"/>
  <c r="AH88" i="10"/>
  <c r="AG88" i="10"/>
  <c r="AF88" i="10"/>
  <c r="AE88" i="10"/>
  <c r="AD88" i="10"/>
  <c r="AC88" i="10"/>
  <c r="Z88" i="10"/>
  <c r="Q88" i="10"/>
  <c r="P88" i="10"/>
  <c r="AB88" i="10" s="1"/>
  <c r="M88" i="10"/>
  <c r="L88" i="10"/>
  <c r="AI88" i="10" s="1"/>
  <c r="AK88" i="10" s="1"/>
  <c r="J88" i="10"/>
  <c r="I88" i="10"/>
  <c r="H88" i="10"/>
  <c r="G88" i="10"/>
  <c r="V88" i="10" s="1"/>
  <c r="F88" i="10"/>
  <c r="AJ87" i="10"/>
  <c r="AG87" i="10"/>
  <c r="AF87" i="10"/>
  <c r="AH87" i="10" s="1"/>
  <c r="AE87" i="10"/>
  <c r="AD87" i="10"/>
  <c r="AC87" i="10"/>
  <c r="Z87" i="10"/>
  <c r="Q87" i="10"/>
  <c r="P87" i="10"/>
  <c r="AB87" i="10" s="1"/>
  <c r="M87" i="10"/>
  <c r="L87" i="10"/>
  <c r="AI87" i="10" s="1"/>
  <c r="AK87" i="10" s="1"/>
  <c r="J87" i="10"/>
  <c r="I87" i="10"/>
  <c r="H87" i="10"/>
  <c r="G87" i="10"/>
  <c r="F87" i="10"/>
  <c r="AI86" i="10"/>
  <c r="AK86" i="10" s="1"/>
  <c r="V86" i="10"/>
  <c r="Q86" i="10"/>
  <c r="L86" i="10"/>
  <c r="AF86" i="10" s="1"/>
  <c r="J86" i="10"/>
  <c r="I86" i="10"/>
  <c r="H86" i="10"/>
  <c r="K86" i="10" s="1"/>
  <c r="G86" i="10"/>
  <c r="F86" i="10"/>
  <c r="AI85" i="10"/>
  <c r="AF85" i="10"/>
  <c r="AC85" i="10"/>
  <c r="V85" i="10"/>
  <c r="Q85" i="10"/>
  <c r="L85" i="10"/>
  <c r="M85" i="10" s="1"/>
  <c r="K85" i="10"/>
  <c r="J85" i="10"/>
  <c r="I85" i="10"/>
  <c r="H85" i="10"/>
  <c r="G85" i="10"/>
  <c r="F85" i="10"/>
  <c r="AI84" i="10"/>
  <c r="AK84" i="10" s="1"/>
  <c r="V84" i="10"/>
  <c r="Q84" i="10"/>
  <c r="P84" i="10"/>
  <c r="AB84" i="10" s="1"/>
  <c r="L84" i="10"/>
  <c r="J84" i="10"/>
  <c r="I84" i="10"/>
  <c r="H84" i="10"/>
  <c r="G84" i="10"/>
  <c r="F84" i="10"/>
  <c r="AI83" i="10"/>
  <c r="AJ83" i="10" s="1"/>
  <c r="Q83" i="10"/>
  <c r="L83" i="10"/>
  <c r="J83" i="10"/>
  <c r="I83" i="10"/>
  <c r="H83" i="10"/>
  <c r="G83" i="10"/>
  <c r="V83" i="10" s="1"/>
  <c r="F83" i="10"/>
  <c r="AD82" i="10"/>
  <c r="AC82" i="10"/>
  <c r="AE82" i="10" s="1"/>
  <c r="Q82" i="10"/>
  <c r="P82" i="10"/>
  <c r="AB82" i="10" s="1"/>
  <c r="L82" i="10"/>
  <c r="J82" i="10"/>
  <c r="I82" i="10"/>
  <c r="H82" i="10"/>
  <c r="G82" i="10"/>
  <c r="F82" i="10"/>
  <c r="AK81" i="10"/>
  <c r="AJ81" i="10"/>
  <c r="AI81" i="10"/>
  <c r="AF81" i="10"/>
  <c r="AC81" i="10"/>
  <c r="AD81" i="10" s="1"/>
  <c r="AB81" i="10"/>
  <c r="V81" i="10"/>
  <c r="Q81" i="10"/>
  <c r="P81" i="10"/>
  <c r="M81" i="10"/>
  <c r="L81" i="10"/>
  <c r="Z81" i="10" s="1"/>
  <c r="J81" i="10"/>
  <c r="I81" i="10"/>
  <c r="H81" i="10"/>
  <c r="G81" i="10"/>
  <c r="F81" i="10"/>
  <c r="AH80" i="10"/>
  <c r="AF80" i="10"/>
  <c r="AG80" i="10" s="1"/>
  <c r="AC80" i="10"/>
  <c r="AE80" i="10" s="1"/>
  <c r="Q80" i="10"/>
  <c r="P80" i="10"/>
  <c r="AB80" i="10" s="1"/>
  <c r="L80" i="10"/>
  <c r="K80" i="10"/>
  <c r="J80" i="10"/>
  <c r="I80" i="10"/>
  <c r="H80" i="10"/>
  <c r="N80" i="10" s="1"/>
  <c r="Y80" i="10" s="1"/>
  <c r="G80" i="10"/>
  <c r="V80" i="10" s="1"/>
  <c r="F80" i="10"/>
  <c r="V79" i="10"/>
  <c r="Q79" i="10"/>
  <c r="N79" i="10"/>
  <c r="Y79" i="10" s="1"/>
  <c r="L79" i="10"/>
  <c r="K79" i="10"/>
  <c r="J79" i="10"/>
  <c r="I79" i="10"/>
  <c r="H79" i="10"/>
  <c r="G79" i="10"/>
  <c r="F79" i="10"/>
  <c r="AI78" i="10"/>
  <c r="AK78" i="10" s="1"/>
  <c r="AH78" i="10"/>
  <c r="AF78" i="10"/>
  <c r="AG78" i="10" s="1"/>
  <c r="Z78" i="10"/>
  <c r="V78" i="10"/>
  <c r="Q78" i="10"/>
  <c r="M78" i="10"/>
  <c r="L78" i="10"/>
  <c r="J78" i="10"/>
  <c r="I78" i="10"/>
  <c r="H78" i="10"/>
  <c r="G78" i="10"/>
  <c r="F78" i="10"/>
  <c r="AI77" i="10"/>
  <c r="AK77" i="10" s="1"/>
  <c r="AF77" i="10"/>
  <c r="AH77" i="10" s="1"/>
  <c r="AD77" i="10"/>
  <c r="AC77" i="10"/>
  <c r="AE77" i="10" s="1"/>
  <c r="AB77" i="10"/>
  <c r="Z77" i="10"/>
  <c r="Q77" i="10"/>
  <c r="M77" i="10"/>
  <c r="L77" i="10"/>
  <c r="P77" i="10" s="1"/>
  <c r="J77" i="10"/>
  <c r="I77" i="10"/>
  <c r="H77" i="10"/>
  <c r="G77" i="10"/>
  <c r="V77" i="10" s="1"/>
  <c r="F77" i="10"/>
  <c r="AH76" i="10"/>
  <c r="AG76" i="10"/>
  <c r="AF76" i="10"/>
  <c r="AC76" i="10"/>
  <c r="AE76" i="10" s="1"/>
  <c r="AB76" i="10"/>
  <c r="V76" i="10"/>
  <c r="Q76" i="10"/>
  <c r="P76" i="10"/>
  <c r="M76" i="10"/>
  <c r="L76" i="10"/>
  <c r="Z76" i="10" s="1"/>
  <c r="J76" i="10"/>
  <c r="I76" i="10"/>
  <c r="N76" i="10" s="1"/>
  <c r="Y76" i="10" s="1"/>
  <c r="H76" i="10"/>
  <c r="G76" i="10"/>
  <c r="F76" i="10"/>
  <c r="AF75" i="10"/>
  <c r="AG75" i="10" s="1"/>
  <c r="Q75" i="10"/>
  <c r="P75" i="10"/>
  <c r="AB75" i="10" s="1"/>
  <c r="N75" i="10"/>
  <c r="Y75" i="10" s="1"/>
  <c r="M75" i="10"/>
  <c r="L75" i="10"/>
  <c r="J75" i="10"/>
  <c r="I75" i="10"/>
  <c r="H75" i="10"/>
  <c r="G75" i="10"/>
  <c r="V75" i="10" s="1"/>
  <c r="F75" i="10"/>
  <c r="AC74" i="10"/>
  <c r="AE74" i="10" s="1"/>
  <c r="Z74" i="10"/>
  <c r="V74" i="10"/>
  <c r="Q74" i="10"/>
  <c r="L74" i="10"/>
  <c r="P74" i="10" s="1"/>
  <c r="AB74" i="10" s="1"/>
  <c r="J74" i="10"/>
  <c r="I74" i="10"/>
  <c r="K74" i="10" s="1"/>
  <c r="H74" i="10"/>
  <c r="G74" i="10"/>
  <c r="F74" i="10"/>
  <c r="AH73" i="10"/>
  <c r="AG73" i="10"/>
  <c r="AF73" i="10"/>
  <c r="AE73" i="10"/>
  <c r="AD73" i="10"/>
  <c r="AC73" i="10"/>
  <c r="AB73" i="10"/>
  <c r="Z73" i="10"/>
  <c r="Q73" i="10"/>
  <c r="P73" i="10"/>
  <c r="M73" i="10"/>
  <c r="L73" i="10"/>
  <c r="AI73" i="10" s="1"/>
  <c r="AK73" i="10" s="1"/>
  <c r="J73" i="10"/>
  <c r="I73" i="10"/>
  <c r="H73" i="10"/>
  <c r="G73" i="10"/>
  <c r="V73" i="10" s="1"/>
  <c r="F73" i="10"/>
  <c r="AH72" i="10"/>
  <c r="AG72" i="10"/>
  <c r="AF72" i="10"/>
  <c r="AE72" i="10"/>
  <c r="AC72" i="10"/>
  <c r="AD72" i="10" s="1"/>
  <c r="Z72" i="10"/>
  <c r="V72" i="10"/>
  <c r="Q72" i="10"/>
  <c r="P72" i="10"/>
  <c r="AB72" i="10" s="1"/>
  <c r="N72" i="10"/>
  <c r="Y72" i="10" s="1"/>
  <c r="M72" i="10"/>
  <c r="L72" i="10"/>
  <c r="AI72" i="10" s="1"/>
  <c r="AK72" i="10" s="1"/>
  <c r="J72" i="10"/>
  <c r="I72" i="10"/>
  <c r="H72" i="10"/>
  <c r="G72" i="10"/>
  <c r="K72" i="10" s="1"/>
  <c r="F72" i="10"/>
  <c r="AJ71" i="10"/>
  <c r="AI71" i="10"/>
  <c r="AK71" i="10" s="1"/>
  <c r="AG71" i="10"/>
  <c r="AF71" i="10"/>
  <c r="AH71" i="10" s="1"/>
  <c r="AC71" i="10"/>
  <c r="AD71" i="10" s="1"/>
  <c r="Z71" i="10"/>
  <c r="Y71" i="10"/>
  <c r="Q71" i="10"/>
  <c r="P71" i="10"/>
  <c r="AB71" i="10" s="1"/>
  <c r="M71" i="10"/>
  <c r="L71" i="10"/>
  <c r="J71" i="10"/>
  <c r="I71" i="10"/>
  <c r="H71" i="10"/>
  <c r="G71" i="10"/>
  <c r="N71" i="10" s="1"/>
  <c r="F71" i="10"/>
  <c r="AI70" i="10"/>
  <c r="AF70" i="10"/>
  <c r="AH70" i="10" s="1"/>
  <c r="AE70" i="10"/>
  <c r="AC70" i="10"/>
  <c r="AD70" i="10" s="1"/>
  <c r="Z70" i="10"/>
  <c r="V70" i="10"/>
  <c r="Q70" i="10"/>
  <c r="P70" i="10"/>
  <c r="AB70" i="10" s="1"/>
  <c r="M70" i="10"/>
  <c r="L70" i="10"/>
  <c r="J70" i="10"/>
  <c r="I70" i="10"/>
  <c r="H70" i="10"/>
  <c r="G70" i="10"/>
  <c r="F70" i="10"/>
  <c r="AI69" i="10"/>
  <c r="AJ69" i="10" s="1"/>
  <c r="AG69" i="10"/>
  <c r="AF69" i="10"/>
  <c r="AH69" i="10" s="1"/>
  <c r="AE69" i="10"/>
  <c r="AC69" i="10"/>
  <c r="AD69" i="10" s="1"/>
  <c r="AB69" i="10"/>
  <c r="Z69" i="10"/>
  <c r="V69" i="10"/>
  <c r="Q69" i="10"/>
  <c r="P69" i="10"/>
  <c r="M69" i="10"/>
  <c r="L69" i="10"/>
  <c r="J69" i="10"/>
  <c r="I69" i="10"/>
  <c r="N69" i="10" s="1"/>
  <c r="Y69" i="10" s="1"/>
  <c r="H69" i="10"/>
  <c r="G69" i="10"/>
  <c r="F69" i="10"/>
  <c r="Q68" i="10"/>
  <c r="P68" i="10"/>
  <c r="AB68" i="10" s="1"/>
  <c r="N68" i="10"/>
  <c r="Y68" i="10" s="1"/>
  <c r="M68" i="10"/>
  <c r="L68" i="10"/>
  <c r="J68" i="10"/>
  <c r="I68" i="10"/>
  <c r="H68" i="10"/>
  <c r="G68" i="10"/>
  <c r="F68" i="10"/>
  <c r="AE67" i="10"/>
  <c r="AC67" i="10"/>
  <c r="AD67" i="10" s="1"/>
  <c r="Z67" i="10"/>
  <c r="Q67" i="10"/>
  <c r="L67" i="10"/>
  <c r="AF67" i="10" s="1"/>
  <c r="AH67" i="10" s="1"/>
  <c r="J67" i="10"/>
  <c r="I67" i="10"/>
  <c r="H67" i="10"/>
  <c r="N67" i="10" s="1"/>
  <c r="Y67" i="10" s="1"/>
  <c r="G67" i="10"/>
  <c r="F67" i="10"/>
  <c r="AK66" i="10"/>
  <c r="AI66" i="10"/>
  <c r="AJ66" i="10" s="1"/>
  <c r="AF66" i="10"/>
  <c r="AE66" i="10"/>
  <c r="AD66" i="10"/>
  <c r="AC66" i="10"/>
  <c r="Z66" i="10"/>
  <c r="Q66" i="10"/>
  <c r="P66" i="10"/>
  <c r="AB66" i="10" s="1"/>
  <c r="M66" i="10"/>
  <c r="L66" i="10"/>
  <c r="J66" i="10"/>
  <c r="I66" i="10"/>
  <c r="N66" i="10" s="1"/>
  <c r="Y66" i="10" s="1"/>
  <c r="H66" i="10"/>
  <c r="G66" i="10"/>
  <c r="F66" i="10"/>
  <c r="AK65" i="10"/>
  <c r="AJ65" i="10"/>
  <c r="AI65" i="10"/>
  <c r="V65" i="10"/>
  <c r="Q65" i="10"/>
  <c r="M65" i="10"/>
  <c r="L65" i="10"/>
  <c r="J65" i="10"/>
  <c r="I65" i="10"/>
  <c r="H65" i="10"/>
  <c r="N65" i="10" s="1"/>
  <c r="Y65" i="10" s="1"/>
  <c r="G65" i="10"/>
  <c r="F65" i="10"/>
  <c r="Q64" i="10"/>
  <c r="L64" i="10"/>
  <c r="AI64" i="10" s="1"/>
  <c r="J64" i="10"/>
  <c r="I64" i="10"/>
  <c r="H64" i="10"/>
  <c r="G64" i="10"/>
  <c r="F64" i="10"/>
  <c r="Q63" i="10"/>
  <c r="N63" i="10"/>
  <c r="Y63" i="10" s="1"/>
  <c r="L63" i="10"/>
  <c r="K63" i="10"/>
  <c r="J63" i="10"/>
  <c r="I63" i="10"/>
  <c r="H63" i="10"/>
  <c r="G63" i="10"/>
  <c r="V63" i="10" s="1"/>
  <c r="F63" i="10"/>
  <c r="AF62" i="10"/>
  <c r="AG62" i="10" s="1"/>
  <c r="Z62" i="10"/>
  <c r="Q62" i="10"/>
  <c r="M62" i="10"/>
  <c r="L62" i="10"/>
  <c r="J62" i="10"/>
  <c r="I62" i="10"/>
  <c r="K62" i="10" s="1"/>
  <c r="H62" i="10"/>
  <c r="G62" i="10"/>
  <c r="V62" i="10" s="1"/>
  <c r="F62" i="10"/>
  <c r="AK61" i="10"/>
  <c r="AI61" i="10"/>
  <c r="AJ61" i="10" s="1"/>
  <c r="AF61" i="10"/>
  <c r="AG61" i="10" s="1"/>
  <c r="AD61" i="10"/>
  <c r="AC61" i="10"/>
  <c r="AE61" i="10" s="1"/>
  <c r="AB61" i="10"/>
  <c r="Z61" i="10"/>
  <c r="Q61" i="10"/>
  <c r="M61" i="10"/>
  <c r="L61" i="10"/>
  <c r="P61" i="10" s="1"/>
  <c r="J61" i="10"/>
  <c r="I61" i="10"/>
  <c r="H61" i="10"/>
  <c r="G61" i="10"/>
  <c r="V61" i="10" s="1"/>
  <c r="F61" i="10"/>
  <c r="V60" i="10"/>
  <c r="Q60" i="10"/>
  <c r="L60" i="10"/>
  <c r="AF60" i="10" s="1"/>
  <c r="K60" i="10"/>
  <c r="J60" i="10"/>
  <c r="N60" i="10" s="1"/>
  <c r="Y60" i="10" s="1"/>
  <c r="I60" i="10"/>
  <c r="H60" i="10"/>
  <c r="G60" i="10"/>
  <c r="F60" i="10"/>
  <c r="AJ59" i="10"/>
  <c r="AI59" i="10"/>
  <c r="AK59" i="10" s="1"/>
  <c r="AE59" i="10"/>
  <c r="AC59" i="10"/>
  <c r="AD59" i="10" s="1"/>
  <c r="Z59" i="10"/>
  <c r="Q59" i="10"/>
  <c r="M59" i="10"/>
  <c r="L59" i="10"/>
  <c r="J59" i="10"/>
  <c r="I59" i="10"/>
  <c r="K59" i="10" s="1"/>
  <c r="H59" i="10"/>
  <c r="G59" i="10"/>
  <c r="V59" i="10" s="1"/>
  <c r="F59" i="10"/>
  <c r="AK58" i="10"/>
  <c r="AI58" i="10"/>
  <c r="AJ58" i="10" s="1"/>
  <c r="AH58" i="10"/>
  <c r="AC58" i="10"/>
  <c r="AD58" i="10" s="1"/>
  <c r="Z58" i="10"/>
  <c r="V58" i="10"/>
  <c r="Q58" i="10"/>
  <c r="P58" i="10"/>
  <c r="AB58" i="10" s="1"/>
  <c r="M58" i="10"/>
  <c r="L58" i="10"/>
  <c r="AF58" i="10" s="1"/>
  <c r="AG58" i="10" s="1"/>
  <c r="J58" i="10"/>
  <c r="I58" i="10"/>
  <c r="H58" i="10"/>
  <c r="N58" i="10" s="1"/>
  <c r="Y58" i="10" s="1"/>
  <c r="G58" i="10"/>
  <c r="F58" i="10"/>
  <c r="V57" i="10"/>
  <c r="Q57" i="10"/>
  <c r="L57" i="10"/>
  <c r="AI57" i="10" s="1"/>
  <c r="K57" i="10"/>
  <c r="J57" i="10"/>
  <c r="N57" i="10" s="1"/>
  <c r="Y57" i="10" s="1"/>
  <c r="I57" i="10"/>
  <c r="H57" i="10"/>
  <c r="G57" i="10"/>
  <c r="F57" i="10"/>
  <c r="AJ56" i="10"/>
  <c r="AH56" i="10"/>
  <c r="AG56" i="10"/>
  <c r="AF56" i="10"/>
  <c r="AE56" i="10"/>
  <c r="AC56" i="10"/>
  <c r="AD56" i="10" s="1"/>
  <c r="AB56" i="10"/>
  <c r="Z56" i="10"/>
  <c r="V56" i="10"/>
  <c r="Q56" i="10"/>
  <c r="P56" i="10"/>
  <c r="M56" i="10"/>
  <c r="L56" i="10"/>
  <c r="AI56" i="10" s="1"/>
  <c r="AK56" i="10" s="1"/>
  <c r="K56" i="10"/>
  <c r="J56" i="10"/>
  <c r="I56" i="10"/>
  <c r="H56" i="10"/>
  <c r="N56" i="10" s="1"/>
  <c r="Y56" i="10" s="1"/>
  <c r="G56" i="10"/>
  <c r="F56" i="10"/>
  <c r="AI55" i="10"/>
  <c r="AK55" i="10" s="1"/>
  <c r="Q55" i="10"/>
  <c r="L55" i="10"/>
  <c r="J55" i="10"/>
  <c r="I55" i="10"/>
  <c r="H55" i="10"/>
  <c r="G55" i="10"/>
  <c r="V55" i="10" s="1"/>
  <c r="F55" i="10"/>
  <c r="V54" i="10"/>
  <c r="Q54" i="10"/>
  <c r="L54" i="10"/>
  <c r="AF54" i="10" s="1"/>
  <c r="AH54" i="10" s="1"/>
  <c r="K54" i="10"/>
  <c r="J54" i="10"/>
  <c r="I54" i="10"/>
  <c r="H54" i="10"/>
  <c r="G54" i="10"/>
  <c r="N54" i="10" s="1"/>
  <c r="Y54" i="10" s="1"/>
  <c r="F54" i="10"/>
  <c r="AG53" i="10"/>
  <c r="AF53" i="10"/>
  <c r="AH53" i="10" s="1"/>
  <c r="AC53" i="10"/>
  <c r="Z53" i="10"/>
  <c r="V53" i="10"/>
  <c r="Q53" i="10"/>
  <c r="M53" i="10"/>
  <c r="L53" i="10"/>
  <c r="P53" i="10" s="1"/>
  <c r="AB53" i="10" s="1"/>
  <c r="K53" i="10"/>
  <c r="J53" i="10"/>
  <c r="I53" i="10"/>
  <c r="H53" i="10"/>
  <c r="G53" i="10"/>
  <c r="F53" i="10"/>
  <c r="AI52" i="10"/>
  <c r="AK52" i="10" s="1"/>
  <c r="AH52" i="10"/>
  <c r="AG52" i="10"/>
  <c r="Z52" i="10"/>
  <c r="V52" i="10"/>
  <c r="Q52" i="10"/>
  <c r="M52" i="10"/>
  <c r="L52" i="10"/>
  <c r="AF52" i="10" s="1"/>
  <c r="J52" i="10"/>
  <c r="K52" i="10" s="1"/>
  <c r="I52" i="10"/>
  <c r="H52" i="10"/>
  <c r="N52" i="10" s="1"/>
  <c r="Y52" i="10" s="1"/>
  <c r="G52" i="10"/>
  <c r="F52" i="10"/>
  <c r="AJ51" i="10"/>
  <c r="AI51" i="10"/>
  <c r="AK51" i="10" s="1"/>
  <c r="Z51" i="10"/>
  <c r="V51" i="10"/>
  <c r="Q51" i="10"/>
  <c r="N51" i="10"/>
  <c r="Y51" i="10" s="1"/>
  <c r="M51" i="10"/>
  <c r="L51" i="10"/>
  <c r="J51" i="10"/>
  <c r="I51" i="10"/>
  <c r="H51" i="10"/>
  <c r="G51" i="10"/>
  <c r="K51" i="10" s="1"/>
  <c r="F51" i="10"/>
  <c r="AI50" i="10"/>
  <c r="AK50" i="10" s="1"/>
  <c r="AH50" i="10"/>
  <c r="AF50" i="10"/>
  <c r="AG50" i="10" s="1"/>
  <c r="AC50" i="10"/>
  <c r="AE50" i="10" s="1"/>
  <c r="AB50" i="10"/>
  <c r="Z50" i="10"/>
  <c r="Q50" i="10"/>
  <c r="P50" i="10"/>
  <c r="M50" i="10"/>
  <c r="L50" i="10"/>
  <c r="J50" i="10"/>
  <c r="I50" i="10"/>
  <c r="H50" i="10"/>
  <c r="N50" i="10" s="1"/>
  <c r="Y50" i="10" s="1"/>
  <c r="G50" i="10"/>
  <c r="V50" i="10" s="1"/>
  <c r="F50" i="10"/>
  <c r="AK49" i="10"/>
  <c r="AJ49" i="10"/>
  <c r="AI49" i="10"/>
  <c r="Z49" i="10"/>
  <c r="V49" i="10"/>
  <c r="Q49" i="10"/>
  <c r="L49" i="10"/>
  <c r="P49" i="10" s="1"/>
  <c r="AB49" i="10" s="1"/>
  <c r="J49" i="10"/>
  <c r="I49" i="10"/>
  <c r="H49" i="10"/>
  <c r="N49" i="10" s="1"/>
  <c r="Y49" i="10" s="1"/>
  <c r="G49" i="10"/>
  <c r="F49" i="10"/>
  <c r="V48" i="10"/>
  <c r="R48" i="10" a="1"/>
  <c r="R110" i="10" s="1"/>
  <c r="T110" i="10" s="1"/>
  <c r="Q48" i="10"/>
  <c r="L48" i="10"/>
  <c r="K48" i="10"/>
  <c r="K187" i="10" s="1"/>
  <c r="J48" i="10"/>
  <c r="J187" i="10" s="1"/>
  <c r="E196" i="10" s="1"/>
  <c r="I48" i="10"/>
  <c r="I187" i="10" s="1"/>
  <c r="E195" i="10" s="1"/>
  <c r="H48" i="10"/>
  <c r="G48" i="10"/>
  <c r="G187" i="10" s="1"/>
  <c r="E193" i="10" s="1"/>
  <c r="F48" i="10"/>
  <c r="Z42" i="10"/>
  <c r="V42" i="10"/>
  <c r="T42" i="10"/>
  <c r="R42" i="10"/>
  <c r="S42" i="10" s="1"/>
  <c r="N42" i="10"/>
  <c r="P42" i="10" s="1"/>
  <c r="L42" i="10"/>
  <c r="K42" i="10"/>
  <c r="I42" i="10"/>
  <c r="X42" i="10" s="1"/>
  <c r="H42" i="10"/>
  <c r="G42" i="10"/>
  <c r="Z41" i="10"/>
  <c r="V41" i="10"/>
  <c r="S41" i="10"/>
  <c r="R41" i="10"/>
  <c r="N41" i="10"/>
  <c r="P41" i="10" s="1"/>
  <c r="I41" i="10"/>
  <c r="X41" i="10" s="1"/>
  <c r="H41" i="10"/>
  <c r="G41" i="10"/>
  <c r="Y40" i="10"/>
  <c r="Z40" i="10" s="1"/>
  <c r="AA40" i="10" s="1"/>
  <c r="V40" i="10"/>
  <c r="X40" i="10" s="1"/>
  <c r="U40" i="10"/>
  <c r="Q40" i="10"/>
  <c r="R40" i="10" s="1"/>
  <c r="S40" i="10" s="1"/>
  <c r="N40" i="10"/>
  <c r="P40" i="10" s="1"/>
  <c r="M40" i="10"/>
  <c r="L40" i="10"/>
  <c r="H40" i="10"/>
  <c r="I40" i="10" s="1"/>
  <c r="K40" i="10" s="1"/>
  <c r="G40" i="10"/>
  <c r="Z39" i="10"/>
  <c r="AB39" i="10" s="1"/>
  <c r="Y39" i="10"/>
  <c r="X39" i="10"/>
  <c r="U39" i="10"/>
  <c r="V39" i="10" s="1"/>
  <c r="Q39" i="10"/>
  <c r="R39" i="10" s="1"/>
  <c r="N39" i="10"/>
  <c r="M39" i="10"/>
  <c r="H39" i="10"/>
  <c r="G39" i="10"/>
  <c r="I39" i="10" s="1"/>
  <c r="Y38" i="10"/>
  <c r="Z38" i="10" s="1"/>
  <c r="U38" i="10"/>
  <c r="V38" i="10" s="1"/>
  <c r="Q38" i="10"/>
  <c r="R38" i="10" s="1"/>
  <c r="N38" i="10"/>
  <c r="M38" i="10"/>
  <c r="I38" i="10"/>
  <c r="H38" i="10"/>
  <c r="G38" i="10"/>
  <c r="Z37" i="10"/>
  <c r="Y37" i="10"/>
  <c r="V37" i="10"/>
  <c r="U37" i="10"/>
  <c r="R37" i="10"/>
  <c r="Q37" i="10"/>
  <c r="N37" i="10"/>
  <c r="M37" i="10"/>
  <c r="H37" i="10"/>
  <c r="G37" i="10"/>
  <c r="Z36" i="10"/>
  <c r="Y36" i="10"/>
  <c r="V36" i="10"/>
  <c r="U36" i="10"/>
  <c r="R36" i="10"/>
  <c r="Q36" i="10"/>
  <c r="M36" i="10"/>
  <c r="N36" i="10" s="1"/>
  <c r="H36" i="10"/>
  <c r="G36" i="10"/>
  <c r="Y35" i="10"/>
  <c r="Z35" i="10" s="1"/>
  <c r="U35" i="10"/>
  <c r="V35" i="10" s="1"/>
  <c r="R35" i="10"/>
  <c r="Q35" i="10"/>
  <c r="M35" i="10"/>
  <c r="N35" i="10" s="1"/>
  <c r="L35" i="10"/>
  <c r="I35" i="10"/>
  <c r="K35" i="10" s="1"/>
  <c r="H35" i="10"/>
  <c r="G35" i="10"/>
  <c r="Y34" i="10"/>
  <c r="Z34" i="10" s="1"/>
  <c r="U34" i="10"/>
  <c r="V34" i="10" s="1"/>
  <c r="Q34" i="10"/>
  <c r="R34" i="10" s="1"/>
  <c r="M34" i="10"/>
  <c r="N34" i="10" s="1"/>
  <c r="H34" i="10"/>
  <c r="I34" i="10" s="1"/>
  <c r="G34" i="10"/>
  <c r="Y33" i="10"/>
  <c r="Z33" i="10" s="1"/>
  <c r="AA33" i="10" s="1"/>
  <c r="U33" i="10"/>
  <c r="V33" i="10" s="1"/>
  <c r="Q33" i="10"/>
  <c r="R33" i="10" s="1"/>
  <c r="N33" i="10"/>
  <c r="M33" i="10"/>
  <c r="I33" i="10"/>
  <c r="H33" i="10"/>
  <c r="G33" i="10"/>
  <c r="F33" i="10"/>
  <c r="D33" i="10"/>
  <c r="Z32" i="10"/>
  <c r="Y32" i="10"/>
  <c r="U32" i="10"/>
  <c r="V32" i="10" s="1"/>
  <c r="Q32" i="10"/>
  <c r="R32" i="10" s="1"/>
  <c r="M32" i="10"/>
  <c r="N32" i="10" s="1"/>
  <c r="H32" i="10"/>
  <c r="G32" i="10"/>
  <c r="F32" i="10"/>
  <c r="I32" i="10" s="1"/>
  <c r="E32" i="10"/>
  <c r="Z31" i="10"/>
  <c r="Y31" i="10"/>
  <c r="U31" i="10"/>
  <c r="V31" i="10" s="1"/>
  <c r="R31" i="10"/>
  <c r="T31" i="10" s="1"/>
  <c r="Q31" i="10"/>
  <c r="N31" i="10"/>
  <c r="P31" i="10" s="1"/>
  <c r="M31" i="10"/>
  <c r="I31" i="10"/>
  <c r="K31" i="10" s="1"/>
  <c r="H31" i="10"/>
  <c r="G31" i="10"/>
  <c r="F31" i="10"/>
  <c r="Z30" i="10"/>
  <c r="Y30" i="10"/>
  <c r="U30" i="10"/>
  <c r="V30" i="10" s="1"/>
  <c r="R30" i="10"/>
  <c r="Q30" i="10"/>
  <c r="M30" i="10"/>
  <c r="N30" i="10" s="1"/>
  <c r="H30" i="10"/>
  <c r="G30" i="10"/>
  <c r="E30" i="10"/>
  <c r="Y29" i="10"/>
  <c r="Z29" i="10" s="1"/>
  <c r="V29" i="10"/>
  <c r="U29" i="10"/>
  <c r="R29" i="10"/>
  <c r="Q29" i="10"/>
  <c r="N29" i="10"/>
  <c r="M29" i="10"/>
  <c r="H29" i="10"/>
  <c r="G29" i="10"/>
  <c r="I29" i="10" s="1"/>
  <c r="Y28" i="10"/>
  <c r="Z28" i="10" s="1"/>
  <c r="U28" i="10"/>
  <c r="V28" i="10" s="1"/>
  <c r="Q28" i="10"/>
  <c r="R28" i="10" s="1"/>
  <c r="N28" i="10"/>
  <c r="M28" i="10"/>
  <c r="H28" i="10"/>
  <c r="G28" i="10"/>
  <c r="F28" i="10"/>
  <c r="D28" i="10"/>
  <c r="Z27" i="10"/>
  <c r="AA27" i="10" s="1"/>
  <c r="Y27" i="10"/>
  <c r="V27" i="10"/>
  <c r="U27" i="10"/>
  <c r="R27" i="10"/>
  <c r="Q27" i="10"/>
  <c r="N27" i="10"/>
  <c r="P27" i="10" s="1"/>
  <c r="M27" i="10"/>
  <c r="H27" i="10"/>
  <c r="G27" i="10"/>
  <c r="F27" i="10"/>
  <c r="E27" i="10"/>
  <c r="I27" i="10" s="1"/>
  <c r="Y26" i="10"/>
  <c r="Z26" i="10" s="1"/>
  <c r="U26" i="10"/>
  <c r="V26" i="10" s="1"/>
  <c r="R26" i="10"/>
  <c r="Q26" i="10"/>
  <c r="N26" i="10"/>
  <c r="M26" i="10"/>
  <c r="H26" i="10"/>
  <c r="G26" i="10"/>
  <c r="F26" i="10"/>
  <c r="Y25" i="10"/>
  <c r="Z25" i="10" s="1"/>
  <c r="U25" i="10"/>
  <c r="V25" i="10" s="1"/>
  <c r="Q25" i="10"/>
  <c r="R25" i="10" s="1"/>
  <c r="O25" i="10"/>
  <c r="M25" i="10"/>
  <c r="N25" i="10" s="1"/>
  <c r="H25" i="10"/>
  <c r="G25" i="10"/>
  <c r="E25" i="10"/>
  <c r="I25" i="10" s="1"/>
  <c r="Z24" i="10"/>
  <c r="Y24" i="10"/>
  <c r="V24" i="10"/>
  <c r="X24" i="10" s="1"/>
  <c r="U24" i="10"/>
  <c r="Q24" i="10"/>
  <c r="R24" i="10" s="1"/>
  <c r="T24" i="10" s="1"/>
  <c r="M24" i="10"/>
  <c r="N24" i="10" s="1"/>
  <c r="H24" i="10"/>
  <c r="I24" i="10" s="1"/>
  <c r="G24" i="10"/>
  <c r="Z23" i="10"/>
  <c r="Y23" i="10"/>
  <c r="U23" i="10"/>
  <c r="V23" i="10" s="1"/>
  <c r="Q23" i="10"/>
  <c r="R23" i="10" s="1"/>
  <c r="N23" i="10"/>
  <c r="M23" i="10"/>
  <c r="H23" i="10"/>
  <c r="G23" i="10"/>
  <c r="I23" i="10" s="1"/>
  <c r="E23" i="10"/>
  <c r="Y22" i="10"/>
  <c r="Z22" i="10" s="1"/>
  <c r="V22" i="10"/>
  <c r="U22" i="10"/>
  <c r="R22" i="10"/>
  <c r="Q22" i="10"/>
  <c r="M22" i="10"/>
  <c r="N22" i="10" s="1"/>
  <c r="H22" i="10"/>
  <c r="G22" i="10"/>
  <c r="I22" i="10" s="1"/>
  <c r="Z21" i="10"/>
  <c r="Y21" i="10"/>
  <c r="V21" i="10"/>
  <c r="W21" i="10" s="1"/>
  <c r="U21" i="10"/>
  <c r="Q21" i="10"/>
  <c r="R21" i="10" s="1"/>
  <c r="N21" i="10"/>
  <c r="P21" i="10" s="1"/>
  <c r="M21" i="10"/>
  <c r="I21" i="10"/>
  <c r="L21" i="10" s="1"/>
  <c r="H21" i="10"/>
  <c r="G21" i="10"/>
  <c r="E21" i="10"/>
  <c r="Y20" i="10"/>
  <c r="Z20" i="10" s="1"/>
  <c r="V20" i="10"/>
  <c r="U20" i="10"/>
  <c r="Q20" i="10"/>
  <c r="R20" i="10" s="1"/>
  <c r="N20" i="10"/>
  <c r="M20" i="10"/>
  <c r="H20" i="10"/>
  <c r="G20" i="10"/>
  <c r="Z19" i="10"/>
  <c r="Y19" i="10"/>
  <c r="U19" i="10"/>
  <c r="V19" i="10" s="1"/>
  <c r="R19" i="10"/>
  <c r="Q19" i="10"/>
  <c r="M19" i="10"/>
  <c r="N19" i="10" s="1"/>
  <c r="H19" i="10"/>
  <c r="G19" i="10"/>
  <c r="F19" i="10"/>
  <c r="D19" i="10"/>
  <c r="Y18" i="10"/>
  <c r="Z18" i="10" s="1"/>
  <c r="U18" i="10"/>
  <c r="V18" i="10" s="1"/>
  <c r="W18" i="10" s="1"/>
  <c r="Q18" i="10"/>
  <c r="R18" i="10" s="1"/>
  <c r="O18" i="10"/>
  <c r="M18" i="10"/>
  <c r="N18" i="10" s="1"/>
  <c r="H18" i="10"/>
  <c r="G18" i="10"/>
  <c r="F18" i="10"/>
  <c r="I18" i="10" s="1"/>
  <c r="E18" i="10"/>
  <c r="Z17" i="10"/>
  <c r="AA17" i="10" s="1"/>
  <c r="Y17" i="10"/>
  <c r="V17" i="10"/>
  <c r="U17" i="10"/>
  <c r="Q17" i="10"/>
  <c r="R17" i="10" s="1"/>
  <c r="N17" i="10"/>
  <c r="M17" i="10"/>
  <c r="H17" i="10"/>
  <c r="G17" i="10"/>
  <c r="I17" i="10" s="1"/>
  <c r="E17" i="10"/>
  <c r="Y16" i="10"/>
  <c r="Z16" i="10" s="1"/>
  <c r="U16" i="10"/>
  <c r="V16" i="10" s="1"/>
  <c r="Q16" i="10"/>
  <c r="R16" i="10" s="1"/>
  <c r="M16" i="10"/>
  <c r="N16" i="10" s="1"/>
  <c r="H16" i="10"/>
  <c r="G16" i="10"/>
  <c r="D16" i="10"/>
  <c r="I16" i="10" s="1"/>
  <c r="L16" i="10" s="1"/>
  <c r="Z15" i="10"/>
  <c r="AB15" i="10" s="1"/>
  <c r="Y15" i="10"/>
  <c r="U15" i="10"/>
  <c r="V15" i="10" s="1"/>
  <c r="Q15" i="10"/>
  <c r="R15" i="10" s="1"/>
  <c r="N15" i="10"/>
  <c r="P15" i="10" s="1"/>
  <c r="M15" i="10"/>
  <c r="I15" i="10"/>
  <c r="L15" i="10" s="1"/>
  <c r="H15" i="10"/>
  <c r="G15" i="10"/>
  <c r="Z14" i="10"/>
  <c r="AA14" i="10" s="1"/>
  <c r="Y14" i="10"/>
  <c r="V14" i="10"/>
  <c r="U14" i="10"/>
  <c r="Q14" i="10"/>
  <c r="R14" i="10" s="1"/>
  <c r="M14" i="10"/>
  <c r="N14" i="10" s="1"/>
  <c r="H14" i="10"/>
  <c r="G14" i="10"/>
  <c r="F14" i="10"/>
  <c r="D14" i="10"/>
  <c r="I14" i="10" s="1"/>
  <c r="Y13" i="10"/>
  <c r="Z13" i="10" s="1"/>
  <c r="AA13" i="10" s="1"/>
  <c r="V13" i="10"/>
  <c r="U13" i="10"/>
  <c r="R13" i="10"/>
  <c r="Q13" i="10"/>
  <c r="N13" i="10"/>
  <c r="M13" i="10"/>
  <c r="H13" i="10"/>
  <c r="G13" i="10"/>
  <c r="F13" i="10"/>
  <c r="E13" i="10"/>
  <c r="I13" i="10" s="1"/>
  <c r="Z12" i="10"/>
  <c r="Y12" i="10"/>
  <c r="V12" i="10"/>
  <c r="W12" i="10" s="1"/>
  <c r="U12" i="10"/>
  <c r="R12" i="10"/>
  <c r="Q12" i="10"/>
  <c r="M12" i="10"/>
  <c r="N12" i="10" s="1"/>
  <c r="I12" i="10"/>
  <c r="L12" i="10" s="1"/>
  <c r="H12" i="10"/>
  <c r="G12" i="10"/>
  <c r="E12" i="10"/>
  <c r="Y11" i="10"/>
  <c r="Z11" i="10" s="1"/>
  <c r="U11" i="10"/>
  <c r="V11" i="10" s="1"/>
  <c r="X11" i="10" s="1"/>
  <c r="Q11" i="10"/>
  <c r="R11" i="10" s="1"/>
  <c r="T11" i="10" s="1"/>
  <c r="N11" i="10"/>
  <c r="M11" i="10"/>
  <c r="H11" i="10"/>
  <c r="G11" i="10"/>
  <c r="I11" i="10" s="1"/>
  <c r="D11" i="10"/>
  <c r="AB10" i="10"/>
  <c r="Y10" i="10"/>
  <c r="Z10" i="10" s="1"/>
  <c r="U10" i="10"/>
  <c r="V10" i="10" s="1"/>
  <c r="Q10" i="10"/>
  <c r="R10" i="10" s="1"/>
  <c r="M10" i="10"/>
  <c r="N10" i="10" s="1"/>
  <c r="H10" i="10"/>
  <c r="I10" i="10" s="1"/>
  <c r="L10" i="10" s="1"/>
  <c r="G10" i="10"/>
  <c r="Y9" i="10"/>
  <c r="Z9" i="10" s="1"/>
  <c r="V9" i="10"/>
  <c r="U9" i="10"/>
  <c r="R9" i="10"/>
  <c r="Q9" i="10"/>
  <c r="P9" i="10"/>
  <c r="N9" i="10"/>
  <c r="M9" i="10"/>
  <c r="H9" i="10"/>
  <c r="I9" i="10" s="1"/>
  <c r="G9" i="10"/>
  <c r="F9" i="10"/>
  <c r="D9" i="10"/>
  <c r="Y8" i="10"/>
  <c r="Z8" i="10" s="1"/>
  <c r="U8" i="10"/>
  <c r="V8" i="10" s="1"/>
  <c r="Q8" i="10"/>
  <c r="R8" i="10" s="1"/>
  <c r="N8" i="10"/>
  <c r="M8" i="10"/>
  <c r="H8" i="10"/>
  <c r="G8" i="10"/>
  <c r="F8" i="10"/>
  <c r="E8" i="10"/>
  <c r="I8" i="10" s="1"/>
  <c r="Y7" i="10"/>
  <c r="Z7" i="10" s="1"/>
  <c r="U7" i="10"/>
  <c r="V7" i="10" s="1"/>
  <c r="R7" i="10"/>
  <c r="S7" i="10" s="1"/>
  <c r="Q7" i="10"/>
  <c r="N7" i="10"/>
  <c r="P7" i="10" s="1"/>
  <c r="M7" i="10"/>
  <c r="H7" i="10"/>
  <c r="G7" i="10"/>
  <c r="E7" i="10"/>
  <c r="I7" i="10" s="1"/>
  <c r="AB6" i="10"/>
  <c r="AA6" i="10"/>
  <c r="Z6" i="10"/>
  <c r="Y6" i="10"/>
  <c r="V6" i="10"/>
  <c r="W6" i="10" s="1"/>
  <c r="U6" i="10"/>
  <c r="R6" i="10"/>
  <c r="Q6" i="10"/>
  <c r="M6" i="10"/>
  <c r="N6" i="10" s="1"/>
  <c r="L6" i="10"/>
  <c r="K6" i="10"/>
  <c r="I6" i="10"/>
  <c r="X6" i="10" s="1"/>
  <c r="H6" i="10"/>
  <c r="G6" i="10"/>
  <c r="D6" i="10"/>
  <c r="Z5" i="10"/>
  <c r="Y5" i="10"/>
  <c r="X5" i="10"/>
  <c r="U5" i="10"/>
  <c r="V5" i="10" s="1"/>
  <c r="W5" i="10" s="1"/>
  <c r="Q5" i="10"/>
  <c r="R5" i="10" s="1"/>
  <c r="N5" i="10"/>
  <c r="O5" i="10" s="1"/>
  <c r="M5" i="10"/>
  <c r="H5" i="10"/>
  <c r="G5" i="10"/>
  <c r="I5" i="10" s="1"/>
  <c r="E45" i="9"/>
  <c r="D45" i="9"/>
  <c r="B45" i="9"/>
  <c r="H24" i="9"/>
  <c r="E30" i="8"/>
  <c r="D30" i="8"/>
  <c r="E29" i="8"/>
  <c r="F29" i="8" s="1"/>
  <c r="H29" i="8" s="1"/>
  <c r="D29" i="8"/>
  <c r="E28" i="8"/>
  <c r="D28" i="8"/>
  <c r="F28" i="8" s="1"/>
  <c r="H28" i="8" s="1"/>
  <c r="F27" i="8"/>
  <c r="H27" i="8" s="1"/>
  <c r="E27" i="8"/>
  <c r="D27" i="8"/>
  <c r="E26" i="8"/>
  <c r="D26" i="8"/>
  <c r="F26" i="8" s="1"/>
  <c r="H26" i="8" s="1"/>
  <c r="E25" i="8"/>
  <c r="D25" i="8"/>
  <c r="E24" i="8"/>
  <c r="D24" i="8"/>
  <c r="F24" i="8" s="1"/>
  <c r="H24" i="8" s="1"/>
  <c r="E23" i="8"/>
  <c r="D23" i="8"/>
  <c r="E22" i="8"/>
  <c r="D22" i="8"/>
  <c r="F22" i="8" s="1"/>
  <c r="H22" i="8" s="1"/>
  <c r="E21" i="8"/>
  <c r="D21" i="8"/>
  <c r="E20" i="8"/>
  <c r="D20" i="8"/>
  <c r="E19" i="8"/>
  <c r="D19" i="8"/>
  <c r="C19" i="8"/>
  <c r="F19" i="8" s="1"/>
  <c r="H19" i="8" s="1"/>
  <c r="F18" i="8"/>
  <c r="H18" i="8" s="1"/>
  <c r="E18" i="8"/>
  <c r="D18" i="8"/>
  <c r="E7" i="8"/>
  <c r="D7" i="8"/>
  <c r="C7" i="8"/>
  <c r="B7" i="8"/>
  <c r="C20" i="8" s="1"/>
  <c r="F20" i="8" s="1"/>
  <c r="H20" i="8" s="1"/>
  <c r="E6" i="8"/>
  <c r="D6" i="8"/>
  <c r="C6" i="8"/>
  <c r="B6" i="8"/>
  <c r="B10" i="7"/>
  <c r="B8" i="7"/>
  <c r="B12" i="7" s="1"/>
  <c r="B7" i="9" s="1"/>
  <c r="C124" i="6"/>
  <c r="C122" i="6"/>
  <c r="C118" i="6"/>
  <c r="J8" i="6" s="1"/>
  <c r="C115" i="6"/>
  <c r="C114" i="6"/>
  <c r="C109" i="6"/>
  <c r="C82" i="6"/>
  <c r="C68" i="6"/>
  <c r="C64" i="6"/>
  <c r="J7" i="6" s="1"/>
  <c r="C61" i="6"/>
  <c r="J20" i="6" s="1"/>
  <c r="M32" i="6"/>
  <c r="M31" i="6"/>
  <c r="M22" i="6"/>
  <c r="M21" i="6"/>
  <c r="P19" i="6"/>
  <c r="P18" i="6"/>
  <c r="P17" i="6"/>
  <c r="J17" i="6"/>
  <c r="P16" i="6"/>
  <c r="J16" i="6"/>
  <c r="P15" i="6"/>
  <c r="J15" i="6"/>
  <c r="J14" i="6"/>
  <c r="J12" i="6"/>
  <c r="J11" i="6"/>
  <c r="J10" i="6"/>
  <c r="J9" i="6"/>
  <c r="J6" i="6"/>
  <c r="J5" i="6"/>
  <c r="M4" i="6"/>
  <c r="J4" i="6"/>
  <c r="M3" i="6"/>
  <c r="J3" i="6"/>
  <c r="M2" i="6"/>
  <c r="J2" i="6"/>
  <c r="D23" i="5"/>
  <c r="F22" i="5"/>
  <c r="F21" i="5"/>
  <c r="F20" i="5"/>
  <c r="F19" i="5"/>
  <c r="F18" i="5"/>
  <c r="F17" i="5"/>
  <c r="E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M3" i="5"/>
  <c r="F3" i="5"/>
  <c r="F2" i="5"/>
  <c r="M1" i="5"/>
  <c r="G61" i="4"/>
  <c r="H61" i="4" s="1"/>
  <c r="H60" i="4"/>
  <c r="G60" i="4"/>
  <c r="H59" i="4"/>
  <c r="G59" i="4"/>
  <c r="H58" i="4"/>
  <c r="G58" i="4"/>
  <c r="G57" i="4"/>
  <c r="H57" i="4" s="1"/>
  <c r="H56" i="4"/>
  <c r="G56" i="4"/>
  <c r="H55" i="4"/>
  <c r="G55" i="4"/>
  <c r="G54" i="4"/>
  <c r="H54" i="4" s="1"/>
  <c r="G53" i="4"/>
  <c r="H53" i="4" s="1"/>
  <c r="H52" i="4"/>
  <c r="G52" i="4"/>
  <c r="H51" i="4"/>
  <c r="G51" i="4"/>
  <c r="H50" i="4"/>
  <c r="G50" i="4"/>
  <c r="G49" i="4"/>
  <c r="H49" i="4" s="1"/>
  <c r="H48" i="4"/>
  <c r="G48" i="4"/>
  <c r="H47" i="4"/>
  <c r="G47" i="4"/>
  <c r="G46" i="4"/>
  <c r="H46" i="4" s="1"/>
  <c r="G45" i="4"/>
  <c r="H45" i="4" s="1"/>
  <c r="H44" i="4"/>
  <c r="G44" i="4"/>
  <c r="H43" i="4"/>
  <c r="G43" i="4"/>
  <c r="H42" i="4"/>
  <c r="G42" i="4"/>
  <c r="G41" i="4"/>
  <c r="H41" i="4" s="1"/>
  <c r="H40" i="4"/>
  <c r="G40" i="4"/>
  <c r="H39" i="4"/>
  <c r="G39" i="4"/>
  <c r="G38" i="4"/>
  <c r="H38" i="4" s="1"/>
  <c r="G37" i="4"/>
  <c r="H37" i="4" s="1"/>
  <c r="H36" i="4"/>
  <c r="G36" i="4"/>
  <c r="H35" i="4"/>
  <c r="G35" i="4"/>
  <c r="H34" i="4"/>
  <c r="G34" i="4"/>
  <c r="G33" i="4"/>
  <c r="H33" i="4" s="1"/>
  <c r="H32" i="4"/>
  <c r="G32" i="4"/>
  <c r="H31" i="4"/>
  <c r="G31" i="4"/>
  <c r="G30" i="4"/>
  <c r="H30" i="4" s="1"/>
  <c r="G29" i="4"/>
  <c r="H29" i="4" s="1"/>
  <c r="H28" i="4"/>
  <c r="G28" i="4"/>
  <c r="H27" i="4"/>
  <c r="G27" i="4"/>
  <c r="H26" i="4"/>
  <c r="G26" i="4"/>
  <c r="G25" i="4"/>
  <c r="H25" i="4" s="1"/>
  <c r="H24" i="4"/>
  <c r="G24" i="4"/>
  <c r="H23" i="4"/>
  <c r="G23" i="4"/>
  <c r="G22" i="4"/>
  <c r="H22" i="4" s="1"/>
  <c r="G21" i="4"/>
  <c r="H21" i="4" s="1"/>
  <c r="H20" i="4"/>
  <c r="G20" i="4"/>
  <c r="H19" i="4"/>
  <c r="G19" i="4"/>
  <c r="H18" i="4"/>
  <c r="G18" i="4"/>
  <c r="G17" i="4"/>
  <c r="H17" i="4" s="1"/>
  <c r="H16" i="4"/>
  <c r="G16" i="4"/>
  <c r="H15" i="4"/>
  <c r="G15" i="4"/>
  <c r="G14" i="4"/>
  <c r="H14" i="4" s="1"/>
  <c r="G13" i="4"/>
  <c r="H13" i="4" s="1"/>
  <c r="H12" i="4"/>
  <c r="G12" i="4"/>
  <c r="H11" i="4"/>
  <c r="G11" i="4"/>
  <c r="H10" i="4"/>
  <c r="G10" i="4"/>
  <c r="G9" i="4"/>
  <c r="H9" i="4" s="1"/>
  <c r="H8" i="4"/>
  <c r="G8" i="4"/>
  <c r="H7" i="4"/>
  <c r="G7" i="4"/>
  <c r="G6" i="4"/>
  <c r="H6" i="4" s="1"/>
  <c r="G5" i="4"/>
  <c r="H5" i="4" s="1"/>
  <c r="H4" i="4"/>
  <c r="G4" i="4"/>
  <c r="H3" i="4"/>
  <c r="G3" i="4"/>
  <c r="H2" i="4"/>
  <c r="G2" i="4"/>
  <c r="E117" i="3"/>
  <c r="D117" i="3"/>
  <c r="E116" i="3"/>
  <c r="D116" i="3"/>
  <c r="E115" i="3"/>
  <c r="D115" i="3"/>
  <c r="E114" i="3"/>
  <c r="D114" i="3"/>
  <c r="E113" i="3"/>
  <c r="D113" i="3"/>
  <c r="D112" i="3"/>
  <c r="C112" i="3"/>
  <c r="D111" i="3"/>
  <c r="C111" i="3"/>
  <c r="D110" i="3"/>
  <c r="C110" i="3"/>
  <c r="D109" i="3"/>
  <c r="C109" i="3"/>
  <c r="E108" i="3"/>
  <c r="C108" i="3"/>
  <c r="E107" i="3"/>
  <c r="C107" i="3"/>
  <c r="D106" i="3"/>
  <c r="C106" i="3"/>
  <c r="E105" i="3"/>
  <c r="D105" i="3"/>
  <c r="C105" i="3"/>
  <c r="C104" i="3"/>
  <c r="D103" i="3"/>
  <c r="C103" i="3"/>
  <c r="E102" i="3"/>
  <c r="C102" i="3"/>
  <c r="E101" i="3"/>
  <c r="D101" i="3"/>
  <c r="C101" i="3"/>
  <c r="D100" i="3"/>
  <c r="C100" i="3"/>
  <c r="E99" i="3"/>
  <c r="D99" i="3"/>
  <c r="C99" i="3"/>
  <c r="D98" i="3"/>
  <c r="C98" i="3"/>
  <c r="D97" i="3"/>
  <c r="C97" i="3"/>
  <c r="E96" i="3"/>
  <c r="D96" i="3"/>
  <c r="C96" i="3"/>
  <c r="D95" i="3"/>
  <c r="C95" i="3"/>
  <c r="D94" i="3"/>
  <c r="C94" i="3"/>
  <c r="E93" i="3"/>
  <c r="D93" i="3"/>
  <c r="C93" i="3"/>
  <c r="E92" i="3"/>
  <c r="D92" i="3"/>
  <c r="C92" i="3"/>
  <c r="E91" i="3"/>
  <c r="D91" i="3"/>
  <c r="C91" i="3"/>
  <c r="E90" i="3"/>
  <c r="D90" i="3"/>
  <c r="C90" i="3"/>
  <c r="E89" i="3"/>
  <c r="D89" i="3"/>
  <c r="C89" i="3"/>
  <c r="E88" i="3"/>
  <c r="D88" i="3"/>
  <c r="C88" i="3"/>
  <c r="E87" i="3"/>
  <c r="D87" i="3"/>
  <c r="C87" i="3"/>
  <c r="D86" i="3"/>
  <c r="C86" i="3"/>
  <c r="D85" i="3"/>
  <c r="C85" i="3"/>
  <c r="D84" i="3"/>
  <c r="C84" i="3"/>
  <c r="D83" i="3"/>
  <c r="C83" i="3"/>
  <c r="E82" i="3"/>
  <c r="D82" i="3"/>
  <c r="C82" i="3"/>
  <c r="E81" i="3"/>
  <c r="F16" i="11" s="1"/>
  <c r="D81" i="3"/>
  <c r="C81" i="3"/>
  <c r="E80" i="3"/>
  <c r="D80" i="3"/>
  <c r="C80" i="3"/>
  <c r="D79" i="3"/>
  <c r="C79" i="3"/>
  <c r="E78" i="3"/>
  <c r="D78" i="3"/>
  <c r="C78" i="3"/>
  <c r="E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E66" i="3"/>
  <c r="D66" i="3"/>
  <c r="C66" i="3"/>
  <c r="C65" i="3"/>
  <c r="D64" i="3"/>
  <c r="C64" i="3"/>
  <c r="E63" i="3"/>
  <c r="C63" i="3"/>
  <c r="E62" i="3"/>
  <c r="D62" i="3"/>
  <c r="C62" i="3"/>
  <c r="D61" i="3"/>
  <c r="C61" i="3"/>
  <c r="D60" i="3"/>
  <c r="C60" i="3"/>
  <c r="E59" i="3"/>
  <c r="D59" i="3"/>
  <c r="C59" i="3"/>
  <c r="E58" i="3"/>
  <c r="D58" i="3"/>
  <c r="C58" i="3"/>
  <c r="E57" i="3"/>
  <c r="D57" i="3"/>
  <c r="C57" i="3"/>
  <c r="E56" i="3"/>
  <c r="D56" i="3"/>
  <c r="C56" i="3"/>
  <c r="E55" i="3"/>
  <c r="D55" i="3"/>
  <c r="C55" i="3"/>
  <c r="D54" i="3"/>
  <c r="C54" i="3"/>
  <c r="E53" i="3"/>
  <c r="D53" i="3"/>
  <c r="C53" i="3"/>
  <c r="E52" i="3"/>
  <c r="D52" i="3"/>
  <c r="C52" i="3"/>
  <c r="E51" i="3"/>
  <c r="D51" i="3"/>
  <c r="C51" i="3"/>
  <c r="E50" i="3"/>
  <c r="D50" i="3"/>
  <c r="C50" i="3"/>
  <c r="E49" i="3"/>
  <c r="D49" i="3"/>
  <c r="C49" i="3"/>
  <c r="E48" i="3"/>
  <c r="D2" i="11" s="1"/>
  <c r="J2" i="11" s="1"/>
  <c r="D48" i="3"/>
  <c r="C48" i="3"/>
  <c r="E47" i="3"/>
  <c r="D47" i="3"/>
  <c r="C47" i="3"/>
  <c r="E46" i="3"/>
  <c r="D46" i="3"/>
  <c r="C46" i="3"/>
  <c r="E45" i="3"/>
  <c r="D45" i="3"/>
  <c r="C45" i="3"/>
  <c r="E44" i="3"/>
  <c r="D44" i="3"/>
  <c r="C44" i="3"/>
  <c r="C43" i="3"/>
  <c r="E42" i="3"/>
  <c r="D42" i="3"/>
  <c r="C42" i="3"/>
  <c r="D41" i="3"/>
  <c r="C41" i="3"/>
  <c r="D40" i="3"/>
  <c r="C40" i="3"/>
  <c r="D39" i="3"/>
  <c r="C39" i="3"/>
  <c r="D38" i="3"/>
  <c r="C38" i="3"/>
  <c r="E37" i="3"/>
  <c r="D37" i="3"/>
  <c r="C37" i="3"/>
  <c r="E36" i="3"/>
  <c r="D36" i="3"/>
  <c r="C36" i="3"/>
  <c r="D35" i="3"/>
  <c r="C35" i="3"/>
  <c r="D34" i="3"/>
  <c r="C34" i="3"/>
  <c r="D33" i="3"/>
  <c r="C33" i="3"/>
  <c r="E32" i="3"/>
  <c r="D32" i="3"/>
  <c r="C32" i="3"/>
  <c r="D31" i="3"/>
  <c r="C31" i="3"/>
  <c r="E30" i="3"/>
  <c r="D30" i="3"/>
  <c r="C30" i="3"/>
  <c r="E29" i="3"/>
  <c r="D29" i="3"/>
  <c r="C29" i="3"/>
  <c r="E28" i="3"/>
  <c r="D28" i="3"/>
  <c r="C28" i="3"/>
  <c r="E27" i="3"/>
  <c r="D27" i="3"/>
  <c r="C27" i="3"/>
  <c r="E26" i="3"/>
  <c r="D26" i="3"/>
  <c r="C26" i="3"/>
  <c r="E25" i="3"/>
  <c r="D25" i="3"/>
  <c r="C25" i="3"/>
  <c r="E24" i="3"/>
  <c r="D24" i="3"/>
  <c r="C24" i="3"/>
  <c r="D23" i="3"/>
  <c r="C23" i="3"/>
  <c r="D22" i="3"/>
  <c r="C22" i="3"/>
  <c r="D21" i="3"/>
  <c r="C21" i="3"/>
  <c r="M20" i="3"/>
  <c r="L20" i="3"/>
  <c r="K20" i="3"/>
  <c r="E20" i="3"/>
  <c r="D20" i="3"/>
  <c r="C20" i="3"/>
  <c r="M19" i="3"/>
  <c r="L19" i="3"/>
  <c r="E19" i="3"/>
  <c r="D19" i="3"/>
  <c r="C19" i="3"/>
  <c r="O18" i="3"/>
  <c r="C18" i="3"/>
  <c r="L17" i="3"/>
  <c r="M17" i="3" s="1"/>
  <c r="M22" i="3" s="1"/>
  <c r="E17" i="3"/>
  <c r="D17" i="3"/>
  <c r="C17" i="3"/>
  <c r="M16" i="3"/>
  <c r="C16" i="3"/>
  <c r="D15" i="3"/>
  <c r="C15" i="3"/>
  <c r="E14" i="3"/>
  <c r="D14" i="3"/>
  <c r="C14" i="3"/>
  <c r="E13" i="3"/>
  <c r="D13" i="3"/>
  <c r="C13" i="3"/>
  <c r="D12" i="3"/>
  <c r="C12" i="3"/>
  <c r="E11" i="3"/>
  <c r="D11" i="3"/>
  <c r="C11" i="3"/>
  <c r="E10" i="3"/>
  <c r="D10" i="3"/>
  <c r="C10" i="3"/>
  <c r="L9" i="3"/>
  <c r="D9" i="3"/>
  <c r="C9" i="3"/>
  <c r="D8" i="3"/>
  <c r="C8" i="3"/>
  <c r="O7" i="3"/>
  <c r="D7" i="3"/>
  <c r="C7" i="3"/>
  <c r="E6" i="3"/>
  <c r="D6" i="3"/>
  <c r="C6" i="3"/>
  <c r="L5" i="3"/>
  <c r="E5" i="3"/>
  <c r="D5" i="3"/>
  <c r="C5" i="3"/>
  <c r="L4" i="3"/>
  <c r="E4" i="3"/>
  <c r="L3" i="3" s="1"/>
  <c r="L16" i="3" s="1"/>
  <c r="D4" i="3"/>
  <c r="C4" i="3"/>
  <c r="E3" i="3"/>
  <c r="L2" i="3" s="1"/>
  <c r="C3" i="3"/>
  <c r="B3" i="3"/>
  <c r="D3" i="3" s="1"/>
  <c r="B2" i="3"/>
  <c r="K109" i="2" s="1"/>
  <c r="L109" i="2" s="1"/>
  <c r="I109" i="2"/>
  <c r="I108" i="2"/>
  <c r="K107" i="2"/>
  <c r="L107" i="2" s="1"/>
  <c r="I107" i="2"/>
  <c r="K106" i="2"/>
  <c r="L106" i="2" s="1"/>
  <c r="I106" i="2"/>
  <c r="I105" i="2"/>
  <c r="K104" i="2"/>
  <c r="L104" i="2" s="1"/>
  <c r="I104" i="2"/>
  <c r="I103" i="2"/>
  <c r="K102" i="2"/>
  <c r="L102" i="2" s="1"/>
  <c r="I102" i="2"/>
  <c r="I101" i="2"/>
  <c r="I100" i="2"/>
  <c r="I99" i="2"/>
  <c r="K98" i="2"/>
  <c r="L98" i="2" s="1"/>
  <c r="I98" i="2"/>
  <c r="I97" i="2"/>
  <c r="K96" i="2"/>
  <c r="L96" i="2" s="1"/>
  <c r="I96" i="2"/>
  <c r="I95" i="2"/>
  <c r="I94" i="2"/>
  <c r="I93" i="2"/>
  <c r="K92" i="2"/>
  <c r="L92" i="2" s="1"/>
  <c r="I92" i="2"/>
  <c r="I91" i="2"/>
  <c r="K90" i="2"/>
  <c r="L90" i="2" s="1"/>
  <c r="I90" i="2"/>
  <c r="G90" i="2"/>
  <c r="G89" i="2"/>
  <c r="D107" i="3" s="1"/>
  <c r="K88" i="2"/>
  <c r="L88" i="2" s="1"/>
  <c r="I88" i="2"/>
  <c r="G88" i="2"/>
  <c r="K87" i="2"/>
  <c r="L87" i="2" s="1"/>
  <c r="I87" i="2"/>
  <c r="G87" i="2"/>
  <c r="K86" i="2"/>
  <c r="L86" i="2" s="1"/>
  <c r="G86" i="2"/>
  <c r="D104" i="3" s="1"/>
  <c r="I85" i="2"/>
  <c r="G85" i="2"/>
  <c r="K84" i="2"/>
  <c r="L84" i="2" s="1"/>
  <c r="G84" i="2"/>
  <c r="D108" i="3" s="1"/>
  <c r="G83" i="2"/>
  <c r="I83" i="2" s="1"/>
  <c r="G82" i="2"/>
  <c r="I82" i="2" s="1"/>
  <c r="G81" i="2"/>
  <c r="I81" i="2" s="1"/>
  <c r="G80" i="2"/>
  <c r="I80" i="2" s="1"/>
  <c r="K79" i="2"/>
  <c r="L79" i="2" s="1"/>
  <c r="I79" i="2"/>
  <c r="G79" i="2"/>
  <c r="K78" i="2"/>
  <c r="L78" i="2" s="1"/>
  <c r="I78" i="2"/>
  <c r="G78" i="2"/>
  <c r="D77" i="3" s="1"/>
  <c r="G77" i="2"/>
  <c r="I77" i="2" s="1"/>
  <c r="K76" i="2"/>
  <c r="L76" i="2" s="1"/>
  <c r="I76" i="2"/>
  <c r="G76" i="2"/>
  <c r="D65" i="3" s="1"/>
  <c r="K75" i="2"/>
  <c r="L75" i="2" s="1"/>
  <c r="I75" i="2"/>
  <c r="I74" i="2"/>
  <c r="K73" i="2"/>
  <c r="L73" i="2" s="1"/>
  <c r="I73" i="2"/>
  <c r="I72" i="2"/>
  <c r="K71" i="2"/>
  <c r="L71" i="2" s="1"/>
  <c r="I71" i="2"/>
  <c r="I70" i="2"/>
  <c r="I69" i="2"/>
  <c r="I68" i="2"/>
  <c r="K67" i="2"/>
  <c r="L67" i="2" s="1"/>
  <c r="I67" i="2"/>
  <c r="I66" i="2"/>
  <c r="K65" i="2"/>
  <c r="L65" i="2" s="1"/>
  <c r="I65" i="2"/>
  <c r="I64" i="2"/>
  <c r="K63" i="2"/>
  <c r="L63" i="2" s="1"/>
  <c r="I63" i="2"/>
  <c r="I62" i="2"/>
  <c r="I61" i="2"/>
  <c r="I60" i="2"/>
  <c r="K59" i="2"/>
  <c r="L59" i="2" s="1"/>
  <c r="I59" i="2"/>
  <c r="K58" i="2"/>
  <c r="L58" i="2" s="1"/>
  <c r="I58" i="2"/>
  <c r="I57" i="2"/>
  <c r="K56" i="2"/>
  <c r="L56" i="2" s="1"/>
  <c r="I56" i="2"/>
  <c r="G56" i="2"/>
  <c r="G55" i="2"/>
  <c r="I55" i="2" s="1"/>
  <c r="G54" i="2"/>
  <c r="I54" i="2" s="1"/>
  <c r="K53" i="2"/>
  <c r="L53" i="2" s="1"/>
  <c r="I53" i="2"/>
  <c r="G53" i="2"/>
  <c r="K52" i="2"/>
  <c r="L52" i="2" s="1"/>
  <c r="I52" i="2"/>
  <c r="G52" i="2"/>
  <c r="G51" i="2"/>
  <c r="I51" i="2" s="1"/>
  <c r="G50" i="2"/>
  <c r="I50" i="2" s="1"/>
  <c r="K49" i="2"/>
  <c r="L49" i="2" s="1"/>
  <c r="I49" i="2"/>
  <c r="G49" i="2"/>
  <c r="K48" i="2"/>
  <c r="L48" i="2" s="1"/>
  <c r="I48" i="2"/>
  <c r="G48" i="2"/>
  <c r="G47" i="2"/>
  <c r="D63" i="3" s="1"/>
  <c r="G46" i="2"/>
  <c r="K45" i="2"/>
  <c r="L45" i="2" s="1"/>
  <c r="I45" i="2"/>
  <c r="G45" i="2"/>
  <c r="K44" i="2"/>
  <c r="L44" i="2" s="1"/>
  <c r="I44" i="2"/>
  <c r="I43" i="2"/>
  <c r="K42" i="2"/>
  <c r="L42" i="2" s="1"/>
  <c r="I42" i="2"/>
  <c r="I41" i="2"/>
  <c r="K40" i="2"/>
  <c r="L40" i="2" s="1"/>
  <c r="I40" i="2"/>
  <c r="K39" i="2"/>
  <c r="L39" i="2" s="1"/>
  <c r="I39" i="2"/>
  <c r="I38" i="2"/>
  <c r="K37" i="2"/>
  <c r="L37" i="2" s="1"/>
  <c r="I37" i="2"/>
  <c r="I36" i="2"/>
  <c r="I35" i="2"/>
  <c r="I34" i="2"/>
  <c r="I33" i="2"/>
  <c r="I32" i="2"/>
  <c r="K31" i="2"/>
  <c r="L31" i="2" s="1"/>
  <c r="I31" i="2"/>
  <c r="K30" i="2"/>
  <c r="L30" i="2" s="1"/>
  <c r="I30" i="2"/>
  <c r="I29" i="2"/>
  <c r="K28" i="2"/>
  <c r="L28" i="2" s="1"/>
  <c r="I28" i="2"/>
  <c r="I27" i="2"/>
  <c r="K26" i="2"/>
  <c r="L26" i="2" s="1"/>
  <c r="I26" i="2"/>
  <c r="I25" i="2"/>
  <c r="K24" i="2"/>
  <c r="L24" i="2" s="1"/>
  <c r="I24" i="2"/>
  <c r="K23" i="2"/>
  <c r="L23" i="2" s="1"/>
  <c r="I23" i="2"/>
  <c r="I22" i="2"/>
  <c r="K21" i="2"/>
  <c r="L21" i="2" s="1"/>
  <c r="I21" i="2"/>
  <c r="I20" i="2"/>
  <c r="I19" i="2"/>
  <c r="I18" i="2"/>
  <c r="I17" i="2"/>
  <c r="I16" i="2"/>
  <c r="K15" i="2"/>
  <c r="L15" i="2" s="1"/>
  <c r="I15" i="2"/>
  <c r="K14" i="2"/>
  <c r="L14" i="2" s="1"/>
  <c r="I14" i="2"/>
  <c r="I13" i="2"/>
  <c r="K12" i="2"/>
  <c r="L12" i="2" s="1"/>
  <c r="I12" i="2"/>
  <c r="I11" i="2"/>
  <c r="K10" i="2"/>
  <c r="L10" i="2" s="1"/>
  <c r="I10" i="2"/>
  <c r="I9" i="2"/>
  <c r="K8" i="2"/>
  <c r="L8" i="2" s="1"/>
  <c r="I8" i="2"/>
  <c r="K7" i="2"/>
  <c r="L7" i="2" s="1"/>
  <c r="I7" i="2"/>
  <c r="I6" i="2"/>
  <c r="K5" i="2"/>
  <c r="L5" i="2" s="1"/>
  <c r="I5" i="2"/>
  <c r="J3" i="2"/>
  <c r="B30" i="1"/>
  <c r="H28" i="1"/>
  <c r="H27" i="1"/>
  <c r="H26" i="1"/>
  <c r="H29" i="1" s="1"/>
  <c r="H30" i="1" s="1"/>
  <c r="B23" i="1"/>
  <c r="B22" i="1"/>
  <c r="B8" i="9" s="1"/>
  <c r="B17" i="1"/>
  <c r="B12" i="1"/>
  <c r="B9" i="1"/>
  <c r="B8" i="1"/>
  <c r="B7" i="1"/>
  <c r="K9" i="2" l="1"/>
  <c r="L9" i="2" s="1"/>
  <c r="K41" i="2"/>
  <c r="L41" i="2" s="1"/>
  <c r="I46" i="2"/>
  <c r="K64" i="2"/>
  <c r="L64" i="2" s="1"/>
  <c r="I89" i="2"/>
  <c r="K95" i="2"/>
  <c r="L95" i="2" s="1"/>
  <c r="D18" i="3"/>
  <c r="L5" i="10"/>
  <c r="K5" i="10"/>
  <c r="P5" i="10"/>
  <c r="X7" i="10"/>
  <c r="W7" i="10"/>
  <c r="AB13" i="10"/>
  <c r="T15" i="10"/>
  <c r="S15" i="10"/>
  <c r="I19" i="10"/>
  <c r="AA19" i="10" s="1"/>
  <c r="L24" i="10"/>
  <c r="AB24" i="10"/>
  <c r="K24" i="10"/>
  <c r="AB30" i="10"/>
  <c r="AA30" i="10"/>
  <c r="P32" i="10"/>
  <c r="AB33" i="10"/>
  <c r="T39" i="10"/>
  <c r="S39" i="10"/>
  <c r="F23" i="5"/>
  <c r="P6" i="10"/>
  <c r="O6" i="10"/>
  <c r="L9" i="10"/>
  <c r="K9" i="10"/>
  <c r="X9" i="10"/>
  <c r="T12" i="10"/>
  <c r="S12" i="10"/>
  <c r="AB18" i="10"/>
  <c r="AA18" i="10"/>
  <c r="O22" i="10"/>
  <c r="P22" i="10"/>
  <c r="AB25" i="10"/>
  <c r="AA25" i="10"/>
  <c r="L29" i="10"/>
  <c r="K29" i="10"/>
  <c r="X29" i="10"/>
  <c r="T29" i="10"/>
  <c r="AB35" i="10"/>
  <c r="AA35" i="10"/>
  <c r="K25" i="2"/>
  <c r="L25" i="2" s="1"/>
  <c r="K20" i="2"/>
  <c r="L20" i="2" s="1"/>
  <c r="K36" i="2"/>
  <c r="L36" i="2" s="1"/>
  <c r="K46" i="2"/>
  <c r="L46" i="2" s="1"/>
  <c r="K50" i="2"/>
  <c r="L50" i="2" s="1"/>
  <c r="K54" i="2"/>
  <c r="L54" i="2" s="1"/>
  <c r="K70" i="2"/>
  <c r="L70" i="2" s="1"/>
  <c r="K80" i="2"/>
  <c r="L80" i="2" s="1"/>
  <c r="K101" i="2"/>
  <c r="L101" i="2" s="1"/>
  <c r="T6" i="10"/>
  <c r="S6" i="10"/>
  <c r="AA7" i="10"/>
  <c r="AB7" i="10"/>
  <c r="O9" i="10"/>
  <c r="K11" i="10"/>
  <c r="P11" i="10"/>
  <c r="O11" i="10"/>
  <c r="L11" i="10"/>
  <c r="P14" i="10"/>
  <c r="O14" i="10"/>
  <c r="L14" i="10"/>
  <c r="AB14" i="10"/>
  <c r="K14" i="10"/>
  <c r="X15" i="10"/>
  <c r="W15" i="10"/>
  <c r="S22" i="10"/>
  <c r="P24" i="10"/>
  <c r="O24" i="10"/>
  <c r="O32" i="10"/>
  <c r="W39" i="10"/>
  <c r="K8" i="10"/>
  <c r="P8" i="10"/>
  <c r="O8" i="10"/>
  <c r="L8" i="10"/>
  <c r="T17" i="10"/>
  <c r="S17" i="10"/>
  <c r="P29" i="10"/>
  <c r="O29" i="10"/>
  <c r="L34" i="10"/>
  <c r="K34" i="10"/>
  <c r="X32" i="10"/>
  <c r="W32" i="10"/>
  <c r="S24" i="10"/>
  <c r="X27" i="10"/>
  <c r="W27" i="10"/>
  <c r="P34" i="10"/>
  <c r="O34" i="10"/>
  <c r="I47" i="2"/>
  <c r="K108" i="2"/>
  <c r="L108" i="2" s="1"/>
  <c r="AB32" i="10"/>
  <c r="L38" i="10"/>
  <c r="K38" i="10"/>
  <c r="S38" i="10"/>
  <c r="P38" i="10"/>
  <c r="S29" i="10"/>
  <c r="K11" i="2"/>
  <c r="L11" i="2" s="1"/>
  <c r="K27" i="2"/>
  <c r="L27" i="2" s="1"/>
  <c r="K43" i="2"/>
  <c r="L43" i="2" s="1"/>
  <c r="K66" i="2"/>
  <c r="L66" i="2" s="1"/>
  <c r="K91" i="2"/>
  <c r="L91" i="2" s="1"/>
  <c r="K97" i="2"/>
  <c r="L97" i="2" s="1"/>
  <c r="M21" i="3"/>
  <c r="W9" i="10"/>
  <c r="T14" i="10"/>
  <c r="S14" i="10"/>
  <c r="L23" i="10"/>
  <c r="K23" i="10"/>
  <c r="P23" i="10"/>
  <c r="AB34" i="10"/>
  <c r="AA34" i="10"/>
  <c r="K16" i="2"/>
  <c r="L16" i="2" s="1"/>
  <c r="K51" i="2"/>
  <c r="L51" i="2" s="1"/>
  <c r="K60" i="2"/>
  <c r="L60" i="2" s="1"/>
  <c r="K6" i="2"/>
  <c r="K3" i="2" s="1"/>
  <c r="K22" i="2"/>
  <c r="L22" i="2" s="1"/>
  <c r="K38" i="2"/>
  <c r="L38" i="2" s="1"/>
  <c r="K72" i="2"/>
  <c r="L72" i="2" s="1"/>
  <c r="K82" i="2"/>
  <c r="L82" i="2" s="1"/>
  <c r="K103" i="2"/>
  <c r="L103" i="2" s="1"/>
  <c r="L10" i="3"/>
  <c r="AB9" i="10"/>
  <c r="AA9" i="10"/>
  <c r="W11" i="10"/>
  <c r="K16" i="10"/>
  <c r="AA24" i="10"/>
  <c r="X26" i="10"/>
  <c r="AB29" i="10"/>
  <c r="AA29" i="10"/>
  <c r="O38" i="10"/>
  <c r="AJ64" i="10"/>
  <c r="AK64" i="10"/>
  <c r="I86" i="2"/>
  <c r="T5" i="10"/>
  <c r="S5" i="10"/>
  <c r="T9" i="10"/>
  <c r="K13" i="10"/>
  <c r="T13" i="10"/>
  <c r="X17" i="10"/>
  <c r="W17" i="10"/>
  <c r="O19" i="10"/>
  <c r="AB22" i="10"/>
  <c r="AA22" i="10"/>
  <c r="T34" i="10"/>
  <c r="S34" i="10"/>
  <c r="K32" i="2"/>
  <c r="L32" i="2" s="1"/>
  <c r="K47" i="2"/>
  <c r="L47" i="2" s="1"/>
  <c r="K55" i="2"/>
  <c r="L55" i="2" s="1"/>
  <c r="B11" i="1"/>
  <c r="B13" i="1" s="1"/>
  <c r="K17" i="2"/>
  <c r="L17" i="2" s="1"/>
  <c r="K33" i="2"/>
  <c r="L33" i="2" s="1"/>
  <c r="K61" i="2"/>
  <c r="L61" i="2" s="1"/>
  <c r="D16" i="3"/>
  <c r="D43" i="3"/>
  <c r="AB5" i="10"/>
  <c r="K7" i="10"/>
  <c r="T7" i="10"/>
  <c r="T8" i="10"/>
  <c r="S8" i="10"/>
  <c r="AB11" i="10"/>
  <c r="AA11" i="10"/>
  <c r="L13" i="10"/>
  <c r="X14" i="10"/>
  <c r="W14" i="10"/>
  <c r="P16" i="10"/>
  <c r="O16" i="10"/>
  <c r="L18" i="10"/>
  <c r="K18" i="10"/>
  <c r="X18" i="10"/>
  <c r="T21" i="10"/>
  <c r="S21" i="10"/>
  <c r="P25" i="10"/>
  <c r="L25" i="10"/>
  <c r="K25" i="10"/>
  <c r="I30" i="10"/>
  <c r="AK57" i="10"/>
  <c r="AJ57" i="10"/>
  <c r="X8" i="10"/>
  <c r="S16" i="10"/>
  <c r="T16" i="10"/>
  <c r="AB19" i="10"/>
  <c r="O23" i="10"/>
  <c r="X31" i="10"/>
  <c r="W31" i="10"/>
  <c r="X38" i="10"/>
  <c r="W38" i="10"/>
  <c r="D47" i="9"/>
  <c r="W8" i="10"/>
  <c r="K10" i="10"/>
  <c r="P13" i="10"/>
  <c r="X16" i="10"/>
  <c r="W16" i="10"/>
  <c r="T23" i="10"/>
  <c r="S23" i="10"/>
  <c r="L27" i="10"/>
  <c r="AB27" i="10"/>
  <c r="K27" i="10"/>
  <c r="K33" i="10"/>
  <c r="O33" i="10"/>
  <c r="L33" i="10"/>
  <c r="AA38" i="10"/>
  <c r="D2" i="3"/>
  <c r="K105" i="2"/>
  <c r="L105" i="2" s="1"/>
  <c r="K62" i="2"/>
  <c r="L62" i="2" s="1"/>
  <c r="C2" i="3"/>
  <c r="K94" i="2"/>
  <c r="L94" i="2" s="1"/>
  <c r="K89" i="2"/>
  <c r="L89" i="2" s="1"/>
  <c r="K85" i="2"/>
  <c r="L85" i="2" s="1"/>
  <c r="K81" i="2"/>
  <c r="L81" i="2" s="1"/>
  <c r="K77" i="2"/>
  <c r="L77" i="2" s="1"/>
  <c r="K18" i="2"/>
  <c r="L18" i="2" s="1"/>
  <c r="K34" i="2"/>
  <c r="L34" i="2" s="1"/>
  <c r="K68" i="2"/>
  <c r="L68" i="2" s="1"/>
  <c r="K83" i="2"/>
  <c r="L83" i="2" s="1"/>
  <c r="G33" i="9"/>
  <c r="F33" i="9"/>
  <c r="E49" i="9"/>
  <c r="E33" i="9"/>
  <c r="D49" i="9"/>
  <c r="D33" i="9"/>
  <c r="C49" i="9"/>
  <c r="C33" i="9"/>
  <c r="B49" i="9"/>
  <c r="B33" i="9"/>
  <c r="H33" i="9" s="1"/>
  <c r="E47" i="9"/>
  <c r="L7" i="10"/>
  <c r="AB8" i="10"/>
  <c r="AA8" i="10"/>
  <c r="P10" i="10"/>
  <c r="O10" i="10"/>
  <c r="AA16" i="10"/>
  <c r="P18" i="10"/>
  <c r="W23" i="10"/>
  <c r="O30" i="10"/>
  <c r="P30" i="10"/>
  <c r="P35" i="10"/>
  <c r="O35" i="10"/>
  <c r="AB38" i="10"/>
  <c r="T40" i="10"/>
  <c r="B32" i="1"/>
  <c r="K13" i="2"/>
  <c r="L13" i="2" s="1"/>
  <c r="K29" i="2"/>
  <c r="L29" i="2" s="1"/>
  <c r="K57" i="2"/>
  <c r="L57" i="2" s="1"/>
  <c r="K74" i="2"/>
  <c r="L74" i="2" s="1"/>
  <c r="K93" i="2"/>
  <c r="L93" i="2" s="1"/>
  <c r="K99" i="2"/>
  <c r="L99" i="2" s="1"/>
  <c r="D102" i="3"/>
  <c r="T10" i="10"/>
  <c r="S10" i="10"/>
  <c r="S13" i="10"/>
  <c r="AB16" i="10"/>
  <c r="X23" i="10"/>
  <c r="T28" i="10"/>
  <c r="S28" i="10"/>
  <c r="P33" i="10"/>
  <c r="O37" i="10"/>
  <c r="L39" i="10"/>
  <c r="K39" i="10"/>
  <c r="P39" i="10"/>
  <c r="X10" i="10"/>
  <c r="W10" i="10"/>
  <c r="P12" i="10"/>
  <c r="O12" i="10"/>
  <c r="T18" i="10"/>
  <c r="S18" i="10"/>
  <c r="L22" i="10"/>
  <c r="K22" i="10"/>
  <c r="X22" i="10"/>
  <c r="W22" i="10"/>
  <c r="T22" i="10"/>
  <c r="T25" i="10"/>
  <c r="S25" i="10"/>
  <c r="L32" i="10"/>
  <c r="K32" i="10"/>
  <c r="T33" i="10"/>
  <c r="S33" i="10"/>
  <c r="AG60" i="10"/>
  <c r="AH60" i="10"/>
  <c r="AH86" i="10"/>
  <c r="AG86" i="10"/>
  <c r="B47" i="9"/>
  <c r="E58" i="9"/>
  <c r="K19" i="2"/>
  <c r="L19" i="2" s="1"/>
  <c r="K35" i="2"/>
  <c r="L35" i="2" s="1"/>
  <c r="K69" i="2"/>
  <c r="L69" i="2" s="1"/>
  <c r="I84" i="2"/>
  <c r="K100" i="2"/>
  <c r="L100" i="2" s="1"/>
  <c r="AA10" i="10"/>
  <c r="X13" i="10"/>
  <c r="K17" i="10"/>
  <c r="P17" i="10"/>
  <c r="O17" i="10"/>
  <c r="AB17" i="10"/>
  <c r="L17" i="10"/>
  <c r="S20" i="10"/>
  <c r="AB23" i="10"/>
  <c r="X25" i="10"/>
  <c r="W25" i="10"/>
  <c r="X30" i="10"/>
  <c r="W30" i="10"/>
  <c r="X33" i="10"/>
  <c r="W33" i="10"/>
  <c r="X35" i="10"/>
  <c r="W35" i="10"/>
  <c r="X12" i="10"/>
  <c r="X21" i="10"/>
  <c r="AB31" i="10"/>
  <c r="AB40" i="10"/>
  <c r="J184" i="10"/>
  <c r="N184" i="10" s="1"/>
  <c r="Y184" i="10" s="1"/>
  <c r="J182" i="10"/>
  <c r="K182" i="10" s="1"/>
  <c r="J183" i="10"/>
  <c r="K183" i="10" s="1"/>
  <c r="E197" i="10"/>
  <c r="F193" i="10" s="1"/>
  <c r="R56" i="10"/>
  <c r="T56" i="10" s="1"/>
  <c r="R77" i="10"/>
  <c r="T77" i="10" s="1"/>
  <c r="R97" i="10"/>
  <c r="T97" i="10" s="1"/>
  <c r="R120" i="10"/>
  <c r="T120" i="10" s="1"/>
  <c r="AF49" i="10"/>
  <c r="AC52" i="10"/>
  <c r="AI54" i="10"/>
  <c r="AJ72" i="10"/>
  <c r="N74" i="10"/>
  <c r="Y74" i="10" s="1"/>
  <c r="AH81" i="10"/>
  <c r="AG81" i="10"/>
  <c r="AH97" i="10"/>
  <c r="AG97" i="10"/>
  <c r="AH108" i="10"/>
  <c r="AG108" i="10"/>
  <c r="K164" i="10"/>
  <c r="I28" i="10"/>
  <c r="AB28" i="10" s="1"/>
  <c r="L31" i="10"/>
  <c r="T38" i="10"/>
  <c r="O39" i="10"/>
  <c r="L184" i="10"/>
  <c r="L182" i="10"/>
  <c r="L183" i="10"/>
  <c r="H187" i="10"/>
  <c r="E194" i="10" s="1"/>
  <c r="R58" i="10"/>
  <c r="T58" i="10" s="1"/>
  <c r="R78" i="10"/>
  <c r="T78" i="10" s="1"/>
  <c r="R100" i="10"/>
  <c r="T100" i="10" s="1"/>
  <c r="R121" i="10"/>
  <c r="T121" i="10" s="1"/>
  <c r="AF51" i="10"/>
  <c r="P51" i="10"/>
  <c r="AB51" i="10" s="1"/>
  <c r="N59" i="10"/>
  <c r="Y59" i="10" s="1"/>
  <c r="AI60" i="10"/>
  <c r="N62" i="10"/>
  <c r="Y62" i="10" s="1"/>
  <c r="N64" i="10"/>
  <c r="Y64" i="10" s="1"/>
  <c r="K64" i="10"/>
  <c r="P67" i="10"/>
  <c r="AB67" i="10" s="1"/>
  <c r="AF68" i="10"/>
  <c r="AI68" i="10"/>
  <c r="Z68" i="10"/>
  <c r="K75" i="10"/>
  <c r="Z85" i="10"/>
  <c r="K99" i="10"/>
  <c r="V99" i="10"/>
  <c r="N99" i="10"/>
  <c r="Y99" i="10" s="1"/>
  <c r="K105" i="10"/>
  <c r="N105" i="10"/>
  <c r="Y105" i="10" s="1"/>
  <c r="AB12" i="10"/>
  <c r="W29" i="10"/>
  <c r="J172" i="10"/>
  <c r="K172" i="10" s="1"/>
  <c r="J170" i="10"/>
  <c r="J168" i="10"/>
  <c r="J171" i="10"/>
  <c r="J169" i="10"/>
  <c r="K169" i="10" s="1"/>
  <c r="J167" i="10"/>
  <c r="N167" i="10" s="1"/>
  <c r="Y167" i="10" s="1"/>
  <c r="AB36" i="10"/>
  <c r="W37" i="10"/>
  <c r="L180" i="10"/>
  <c r="L181" i="10"/>
  <c r="L179" i="10"/>
  <c r="R59" i="10"/>
  <c r="T59" i="10" s="1"/>
  <c r="R79" i="10"/>
  <c r="T79" i="10" s="1"/>
  <c r="R102" i="10"/>
  <c r="T102" i="10" s="1"/>
  <c r="R122" i="10"/>
  <c r="T122" i="10" s="1"/>
  <c r="V71" i="10"/>
  <c r="AI75" i="10"/>
  <c r="Z75" i="10"/>
  <c r="N91" i="10"/>
  <c r="Y91" i="10" s="1"/>
  <c r="K91" i="10"/>
  <c r="AC92" i="10"/>
  <c r="P92" i="10"/>
  <c r="AB92" i="10" s="1"/>
  <c r="M92" i="10"/>
  <c r="AI92" i="10"/>
  <c r="AA12" i="10"/>
  <c r="AA21" i="10"/>
  <c r="L170" i="10"/>
  <c r="L168" i="10"/>
  <c r="L171" i="10"/>
  <c r="L169" i="10"/>
  <c r="L167" i="10"/>
  <c r="L172" i="10"/>
  <c r="R60" i="10"/>
  <c r="T60" i="10" s="1"/>
  <c r="R80" i="10"/>
  <c r="T80" i="10" s="1"/>
  <c r="R103" i="10"/>
  <c r="T103" i="10" s="1"/>
  <c r="R123" i="10"/>
  <c r="T123" i="10" s="1"/>
  <c r="M63" i="10"/>
  <c r="AC63" i="10"/>
  <c r="AI63" i="10"/>
  <c r="Z63" i="10"/>
  <c r="AD85" i="10"/>
  <c r="AE85" i="10"/>
  <c r="AJ107" i="10"/>
  <c r="AK107" i="10"/>
  <c r="N121" i="10"/>
  <c r="Y121" i="10" s="1"/>
  <c r="V121" i="10"/>
  <c r="K121" i="10"/>
  <c r="P127" i="10"/>
  <c r="AB127" i="10" s="1"/>
  <c r="AF127" i="10"/>
  <c r="AC127" i="10"/>
  <c r="Z127" i="10"/>
  <c r="M127" i="10"/>
  <c r="AI127" i="10"/>
  <c r="N173" i="10"/>
  <c r="Y173" i="10" s="1"/>
  <c r="Y186" i="10" s="1"/>
  <c r="AB186" i="10" s="1"/>
  <c r="J13" i="6"/>
  <c r="K12" i="10"/>
  <c r="K15" i="10"/>
  <c r="AA15" i="10"/>
  <c r="K21" i="10"/>
  <c r="AB21" i="10"/>
  <c r="O27" i="10"/>
  <c r="O31" i="10"/>
  <c r="AA32" i="10"/>
  <c r="I36" i="10"/>
  <c r="P36" i="10" s="1"/>
  <c r="J177" i="10"/>
  <c r="N177" i="10" s="1"/>
  <c r="Y177" i="10" s="1"/>
  <c r="J175" i="10"/>
  <c r="J173" i="10"/>
  <c r="J178" i="10"/>
  <c r="J176" i="10"/>
  <c r="N176" i="10" s="1"/>
  <c r="Y176" i="10" s="1"/>
  <c r="J174" i="10"/>
  <c r="K174" i="10" s="1"/>
  <c r="K41" i="10"/>
  <c r="R61" i="10"/>
  <c r="T61" i="10" s="1"/>
  <c r="R83" i="10"/>
  <c r="T83" i="10" s="1"/>
  <c r="R104" i="10"/>
  <c r="T104" i="10" s="1"/>
  <c r="R124" i="10"/>
  <c r="T124" i="10" s="1"/>
  <c r="M54" i="10"/>
  <c r="AF57" i="10"/>
  <c r="P57" i="10"/>
  <c r="AB57" i="10" s="1"/>
  <c r="AE58" i="10"/>
  <c r="AK69" i="10"/>
  <c r="AG70" i="10"/>
  <c r="M79" i="10"/>
  <c r="AC79" i="10"/>
  <c r="P79" i="10"/>
  <c r="AB79" i="10" s="1"/>
  <c r="AH85" i="10"/>
  <c r="AG85" i="10"/>
  <c r="P91" i="10"/>
  <c r="AB91" i="10" s="1"/>
  <c r="AC91" i="10"/>
  <c r="M91" i="10"/>
  <c r="AI91" i="10"/>
  <c r="AH96" i="10"/>
  <c r="AG96" i="10"/>
  <c r="V104" i="10"/>
  <c r="N104" i="10"/>
  <c r="Y104" i="10" s="1"/>
  <c r="K104" i="10"/>
  <c r="AD112" i="10"/>
  <c r="AD113" i="10"/>
  <c r="AE113" i="10"/>
  <c r="W13" i="10"/>
  <c r="O40" i="10"/>
  <c r="L41" i="10"/>
  <c r="Z48" i="10"/>
  <c r="AF48" i="10"/>
  <c r="R62" i="10"/>
  <c r="T62" i="10" s="1"/>
  <c r="R85" i="10"/>
  <c r="T85" i="10" s="1"/>
  <c r="R105" i="10"/>
  <c r="T105" i="10" s="1"/>
  <c r="R126" i="10"/>
  <c r="T126" i="10" s="1"/>
  <c r="AD50" i="10"/>
  <c r="AJ52" i="10"/>
  <c r="P54" i="10"/>
  <c r="AB54" i="10" s="1"/>
  <c r="AJ55" i="10"/>
  <c r="M57" i="10"/>
  <c r="M60" i="10"/>
  <c r="AH61" i="10"/>
  <c r="P63" i="10"/>
  <c r="AB63" i="10" s="1"/>
  <c r="Z64" i="10"/>
  <c r="M64" i="10"/>
  <c r="AC64" i="10"/>
  <c r="AH66" i="10"/>
  <c r="AG66" i="10"/>
  <c r="K69" i="10"/>
  <c r="K76" i="10"/>
  <c r="V82" i="10"/>
  <c r="K82" i="10"/>
  <c r="AK83" i="10"/>
  <c r="AJ84" i="10"/>
  <c r="AK85" i="10"/>
  <c r="AJ85" i="10"/>
  <c r="AJ86" i="10"/>
  <c r="M99" i="10"/>
  <c r="AC99" i="10"/>
  <c r="Z99" i="10"/>
  <c r="AK101" i="10"/>
  <c r="AJ105" i="10"/>
  <c r="AK105" i="10"/>
  <c r="C21" i="8"/>
  <c r="S11" i="10"/>
  <c r="I37" i="10"/>
  <c r="AA37" i="10" s="1"/>
  <c r="O42" i="10"/>
  <c r="M48" i="10"/>
  <c r="M187" i="10" s="1"/>
  <c r="R63" i="10"/>
  <c r="T63" i="10" s="1"/>
  <c r="R86" i="10"/>
  <c r="T86" i="10" s="1"/>
  <c r="R106" i="10"/>
  <c r="T106" i="10" s="1"/>
  <c r="AD53" i="10"/>
  <c r="AE53" i="10"/>
  <c r="P64" i="10"/>
  <c r="AB64" i="10" s="1"/>
  <c r="V66" i="10"/>
  <c r="K66" i="10"/>
  <c r="N70" i="10"/>
  <c r="Y70" i="10" s="1"/>
  <c r="AK70" i="10"/>
  <c r="AJ70" i="10"/>
  <c r="AE71" i="10"/>
  <c r="AJ73" i="10"/>
  <c r="AG77" i="10"/>
  <c r="P99" i="10"/>
  <c r="AB99" i="10" s="1"/>
  <c r="AE100" i="10"/>
  <c r="AD100" i="10"/>
  <c r="AD106" i="10"/>
  <c r="AG113" i="10"/>
  <c r="AK135" i="10"/>
  <c r="AJ135" i="10"/>
  <c r="M2" i="5"/>
  <c r="S27" i="10"/>
  <c r="O41" i="10"/>
  <c r="N48" i="10"/>
  <c r="Y48" i="10" s="1"/>
  <c r="R65" i="10"/>
  <c r="T65" i="10" s="1"/>
  <c r="R87" i="10"/>
  <c r="T87" i="10" s="1"/>
  <c r="R107" i="10"/>
  <c r="T107" i="10" s="1"/>
  <c r="M49" i="10"/>
  <c r="K55" i="10"/>
  <c r="P60" i="10"/>
  <c r="AB60" i="10" s="1"/>
  <c r="Z65" i="10"/>
  <c r="P65" i="10"/>
  <c r="AB65" i="10" s="1"/>
  <c r="AF65" i="10"/>
  <c r="K70" i="10"/>
  <c r="K73" i="10"/>
  <c r="AD74" i="10"/>
  <c r="N87" i="10"/>
  <c r="Y87" i="10" s="1"/>
  <c r="K87" i="10"/>
  <c r="V87" i="10"/>
  <c r="Z91" i="10"/>
  <c r="AJ95" i="10"/>
  <c r="AK95" i="10"/>
  <c r="V114" i="10"/>
  <c r="N114" i="10"/>
  <c r="Y114" i="10" s="1"/>
  <c r="K114" i="10"/>
  <c r="O15" i="10"/>
  <c r="O21" i="10"/>
  <c r="I26" i="10"/>
  <c r="O26" i="10" s="1"/>
  <c r="T27" i="10"/>
  <c r="S31" i="10"/>
  <c r="X34" i="10"/>
  <c r="S35" i="10"/>
  <c r="J163" i="10"/>
  <c r="J161" i="10"/>
  <c r="N161" i="10" s="1"/>
  <c r="Y161" i="10" s="1"/>
  <c r="J159" i="10"/>
  <c r="J166" i="10"/>
  <c r="K166" i="10" s="1"/>
  <c r="J164" i="10"/>
  <c r="N164" i="10" s="1"/>
  <c r="Y164" i="10" s="1"/>
  <c r="J162" i="10"/>
  <c r="J160" i="10"/>
  <c r="J158" i="10"/>
  <c r="K158" i="10" s="1"/>
  <c r="J165" i="10"/>
  <c r="K165" i="10" s="1"/>
  <c r="P48" i="10"/>
  <c r="AB48" i="10" s="1"/>
  <c r="R68" i="10"/>
  <c r="T68" i="10" s="1"/>
  <c r="R88" i="10"/>
  <c r="T88" i="10" s="1"/>
  <c r="R109" i="10"/>
  <c r="T109" i="10" s="1"/>
  <c r="AF55" i="10"/>
  <c r="P55" i="10"/>
  <c r="AB55" i="10" s="1"/>
  <c r="K58" i="10"/>
  <c r="N84" i="10"/>
  <c r="Y84" i="10" s="1"/>
  <c r="K84" i="10"/>
  <c r="AF91" i="10"/>
  <c r="AH111" i="10"/>
  <c r="AG111" i="10"/>
  <c r="M5" i="6"/>
  <c r="W34" i="10"/>
  <c r="T35" i="10"/>
  <c r="L161" i="10"/>
  <c r="L159" i="10"/>
  <c r="L166" i="10"/>
  <c r="L164" i="10"/>
  <c r="L162" i="10"/>
  <c r="L160" i="10"/>
  <c r="L158" i="10"/>
  <c r="L165" i="10"/>
  <c r="L163" i="10"/>
  <c r="T173" i="10"/>
  <c r="T157" i="10"/>
  <c r="T141" i="10"/>
  <c r="T180" i="10"/>
  <c r="T164" i="10"/>
  <c r="T148" i="10"/>
  <c r="T171" i="10"/>
  <c r="T155" i="10"/>
  <c r="T178" i="10"/>
  <c r="T162" i="10"/>
  <c r="T146" i="10"/>
  <c r="T169" i="10"/>
  <c r="T153" i="10"/>
  <c r="T137" i="10"/>
  <c r="T176" i="10"/>
  <c r="T160" i="10"/>
  <c r="T144" i="10"/>
  <c r="T185" i="10"/>
  <c r="T183" i="10"/>
  <c r="T167" i="10"/>
  <c r="T151" i="10"/>
  <c r="T135" i="10"/>
  <c r="T174" i="10"/>
  <c r="T158" i="10"/>
  <c r="T181" i="10"/>
  <c r="T165" i="10"/>
  <c r="T149" i="10"/>
  <c r="T133" i="10"/>
  <c r="T172" i="10"/>
  <c r="T156" i="10"/>
  <c r="T140" i="10"/>
  <c r="T179" i="10"/>
  <c r="T163" i="10"/>
  <c r="T170" i="10"/>
  <c r="T154" i="10"/>
  <c r="T138" i="10"/>
  <c r="T177" i="10"/>
  <c r="T161" i="10"/>
  <c r="T145" i="10"/>
  <c r="T129" i="10"/>
  <c r="T184" i="10"/>
  <c r="T168" i="10"/>
  <c r="T152" i="10"/>
  <c r="T175" i="10"/>
  <c r="T159" i="10"/>
  <c r="T143" i="10"/>
  <c r="T182" i="10"/>
  <c r="T166" i="10"/>
  <c r="T150" i="10"/>
  <c r="T134" i="10"/>
  <c r="T132" i="10"/>
  <c r="T131" i="10"/>
  <c r="T130" i="10"/>
  <c r="T128" i="10"/>
  <c r="T127" i="10"/>
  <c r="T142" i="10"/>
  <c r="T139" i="10"/>
  <c r="T147" i="10"/>
  <c r="R69" i="10"/>
  <c r="T69" i="10" s="1"/>
  <c r="R89" i="10"/>
  <c r="T89" i="10" s="1"/>
  <c r="AJ50" i="10"/>
  <c r="AC51" i="10"/>
  <c r="P52" i="10"/>
  <c r="AB52" i="10" s="1"/>
  <c r="N53" i="10"/>
  <c r="Y53" i="10" s="1"/>
  <c r="M55" i="10"/>
  <c r="Z57" i="10"/>
  <c r="K61" i="10"/>
  <c r="V64" i="10"/>
  <c r="AG67" i="10"/>
  <c r="AC68" i="10"/>
  <c r="AC75" i="10"/>
  <c r="K77" i="10"/>
  <c r="AJ77" i="10"/>
  <c r="Z79" i="10"/>
  <c r="AI82" i="10"/>
  <c r="AF82" i="10"/>
  <c r="Z82" i="10"/>
  <c r="AJ100" i="10"/>
  <c r="K118" i="10"/>
  <c r="V118" i="10"/>
  <c r="N118" i="10"/>
  <c r="Y118" i="10" s="1"/>
  <c r="T136" i="10"/>
  <c r="R114" i="10"/>
  <c r="T114" i="10" s="1"/>
  <c r="R98" i="10"/>
  <c r="T98" i="10" s="1"/>
  <c r="R82" i="10"/>
  <c r="T82" i="10" s="1"/>
  <c r="R66" i="10"/>
  <c r="T66" i="10" s="1"/>
  <c r="R50" i="10"/>
  <c r="T50" i="10" s="1"/>
  <c r="R125" i="10"/>
  <c r="T125" i="10" s="1"/>
  <c r="R108" i="10"/>
  <c r="T108" i="10" s="1"/>
  <c r="R91" i="10"/>
  <c r="T91" i="10" s="1"/>
  <c r="R74" i="10"/>
  <c r="T74" i="10" s="1"/>
  <c r="R57" i="10"/>
  <c r="T57" i="10" s="1"/>
  <c r="R118" i="10"/>
  <c r="T118" i="10" s="1"/>
  <c r="R101" i="10"/>
  <c r="T101" i="10" s="1"/>
  <c r="R84" i="10"/>
  <c r="T84" i="10" s="1"/>
  <c r="R67" i="10"/>
  <c r="T67" i="10" s="1"/>
  <c r="R49" i="10"/>
  <c r="T49" i="10" s="1"/>
  <c r="R116" i="10"/>
  <c r="T116" i="10" s="1"/>
  <c r="R99" i="10"/>
  <c r="T99" i="10" s="1"/>
  <c r="R81" i="10"/>
  <c r="T81" i="10" s="1"/>
  <c r="R64" i="10"/>
  <c r="T64" i="10" s="1"/>
  <c r="R48" i="10"/>
  <c r="T48" i="10" s="1"/>
  <c r="R70" i="10"/>
  <c r="T70" i="10" s="1"/>
  <c r="R90" i="10"/>
  <c r="T90" i="10" s="1"/>
  <c r="R111" i="10"/>
  <c r="T111" i="10" s="1"/>
  <c r="AC48" i="10"/>
  <c r="K50" i="10"/>
  <c r="AI53" i="10"/>
  <c r="Z54" i="10"/>
  <c r="N55" i="10"/>
  <c r="Y55" i="10" s="1"/>
  <c r="AH62" i="10"/>
  <c r="V67" i="10"/>
  <c r="K67" i="10"/>
  <c r="AI67" i="10"/>
  <c r="N73" i="10"/>
  <c r="Y73" i="10" s="1"/>
  <c r="M82" i="10"/>
  <c r="K83" i="10"/>
  <c r="AF99" i="10"/>
  <c r="N103" i="10"/>
  <c r="Y103" i="10" s="1"/>
  <c r="AG123" i="10"/>
  <c r="AH123" i="10"/>
  <c r="T41" i="10"/>
  <c r="R51" i="10"/>
  <c r="T51" i="10" s="1"/>
  <c r="R71" i="10"/>
  <c r="T71" i="10" s="1"/>
  <c r="R92" i="10"/>
  <c r="T92" i="10" s="1"/>
  <c r="R112" i="10"/>
  <c r="T112" i="10" s="1"/>
  <c r="AC57" i="10"/>
  <c r="N78" i="10"/>
  <c r="Y78" i="10" s="1"/>
  <c r="N82" i="10"/>
  <c r="Y82" i="10" s="1"/>
  <c r="AF83" i="10"/>
  <c r="P83" i="10"/>
  <c r="AB83" i="10" s="1"/>
  <c r="AC83" i="10"/>
  <c r="M83" i="10"/>
  <c r="AF84" i="10"/>
  <c r="AC84" i="10"/>
  <c r="Z84" i="10"/>
  <c r="M84" i="10"/>
  <c r="K94" i="10"/>
  <c r="N94" i="10"/>
  <c r="Y94" i="10" s="1"/>
  <c r="AI99" i="10"/>
  <c r="AH105" i="10"/>
  <c r="AG105" i="10"/>
  <c r="T32" i="10"/>
  <c r="W42" i="10"/>
  <c r="R52" i="10"/>
  <c r="T52" i="10" s="1"/>
  <c r="R72" i="10"/>
  <c r="T72" i="10" s="1"/>
  <c r="R93" i="10"/>
  <c r="T93" i="10" s="1"/>
  <c r="R113" i="10"/>
  <c r="T113" i="10" s="1"/>
  <c r="AC54" i="10"/>
  <c r="Z60" i="10"/>
  <c r="N61" i="10"/>
  <c r="Y61" i="10" s="1"/>
  <c r="AF63" i="10"/>
  <c r="K71" i="10"/>
  <c r="N77" i="10"/>
  <c r="Y77" i="10" s="1"/>
  <c r="AF79" i="10"/>
  <c r="N83" i="10"/>
  <c r="Y83" i="10" s="1"/>
  <c r="Z86" i="10"/>
  <c r="AC86" i="10"/>
  <c r="M86" i="10"/>
  <c r="K88" i="10"/>
  <c r="V100" i="10"/>
  <c r="N100" i="10"/>
  <c r="Y100" i="10" s="1"/>
  <c r="K100" i="10"/>
  <c r="V106" i="10"/>
  <c r="N106" i="10"/>
  <c r="Y106" i="10" s="1"/>
  <c r="K106" i="10"/>
  <c r="AA5" i="10"/>
  <c r="O7" i="10"/>
  <c r="S9" i="10"/>
  <c r="O13" i="10"/>
  <c r="I20" i="10"/>
  <c r="X20" i="10" s="1"/>
  <c r="AA23" i="10"/>
  <c r="W24" i="10"/>
  <c r="S32" i="10"/>
  <c r="AA39" i="10"/>
  <c r="W40" i="10"/>
  <c r="W41" i="10"/>
  <c r="AA42" i="10"/>
  <c r="R53" i="10"/>
  <c r="T53" i="10" s="1"/>
  <c r="R73" i="10"/>
  <c r="T73" i="10" s="1"/>
  <c r="R94" i="10"/>
  <c r="T94" i="10" s="1"/>
  <c r="R115" i="10"/>
  <c r="T115" i="10" s="1"/>
  <c r="K68" i="10"/>
  <c r="V68" i="10"/>
  <c r="AH75" i="10"/>
  <c r="AJ78" i="10"/>
  <c r="AD80" i="10"/>
  <c r="P85" i="10"/>
  <c r="AB85" i="10" s="1"/>
  <c r="P86" i="10"/>
  <c r="AB86" i="10" s="1"/>
  <c r="AH107" i="10"/>
  <c r="AG107" i="10"/>
  <c r="AE122" i="10"/>
  <c r="AD122" i="10"/>
  <c r="J156" i="10"/>
  <c r="K156" i="10" s="1"/>
  <c r="J154" i="10"/>
  <c r="N154" i="10" s="1"/>
  <c r="Y154" i="10" s="1"/>
  <c r="J152" i="10"/>
  <c r="N152" i="10" s="1"/>
  <c r="Y152" i="10" s="1"/>
  <c r="J157" i="10"/>
  <c r="K157" i="10" s="1"/>
  <c r="J155" i="10"/>
  <c r="J153" i="10"/>
  <c r="N153" i="10" s="1"/>
  <c r="Y153" i="10" s="1"/>
  <c r="AB41" i="10"/>
  <c r="AB42" i="10"/>
  <c r="R54" i="10"/>
  <c r="T54" i="10" s="1"/>
  <c r="R75" i="10"/>
  <c r="T75" i="10" s="1"/>
  <c r="R95" i="10"/>
  <c r="T95" i="10" s="1"/>
  <c r="R117" i="10"/>
  <c r="T117" i="10" s="1"/>
  <c r="AI48" i="10"/>
  <c r="AC49" i="10"/>
  <c r="AG54" i="10"/>
  <c r="Z55" i="10"/>
  <c r="AC60" i="10"/>
  <c r="AF64" i="10"/>
  <c r="AI74" i="10"/>
  <c r="AF74" i="10"/>
  <c r="AI79" i="10"/>
  <c r="M101" i="10"/>
  <c r="AC101" i="10"/>
  <c r="Z101" i="10"/>
  <c r="AF101" i="10"/>
  <c r="P101" i="10"/>
  <c r="AB101" i="10" s="1"/>
  <c r="V103" i="10"/>
  <c r="AE104" i="10"/>
  <c r="AD104" i="10"/>
  <c r="AH109" i="10"/>
  <c r="AG109" i="10"/>
  <c r="AA31" i="10"/>
  <c r="L154" i="10"/>
  <c r="L152" i="10"/>
  <c r="L157" i="10"/>
  <c r="L155" i="10"/>
  <c r="L153" i="10"/>
  <c r="L156" i="10"/>
  <c r="AA41" i="10"/>
  <c r="R55" i="10"/>
  <c r="T55" i="10" s="1"/>
  <c r="R76" i="10"/>
  <c r="T76" i="10" s="1"/>
  <c r="R96" i="10"/>
  <c r="T96" i="10" s="1"/>
  <c r="R119" i="10"/>
  <c r="T119" i="10" s="1"/>
  <c r="AC55" i="10"/>
  <c r="AF59" i="10"/>
  <c r="P59" i="10"/>
  <c r="AB59" i="10" s="1"/>
  <c r="AC62" i="10"/>
  <c r="P62" i="10"/>
  <c r="AB62" i="10" s="1"/>
  <c r="AI62" i="10"/>
  <c r="AC65" i="10"/>
  <c r="M67" i="10"/>
  <c r="M74" i="10"/>
  <c r="AD76" i="10"/>
  <c r="K78" i="10"/>
  <c r="AE81" i="10"/>
  <c r="Z83" i="10"/>
  <c r="N88" i="10"/>
  <c r="Y88" i="10" s="1"/>
  <c r="AE94" i="10"/>
  <c r="AD94" i="10"/>
  <c r="M95" i="10"/>
  <c r="AC95" i="10"/>
  <c r="Z95" i="10"/>
  <c r="AF95" i="10"/>
  <c r="AG98" i="10"/>
  <c r="AH104" i="10"/>
  <c r="AG104" i="10"/>
  <c r="AD108" i="10"/>
  <c r="AK109" i="10"/>
  <c r="AG114" i="10"/>
  <c r="Z80" i="10"/>
  <c r="M80" i="10"/>
  <c r="K81" i="10"/>
  <c r="V93" i="10"/>
  <c r="M97" i="10"/>
  <c r="AC97" i="10"/>
  <c r="Z97" i="10"/>
  <c r="N120" i="10"/>
  <c r="Y120" i="10" s="1"/>
  <c r="K120" i="10"/>
  <c r="AG121" i="10"/>
  <c r="AH121" i="10"/>
  <c r="N124" i="10"/>
  <c r="Y124" i="10" s="1"/>
  <c r="K124" i="10"/>
  <c r="N126" i="10"/>
  <c r="Y126" i="10" s="1"/>
  <c r="N129" i="10"/>
  <c r="Y129" i="10" s="1"/>
  <c r="AJ131" i="10"/>
  <c r="AK131" i="10"/>
  <c r="AI76" i="10"/>
  <c r="AC78" i="10"/>
  <c r="P78" i="10"/>
  <c r="AB78" i="10" s="1"/>
  <c r="N92" i="10"/>
  <c r="Y92" i="10" s="1"/>
  <c r="AJ110" i="10"/>
  <c r="V112" i="10"/>
  <c r="N112" i="10"/>
  <c r="Y112" i="10" s="1"/>
  <c r="K112" i="10"/>
  <c r="M125" i="10"/>
  <c r="AC125" i="10"/>
  <c r="P125" i="10"/>
  <c r="AB125" i="10" s="1"/>
  <c r="AI125" i="10"/>
  <c r="AK133" i="10"/>
  <c r="AJ133" i="10"/>
  <c r="AG136" i="10"/>
  <c r="AH136" i="10"/>
  <c r="N113" i="10"/>
  <c r="Y113" i="10" s="1"/>
  <c r="AI118" i="10"/>
  <c r="AF118" i="10"/>
  <c r="Z118" i="10"/>
  <c r="AE140" i="10"/>
  <c r="AD140" i="10"/>
  <c r="N146" i="10"/>
  <c r="Y146" i="10" s="1"/>
  <c r="L177" i="10"/>
  <c r="L175" i="10"/>
  <c r="L173" i="10"/>
  <c r="L178" i="10"/>
  <c r="L176" i="10"/>
  <c r="L174" i="10"/>
  <c r="K65" i="10"/>
  <c r="N81" i="10"/>
  <c r="Y81" i="10" s="1"/>
  <c r="AH103" i="10"/>
  <c r="AG103" i="10"/>
  <c r="AJ106" i="10"/>
  <c r="K109" i="10"/>
  <c r="V110" i="10"/>
  <c r="N110" i="10"/>
  <c r="Y110" i="10" s="1"/>
  <c r="K110" i="10"/>
  <c r="K113" i="10"/>
  <c r="P115" i="10"/>
  <c r="AB115" i="10" s="1"/>
  <c r="AF115" i="10"/>
  <c r="Z115" i="10"/>
  <c r="AD116" i="10"/>
  <c r="AE116" i="10"/>
  <c r="M118" i="10"/>
  <c r="N131" i="10"/>
  <c r="Y131" i="10" s="1"/>
  <c r="AE134" i="10"/>
  <c r="AD134" i="10"/>
  <c r="N85" i="10"/>
  <c r="Y85" i="10" s="1"/>
  <c r="K107" i="10"/>
  <c r="V108" i="10"/>
  <c r="N108" i="10"/>
  <c r="Y108" i="10" s="1"/>
  <c r="K108" i="10"/>
  <c r="P118" i="10"/>
  <c r="AB118" i="10" s="1"/>
  <c r="V124" i="10"/>
  <c r="AF117" i="10"/>
  <c r="P117" i="10"/>
  <c r="AB117" i="10" s="1"/>
  <c r="AI117" i="10"/>
  <c r="N139" i="10"/>
  <c r="Y139" i="10" s="1"/>
  <c r="K139" i="10"/>
  <c r="AH144" i="10"/>
  <c r="AG144" i="10"/>
  <c r="AK113" i="10"/>
  <c r="AJ113" i="10"/>
  <c r="M117" i="10"/>
  <c r="AH125" i="10"/>
  <c r="AG125" i="10"/>
  <c r="AC128" i="10"/>
  <c r="M128" i="10"/>
  <c r="AI128" i="10"/>
  <c r="AF128" i="10"/>
  <c r="Z128" i="10"/>
  <c r="P128" i="10"/>
  <c r="AB128" i="10" s="1"/>
  <c r="N86" i="10"/>
  <c r="Y86" i="10" s="1"/>
  <c r="K101" i="10"/>
  <c r="V102" i="10"/>
  <c r="N102" i="10"/>
  <c r="Y102" i="10" s="1"/>
  <c r="K102" i="10"/>
  <c r="M109" i="10"/>
  <c r="AC109" i="10"/>
  <c r="Z109" i="10"/>
  <c r="N111" i="10"/>
  <c r="Y111" i="10" s="1"/>
  <c r="AD118" i="10"/>
  <c r="P123" i="10"/>
  <c r="AB123" i="10" s="1"/>
  <c r="AI123" i="10"/>
  <c r="AC123" i="10"/>
  <c r="Z123" i="10"/>
  <c r="M123" i="10"/>
  <c r="AH124" i="10"/>
  <c r="N130" i="10"/>
  <c r="Y130" i="10" s="1"/>
  <c r="K130" i="10"/>
  <c r="AK138" i="10"/>
  <c r="AJ138" i="10"/>
  <c r="M107" i="10"/>
  <c r="AC107" i="10"/>
  <c r="Z107" i="10"/>
  <c r="K97" i="10"/>
  <c r="V98" i="10"/>
  <c r="N98" i="10"/>
  <c r="Y98" i="10" s="1"/>
  <c r="K98" i="10"/>
  <c r="M105" i="10"/>
  <c r="AC105" i="10"/>
  <c r="Z105" i="10"/>
  <c r="N107" i="10"/>
  <c r="Y107" i="10" s="1"/>
  <c r="AE115" i="10"/>
  <c r="AD115" i="10"/>
  <c r="Z117" i="10"/>
  <c r="K49" i="10"/>
  <c r="AI80" i="10"/>
  <c r="K95" i="10"/>
  <c r="V96" i="10"/>
  <c r="I194" i="10" s="1"/>
  <c r="K194" i="10" s="1"/>
  <c r="N96" i="10"/>
  <c r="Y96" i="10" s="1"/>
  <c r="K96" i="10"/>
  <c r="M103" i="10"/>
  <c r="AC103" i="10"/>
  <c r="Z103" i="10"/>
  <c r="P107" i="10"/>
  <c r="AB107" i="10" s="1"/>
  <c r="AI115" i="10"/>
  <c r="AC117" i="10"/>
  <c r="AH119" i="10"/>
  <c r="AG119" i="10"/>
  <c r="K131" i="10"/>
  <c r="Z136" i="10"/>
  <c r="P139" i="10"/>
  <c r="AB139" i="10" s="1"/>
  <c r="M139" i="10"/>
  <c r="AK144" i="10"/>
  <c r="AJ144" i="10"/>
  <c r="AC147" i="10"/>
  <c r="P147" i="10"/>
  <c r="AB147" i="10" s="1"/>
  <c r="M147" i="10"/>
  <c r="K170" i="10"/>
  <c r="AF89" i="10"/>
  <c r="AI94" i="10"/>
  <c r="Z113" i="10"/>
  <c r="P116" i="10"/>
  <c r="AB116" i="10" s="1"/>
  <c r="M129" i="10"/>
  <c r="AF129" i="10"/>
  <c r="Z129" i="10"/>
  <c r="P129" i="10"/>
  <c r="AB129" i="10" s="1"/>
  <c r="Z130" i="10"/>
  <c r="AF130" i="10"/>
  <c r="AC130" i="10"/>
  <c r="N133" i="10"/>
  <c r="Y133" i="10" s="1"/>
  <c r="K133" i="10"/>
  <c r="K173" i="10"/>
  <c r="AC93" i="10"/>
  <c r="Z111" i="10"/>
  <c r="M114" i="10"/>
  <c r="K115" i="10"/>
  <c r="AC124" i="10"/>
  <c r="P124" i="10"/>
  <c r="AB124" i="10" s="1"/>
  <c r="M130" i="10"/>
  <c r="P131" i="10"/>
  <c r="AB131" i="10" s="1"/>
  <c r="M131" i="10"/>
  <c r="AI136" i="10"/>
  <c r="Z139" i="10"/>
  <c r="AD142" i="10"/>
  <c r="Z147" i="10"/>
  <c r="K135" i="10"/>
  <c r="AE139" i="10"/>
  <c r="AD139" i="10"/>
  <c r="AH147" i="10"/>
  <c r="AG147" i="10"/>
  <c r="N165" i="10"/>
  <c r="Y165" i="10" s="1"/>
  <c r="K168" i="10"/>
  <c r="P94" i="10"/>
  <c r="AB94" i="10" s="1"/>
  <c r="AC111" i="10"/>
  <c r="P114" i="10"/>
  <c r="AB114" i="10" s="1"/>
  <c r="N135" i="10"/>
  <c r="Y135" i="10" s="1"/>
  <c r="N136" i="10"/>
  <c r="Y136" i="10" s="1"/>
  <c r="V136" i="10"/>
  <c r="AF139" i="10"/>
  <c r="AH140" i="10"/>
  <c r="AH142" i="10"/>
  <c r="V144" i="10"/>
  <c r="N144" i="10"/>
  <c r="Y144" i="10" s="1"/>
  <c r="K144" i="10"/>
  <c r="AI147" i="10"/>
  <c r="AF133" i="10"/>
  <c r="M133" i="10"/>
  <c r="AK139" i="10"/>
  <c r="AJ139" i="10"/>
  <c r="N168" i="10"/>
  <c r="Y168" i="10" s="1"/>
  <c r="K177" i="10"/>
  <c r="N148" i="10"/>
  <c r="Y148" i="10" s="1"/>
  <c r="AH149" i="10"/>
  <c r="AG149" i="10"/>
  <c r="V140" i="10"/>
  <c r="N140" i="10"/>
  <c r="Y140" i="10" s="1"/>
  <c r="AD151" i="10"/>
  <c r="AE151" i="10"/>
  <c r="AI93" i="10"/>
  <c r="Z124" i="10"/>
  <c r="N125" i="10"/>
  <c r="Y125" i="10" s="1"/>
  <c r="Z131" i="10"/>
  <c r="V133" i="10"/>
  <c r="K136" i="10"/>
  <c r="AC144" i="10"/>
  <c r="M144" i="10"/>
  <c r="N166" i="10"/>
  <c r="Y166" i="10" s="1"/>
  <c r="M93" i="10"/>
  <c r="K127" i="10"/>
  <c r="Z133" i="10"/>
  <c r="AE145" i="10"/>
  <c r="AD145" i="10"/>
  <c r="AI111" i="10"/>
  <c r="AC133" i="10"/>
  <c r="K152" i="10"/>
  <c r="J179" i="10"/>
  <c r="J180" i="10"/>
  <c r="N180" i="10" s="1"/>
  <c r="Y180" i="10" s="1"/>
  <c r="J181" i="10"/>
  <c r="N181" i="10" s="1"/>
  <c r="Y181" i="10" s="1"/>
  <c r="AD114" i="10"/>
  <c r="V117" i="10"/>
  <c r="V128" i="10"/>
  <c r="K128" i="10"/>
  <c r="AK129" i="10"/>
  <c r="AI130" i="10"/>
  <c r="AF131" i="10"/>
  <c r="P136" i="10"/>
  <c r="AB136" i="10" s="1"/>
  <c r="K140" i="10"/>
  <c r="N142" i="10"/>
  <c r="Y142" i="10" s="1"/>
  <c r="Z144" i="10"/>
  <c r="K147" i="10"/>
  <c r="N172" i="10"/>
  <c r="Y172" i="10" s="1"/>
  <c r="Z132" i="10"/>
  <c r="AI140" i="10"/>
  <c r="P145" i="10"/>
  <c r="AB145" i="10" s="1"/>
  <c r="AC146" i="10"/>
  <c r="Z148" i="10"/>
  <c r="K149" i="10"/>
  <c r="V150" i="10"/>
  <c r="AF151" i="10"/>
  <c r="V166" i="10"/>
  <c r="N170" i="10"/>
  <c r="Y170" i="10" s="1"/>
  <c r="V182" i="10"/>
  <c r="I195" i="10" s="1"/>
  <c r="K195" i="10" s="1"/>
  <c r="AI149" i="10"/>
  <c r="AI126" i="10"/>
  <c r="AC132" i="10"/>
  <c r="Z134" i="10"/>
  <c r="AF137" i="10"/>
  <c r="AC148" i="10"/>
  <c r="M149" i="10"/>
  <c r="Z150" i="10"/>
  <c r="K151" i="10"/>
  <c r="K167" i="10"/>
  <c r="V184" i="10"/>
  <c r="M126" i="10"/>
  <c r="P140" i="10"/>
  <c r="AB140" i="10" s="1"/>
  <c r="AC141" i="10"/>
  <c r="Z143" i="10"/>
  <c r="AF146" i="10"/>
  <c r="AI151" i="10"/>
  <c r="K160" i="10"/>
  <c r="K176" i="10"/>
  <c r="AC150" i="10"/>
  <c r="M151" i="10"/>
  <c r="K153" i="10"/>
  <c r="V154" i="10"/>
  <c r="I193" i="10" s="1"/>
  <c r="N158" i="10"/>
  <c r="Y158" i="10" s="1"/>
  <c r="V170" i="10"/>
  <c r="P126" i="10"/>
  <c r="AB126" i="10" s="1"/>
  <c r="AF132" i="10"/>
  <c r="AC143" i="10"/>
  <c r="Z145" i="10"/>
  <c r="K146" i="10"/>
  <c r="AF148" i="10"/>
  <c r="N151" i="10"/>
  <c r="Y151" i="10" s="1"/>
  <c r="K162" i="10"/>
  <c r="K178" i="10"/>
  <c r="AF141" i="10"/>
  <c r="AI146" i="10"/>
  <c r="P151" i="10"/>
  <c r="AB151" i="10" s="1"/>
  <c r="N160" i="10"/>
  <c r="Y160" i="10" s="1"/>
  <c r="AF150" i="10"/>
  <c r="AF143" i="10"/>
  <c r="AI148" i="10"/>
  <c r="N162" i="10"/>
  <c r="Y162" i="10" s="1"/>
  <c r="N178" i="10"/>
  <c r="Y178" i="10" s="1"/>
  <c r="AI141" i="10"/>
  <c r="M148" i="10"/>
  <c r="Z149" i="10"/>
  <c r="K150" i="10"/>
  <c r="AF145" i="10"/>
  <c r="AI150" i="10"/>
  <c r="AI143" i="10"/>
  <c r="AC149" i="10"/>
  <c r="Z151" i="10"/>
  <c r="K184" i="10"/>
  <c r="AI145" i="10"/>
  <c r="K193" i="10" l="1"/>
  <c r="I196" i="10"/>
  <c r="K196" i="10" s="1"/>
  <c r="P155" i="10"/>
  <c r="AB155" i="10" s="1"/>
  <c r="M155" i="10"/>
  <c r="AI155" i="10"/>
  <c r="AF155" i="10"/>
  <c r="AC155" i="10"/>
  <c r="Z155" i="10"/>
  <c r="AG74" i="10"/>
  <c r="AH74" i="10"/>
  <c r="AD54" i="10"/>
  <c r="AE54" i="10"/>
  <c r="AI170" i="10"/>
  <c r="AF170" i="10"/>
  <c r="AC170" i="10"/>
  <c r="Z170" i="10"/>
  <c r="P170" i="10"/>
  <c r="AB170" i="10" s="1"/>
  <c r="M170" i="10"/>
  <c r="F195" i="10"/>
  <c r="AB20" i="10"/>
  <c r="AK140" i="10"/>
  <c r="AJ140" i="10"/>
  <c r="AK117" i="10"/>
  <c r="AJ117" i="10"/>
  <c r="P173" i="10"/>
  <c r="AB173" i="10" s="1"/>
  <c r="M173" i="10"/>
  <c r="AI173" i="10"/>
  <c r="AF173" i="10"/>
  <c r="AC173" i="10"/>
  <c r="Z173" i="10"/>
  <c r="AE125" i="10"/>
  <c r="AD125" i="10"/>
  <c r="M157" i="10"/>
  <c r="AI157" i="10"/>
  <c r="AF157" i="10"/>
  <c r="AC157" i="10"/>
  <c r="Z157" i="10"/>
  <c r="AK74" i="10"/>
  <c r="AJ74" i="10"/>
  <c r="AE83" i="10"/>
  <c r="AD83" i="10"/>
  <c r="C23" i="8"/>
  <c r="F21" i="8"/>
  <c r="AE91" i="10"/>
  <c r="AD91" i="10"/>
  <c r="AF179" i="10"/>
  <c r="AC179" i="10"/>
  <c r="Z179" i="10"/>
  <c r="M179" i="10"/>
  <c r="AI179" i="10"/>
  <c r="AH51" i="10"/>
  <c r="AG51" i="10"/>
  <c r="K161" i="10"/>
  <c r="P37" i="10"/>
  <c r="AH48" i="10"/>
  <c r="AG48" i="10"/>
  <c r="AF181" i="10"/>
  <c r="AC181" i="10"/>
  <c r="Z181" i="10"/>
  <c r="P181" i="10"/>
  <c r="AB181" i="10" s="1"/>
  <c r="M181" i="10"/>
  <c r="AI181" i="10"/>
  <c r="L18" i="3"/>
  <c r="AJ128" i="10"/>
  <c r="AK128" i="10"/>
  <c r="AF165" i="10"/>
  <c r="AC165" i="10"/>
  <c r="Z165" i="10"/>
  <c r="P165" i="10"/>
  <c r="AB165" i="10" s="1"/>
  <c r="M165" i="10"/>
  <c r="AI165" i="10"/>
  <c r="AE99" i="10"/>
  <c r="AD99" i="10"/>
  <c r="AE79" i="10"/>
  <c r="AD79" i="10"/>
  <c r="AE92" i="10"/>
  <c r="AD92" i="10"/>
  <c r="F194" i="10"/>
  <c r="T20" i="10"/>
  <c r="AK115" i="10"/>
  <c r="AJ115" i="10"/>
  <c r="AF163" i="10"/>
  <c r="AC163" i="10"/>
  <c r="Z163" i="10"/>
  <c r="M163" i="10"/>
  <c r="AI163" i="10"/>
  <c r="AK127" i="10"/>
  <c r="AJ127" i="10"/>
  <c r="AE141" i="10"/>
  <c r="AD141" i="10"/>
  <c r="AH133" i="10"/>
  <c r="AG133" i="10"/>
  <c r="AK123" i="10"/>
  <c r="AJ123" i="10"/>
  <c r="AC183" i="10"/>
  <c r="Z183" i="10"/>
  <c r="M183" i="10"/>
  <c r="AI183" i="10"/>
  <c r="AF183" i="10"/>
  <c r="M152" i="10"/>
  <c r="AI152" i="10"/>
  <c r="AF152" i="10"/>
  <c r="AC152" i="10"/>
  <c r="Z152" i="10"/>
  <c r="P152" i="10"/>
  <c r="AB152" i="10" s="1"/>
  <c r="AH117" i="10"/>
  <c r="AG117" i="10"/>
  <c r="AI154" i="10"/>
  <c r="AF154" i="10"/>
  <c r="AC154" i="10"/>
  <c r="Z154" i="10"/>
  <c r="P154" i="10"/>
  <c r="AB154" i="10" s="1"/>
  <c r="M154" i="10"/>
  <c r="AJ63" i="10"/>
  <c r="AK63" i="10"/>
  <c r="E199" i="10"/>
  <c r="E198" i="10"/>
  <c r="B193" i="10"/>
  <c r="AK148" i="10"/>
  <c r="AJ148" i="10"/>
  <c r="AE105" i="10"/>
  <c r="AD105" i="10"/>
  <c r="AE55" i="10"/>
  <c r="AD55" i="10"/>
  <c r="AH143" i="10"/>
  <c r="AG143" i="10"/>
  <c r="AC186" i="10"/>
  <c r="AC160" i="10"/>
  <c r="Z160" i="10"/>
  <c r="P160" i="10"/>
  <c r="AB160" i="10" s="1"/>
  <c r="M160" i="10"/>
  <c r="AI160" i="10"/>
  <c r="AF160" i="10"/>
  <c r="AH55" i="10"/>
  <c r="AG55" i="10"/>
  <c r="AE127" i="10"/>
  <c r="AD127" i="10"/>
  <c r="N171" i="10"/>
  <c r="Y171" i="10" s="1"/>
  <c r="K171" i="10"/>
  <c r="AK68" i="10"/>
  <c r="AJ68" i="10"/>
  <c r="M182" i="10"/>
  <c r="AI182" i="10"/>
  <c r="AF182" i="10"/>
  <c r="AC182" i="10"/>
  <c r="Z182" i="10"/>
  <c r="L30" i="10"/>
  <c r="K30" i="10"/>
  <c r="T30" i="10"/>
  <c r="S30" i="10"/>
  <c r="W20" i="10"/>
  <c r="Z178" i="10"/>
  <c r="P178" i="10"/>
  <c r="AB178" i="10" s="1"/>
  <c r="M178" i="10"/>
  <c r="AI178" i="10"/>
  <c r="AF178" i="10"/>
  <c r="AC178" i="10"/>
  <c r="AD132" i="10"/>
  <c r="AE132" i="10"/>
  <c r="K154" i="10"/>
  <c r="N159" i="10"/>
  <c r="Y159" i="10" s="1"/>
  <c r="K159" i="10"/>
  <c r="AE64" i="10"/>
  <c r="AD64" i="10"/>
  <c r="AK92" i="10"/>
  <c r="AJ92" i="10"/>
  <c r="K163" i="10"/>
  <c r="N163" i="10"/>
  <c r="Y163" i="10" s="1"/>
  <c r="AJ94" i="10"/>
  <c r="AK94" i="10"/>
  <c r="AD97" i="10"/>
  <c r="AE97" i="10"/>
  <c r="AE49" i="10"/>
  <c r="AD49" i="10"/>
  <c r="AE57" i="10"/>
  <c r="AD57" i="10"/>
  <c r="AJ145" i="10"/>
  <c r="AK145" i="10"/>
  <c r="K180" i="10"/>
  <c r="AG132" i="10"/>
  <c r="AH132" i="10"/>
  <c r="AK147" i="10"/>
  <c r="AJ147" i="10"/>
  <c r="AG89" i="10"/>
  <c r="AH89" i="10"/>
  <c r="AE128" i="10"/>
  <c r="AD128" i="10"/>
  <c r="AJ48" i="10"/>
  <c r="AK48" i="10"/>
  <c r="AD86" i="10"/>
  <c r="AE86" i="10"/>
  <c r="AE51" i="10"/>
  <c r="AD51" i="10"/>
  <c r="AC158" i="10"/>
  <c r="Z158" i="10"/>
  <c r="P158" i="10"/>
  <c r="AB158" i="10" s="1"/>
  <c r="M158" i="10"/>
  <c r="AI158" i="10"/>
  <c r="AF158" i="10"/>
  <c r="N175" i="10"/>
  <c r="Y175" i="10" s="1"/>
  <c r="K175" i="10"/>
  <c r="N169" i="10"/>
  <c r="Y169" i="10" s="1"/>
  <c r="AE93" i="10"/>
  <c r="AD93" i="10"/>
  <c r="AD103" i="10"/>
  <c r="AE103" i="10"/>
  <c r="AH118" i="10"/>
  <c r="AG118" i="10"/>
  <c r="N174" i="10"/>
  <c r="Y174" i="10" s="1"/>
  <c r="AH131" i="10"/>
  <c r="AG131" i="10"/>
  <c r="N182" i="10"/>
  <c r="Y182" i="10" s="1"/>
  <c r="AK118" i="10"/>
  <c r="AJ118" i="10"/>
  <c r="AD78" i="10"/>
  <c r="AE78" i="10"/>
  <c r="AJ99" i="10"/>
  <c r="AK99" i="10"/>
  <c r="AK53" i="10"/>
  <c r="AJ53" i="10"/>
  <c r="AH82" i="10"/>
  <c r="AG82" i="10"/>
  <c r="Z162" i="10"/>
  <c r="P162" i="10"/>
  <c r="AB162" i="10" s="1"/>
  <c r="M162" i="10"/>
  <c r="AI162" i="10"/>
  <c r="AF162" i="10"/>
  <c r="AC162" i="10"/>
  <c r="O28" i="10"/>
  <c r="L36" i="10"/>
  <c r="O36" i="10"/>
  <c r="K36" i="10"/>
  <c r="AA36" i="10"/>
  <c r="X36" i="10"/>
  <c r="AH127" i="10"/>
  <c r="AG127" i="10"/>
  <c r="AH68" i="10"/>
  <c r="AG68" i="10"/>
  <c r="M184" i="10"/>
  <c r="AI184" i="10"/>
  <c r="AF184" i="10"/>
  <c r="AC184" i="10"/>
  <c r="Z184" i="10"/>
  <c r="P184" i="10"/>
  <c r="AB184" i="10" s="1"/>
  <c r="P28" i="10"/>
  <c r="AA26" i="10"/>
  <c r="AK130" i="10"/>
  <c r="AJ130" i="10"/>
  <c r="N183" i="10"/>
  <c r="Y183" i="10" s="1"/>
  <c r="AK76" i="10"/>
  <c r="AJ76" i="10"/>
  <c r="L11" i="3"/>
  <c r="L12" i="3" s="1"/>
  <c r="I2" i="2"/>
  <c r="L6" i="2"/>
  <c r="L3" i="2" s="1"/>
  <c r="K2" i="2"/>
  <c r="L19" i="10"/>
  <c r="K19" i="10"/>
  <c r="T19" i="10"/>
  <c r="S19" i="10"/>
  <c r="AK62" i="10"/>
  <c r="AJ62" i="10"/>
  <c r="AK141" i="10"/>
  <c r="AJ141" i="10"/>
  <c r="AD111" i="10"/>
  <c r="AE111" i="10"/>
  <c r="AH146" i="10"/>
  <c r="AG146" i="10"/>
  <c r="AE124" i="10"/>
  <c r="AD124" i="10"/>
  <c r="AE117" i="10"/>
  <c r="AD117" i="10"/>
  <c r="AH128" i="10"/>
  <c r="AG128" i="10"/>
  <c r="AE95" i="10"/>
  <c r="AD95" i="10"/>
  <c r="AD143" i="10"/>
  <c r="AE143" i="10"/>
  <c r="K181" i="10"/>
  <c r="AH150" i="10"/>
  <c r="AG150" i="10"/>
  <c r="K20" i="10"/>
  <c r="AA20" i="10"/>
  <c r="P20" i="10"/>
  <c r="O20" i="10"/>
  <c r="L20" i="10"/>
  <c r="AG79" i="10"/>
  <c r="AH79" i="10"/>
  <c r="AJ82" i="10"/>
  <c r="AK82" i="10"/>
  <c r="P164" i="10"/>
  <c r="AB164" i="10" s="1"/>
  <c r="M164" i="10"/>
  <c r="AI164" i="10"/>
  <c r="AF164" i="10"/>
  <c r="AC164" i="10"/>
  <c r="Z164" i="10"/>
  <c r="AH65" i="10"/>
  <c r="AG65" i="10"/>
  <c r="F196" i="10"/>
  <c r="AK75" i="10"/>
  <c r="AJ75" i="10"/>
  <c r="AE149" i="10"/>
  <c r="AD149" i="10"/>
  <c r="AH151" i="10"/>
  <c r="AG151" i="10"/>
  <c r="N157" i="10"/>
  <c r="Y157" i="10" s="1"/>
  <c r="N156" i="10"/>
  <c r="Y156" i="10" s="1"/>
  <c r="AE147" i="10"/>
  <c r="AD147" i="10"/>
  <c r="AE109" i="10"/>
  <c r="AD109" i="10"/>
  <c r="AH101" i="10"/>
  <c r="AG101" i="10"/>
  <c r="AD48" i="10"/>
  <c r="AE48" i="10"/>
  <c r="P166" i="10"/>
  <c r="AB166" i="10" s="1"/>
  <c r="M166" i="10"/>
  <c r="AI166" i="10"/>
  <c r="AF166" i="10"/>
  <c r="AC166" i="10"/>
  <c r="Z166" i="10"/>
  <c r="L26" i="10"/>
  <c r="K26" i="10"/>
  <c r="T26" i="10"/>
  <c r="S26" i="10"/>
  <c r="P26" i="10"/>
  <c r="AB26" i="10"/>
  <c r="AF172" i="10"/>
  <c r="AC172" i="10"/>
  <c r="Z172" i="10"/>
  <c r="P172" i="10"/>
  <c r="AB172" i="10" s="1"/>
  <c r="M172" i="10"/>
  <c r="AI172" i="10"/>
  <c r="AK54" i="10"/>
  <c r="AJ54" i="10"/>
  <c r="S37" i="10"/>
  <c r="B21" i="1"/>
  <c r="B9" i="9" s="1"/>
  <c r="E60" i="9" s="1"/>
  <c r="B24" i="1"/>
  <c r="B31" i="1" s="1"/>
  <c r="B33" i="1" s="1"/>
  <c r="B34" i="1" s="1"/>
  <c r="M6" i="6"/>
  <c r="M7" i="6" s="1"/>
  <c r="N5" i="6" s="1"/>
  <c r="W26" i="10"/>
  <c r="AK151" i="10"/>
  <c r="AJ151" i="10"/>
  <c r="M177" i="10"/>
  <c r="AI177" i="10"/>
  <c r="AF177" i="10"/>
  <c r="AC177" i="10"/>
  <c r="Z177" i="10"/>
  <c r="P177" i="10"/>
  <c r="AB177" i="10" s="1"/>
  <c r="AE60" i="10"/>
  <c r="AD60" i="10"/>
  <c r="AJ67" i="10"/>
  <c r="AK67" i="10"/>
  <c r="AG91" i="10"/>
  <c r="AH91" i="10"/>
  <c r="AK149" i="10"/>
  <c r="AJ149" i="10"/>
  <c r="AH59" i="10"/>
  <c r="AG59" i="10"/>
  <c r="AJ93" i="10"/>
  <c r="AK93" i="10"/>
  <c r="M159" i="10"/>
  <c r="AI159" i="10"/>
  <c r="AF159" i="10"/>
  <c r="AC159" i="10"/>
  <c r="Z159" i="10"/>
  <c r="B194" i="10"/>
  <c r="M189" i="10"/>
  <c r="AH57" i="10"/>
  <c r="AG57" i="10"/>
  <c r="AC167" i="10"/>
  <c r="Z167" i="10"/>
  <c r="P167" i="10"/>
  <c r="AB167" i="10" s="1"/>
  <c r="M167" i="10"/>
  <c r="AI167" i="10"/>
  <c r="AF167" i="10"/>
  <c r="AD52" i="10"/>
  <c r="AE52" i="10"/>
  <c r="P19" i="10"/>
  <c r="AG137" i="10"/>
  <c r="AH137" i="10"/>
  <c r="AJ126" i="10"/>
  <c r="AK126" i="10"/>
  <c r="AH83" i="10"/>
  <c r="AG83" i="10"/>
  <c r="P180" i="10"/>
  <c r="AB180" i="10" s="1"/>
  <c r="M180" i="10"/>
  <c r="AI180" i="10"/>
  <c r="AF180" i="10"/>
  <c r="AC180" i="10"/>
  <c r="Z180" i="10"/>
  <c r="AD133" i="10"/>
  <c r="AE133" i="10"/>
  <c r="AK143" i="10"/>
  <c r="AJ143" i="10"/>
  <c r="AE107" i="10"/>
  <c r="AD107" i="10"/>
  <c r="AK150" i="10"/>
  <c r="AJ150" i="10"/>
  <c r="AH139" i="10"/>
  <c r="AG139" i="10"/>
  <c r="AE130" i="10"/>
  <c r="AD130" i="10"/>
  <c r="AE101" i="10"/>
  <c r="AD101" i="10"/>
  <c r="AH63" i="10"/>
  <c r="AG63" i="10"/>
  <c r="M161" i="10"/>
  <c r="AI161" i="10"/>
  <c r="AF161" i="10"/>
  <c r="AC161" i="10"/>
  <c r="Z161" i="10"/>
  <c r="P161" i="10"/>
  <c r="AB161" i="10" s="1"/>
  <c r="AH49" i="10"/>
  <c r="AG49" i="10"/>
  <c r="J2" i="2"/>
  <c r="B5" i="1" s="1"/>
  <c r="AE150" i="10"/>
  <c r="AD150" i="10"/>
  <c r="K179" i="10"/>
  <c r="N179" i="10"/>
  <c r="Y179" i="10" s="1"/>
  <c r="AH129" i="10"/>
  <c r="AG129" i="10"/>
  <c r="AH115" i="10"/>
  <c r="AG115" i="10"/>
  <c r="AH95" i="10"/>
  <c r="AG95" i="10"/>
  <c r="AG64" i="10"/>
  <c r="AH64" i="10"/>
  <c r="Z169" i="10"/>
  <c r="M169" i="10"/>
  <c r="AI169" i="10"/>
  <c r="AF169" i="10"/>
  <c r="AC169" i="10"/>
  <c r="L28" i="10"/>
  <c r="K28" i="10"/>
  <c r="AA28" i="10"/>
  <c r="AG145" i="10"/>
  <c r="AH145" i="10"/>
  <c r="AK146" i="10"/>
  <c r="AJ146" i="10"/>
  <c r="AH130" i="10"/>
  <c r="AG130" i="10"/>
  <c r="AJ80" i="10"/>
  <c r="AK80" i="10"/>
  <c r="AC174" i="10"/>
  <c r="Z174" i="10"/>
  <c r="P174" i="10"/>
  <c r="AB174" i="10" s="1"/>
  <c r="M174" i="10"/>
  <c r="AI174" i="10"/>
  <c r="AF174" i="10"/>
  <c r="AF156" i="10"/>
  <c r="AC156" i="10"/>
  <c r="Z156" i="10"/>
  <c r="M156" i="10"/>
  <c r="AI156" i="10"/>
  <c r="AD84" i="10"/>
  <c r="AE84" i="10"/>
  <c r="AE75" i="10"/>
  <c r="AD75" i="10"/>
  <c r="M171" i="10"/>
  <c r="AI171" i="10"/>
  <c r="AF171" i="10"/>
  <c r="AC171" i="10"/>
  <c r="Z171" i="10"/>
  <c r="AK60" i="10"/>
  <c r="AJ60" i="10"/>
  <c r="W28" i="10"/>
  <c r="W19" i="10"/>
  <c r="W36" i="10"/>
  <c r="S36" i="10"/>
  <c r="M175" i="10"/>
  <c r="AI175" i="10"/>
  <c r="AF175" i="10"/>
  <c r="AC175" i="10"/>
  <c r="Z175" i="10"/>
  <c r="AE62" i="10"/>
  <c r="AD62" i="10"/>
  <c r="AG148" i="10"/>
  <c r="AH148" i="10"/>
  <c r="AE63" i="10"/>
  <c r="AD63" i="10"/>
  <c r="AJ111" i="10"/>
  <c r="AK111" i="10"/>
  <c r="AE123" i="10"/>
  <c r="AD123" i="10"/>
  <c r="AH141" i="10"/>
  <c r="AG141" i="10"/>
  <c r="AD148" i="10"/>
  <c r="AE148" i="10"/>
  <c r="AE146" i="10"/>
  <c r="AD146" i="10"/>
  <c r="AE144" i="10"/>
  <c r="AD144" i="10"/>
  <c r="AK136" i="10"/>
  <c r="AJ136" i="10"/>
  <c r="AC176" i="10"/>
  <c r="Z176" i="10"/>
  <c r="P176" i="10"/>
  <c r="AB176" i="10" s="1"/>
  <c r="M176" i="10"/>
  <c r="AI176" i="10"/>
  <c r="AF176" i="10"/>
  <c r="AJ125" i="10"/>
  <c r="AK125" i="10"/>
  <c r="AD65" i="10"/>
  <c r="AE65" i="10"/>
  <c r="Z153" i="10"/>
  <c r="P153" i="10"/>
  <c r="AB153" i="10" s="1"/>
  <c r="M153" i="10"/>
  <c r="AI153" i="10"/>
  <c r="AF153" i="10"/>
  <c r="AC153" i="10"/>
  <c r="AJ79" i="10"/>
  <c r="AK79" i="10"/>
  <c r="N155" i="10"/>
  <c r="Y155" i="10" s="1"/>
  <c r="K155" i="10"/>
  <c r="AG84" i="10"/>
  <c r="AH84" i="10"/>
  <c r="AH99" i="10"/>
  <c r="AG99" i="10"/>
  <c r="AE68" i="10"/>
  <c r="AD68" i="10"/>
  <c r="L37" i="10"/>
  <c r="K37" i="10"/>
  <c r="X37" i="10"/>
  <c r="T37" i="10"/>
  <c r="AK91" i="10"/>
  <c r="AJ91" i="10"/>
  <c r="M168" i="10"/>
  <c r="AI168" i="10"/>
  <c r="AF168" i="10"/>
  <c r="AC168" i="10"/>
  <c r="Z168" i="10"/>
  <c r="P168" i="10"/>
  <c r="AB168" i="10" s="1"/>
  <c r="X28" i="10"/>
  <c r="X19" i="10"/>
  <c r="T36" i="10"/>
  <c r="AB37" i="10"/>
  <c r="B10" i="1"/>
  <c r="AH171" i="10" l="1"/>
  <c r="AG171" i="10"/>
  <c r="AH169" i="10"/>
  <c r="AG169" i="10"/>
  <c r="AK171" i="10"/>
  <c r="AJ171" i="10"/>
  <c r="AK169" i="10"/>
  <c r="AJ169" i="10"/>
  <c r="AE166" i="10"/>
  <c r="AD166" i="10"/>
  <c r="AE170" i="10"/>
  <c r="AD170" i="10"/>
  <c r="P171" i="10"/>
  <c r="AB171" i="10" s="1"/>
  <c r="P169" i="10"/>
  <c r="AB169" i="10" s="1"/>
  <c r="AK166" i="10"/>
  <c r="AJ166" i="10"/>
  <c r="E64" i="9"/>
  <c r="AE152" i="10"/>
  <c r="AD152" i="10"/>
  <c r="AE173" i="10"/>
  <c r="AD173" i="10"/>
  <c r="AK170" i="10"/>
  <c r="AJ170" i="10"/>
  <c r="AH158" i="10"/>
  <c r="AG158" i="10"/>
  <c r="B196" i="10"/>
  <c r="B195" i="10"/>
  <c r="AH166" i="10"/>
  <c r="AG166" i="10"/>
  <c r="E59" i="9"/>
  <c r="AK158" i="10"/>
  <c r="AJ158" i="10"/>
  <c r="AH170" i="10"/>
  <c r="AG170" i="10"/>
  <c r="AE175" i="10"/>
  <c r="AD175" i="10"/>
  <c r="AE174" i="10"/>
  <c r="AD174" i="10"/>
  <c r="AH175" i="10"/>
  <c r="AG175" i="10"/>
  <c r="AE159" i="10"/>
  <c r="AD159" i="10"/>
  <c r="AK172" i="10"/>
  <c r="AJ172" i="10"/>
  <c r="AE162" i="10"/>
  <c r="AD162" i="10"/>
  <c r="AH160" i="10"/>
  <c r="AG160" i="10"/>
  <c r="AH152" i="10"/>
  <c r="AG152" i="10"/>
  <c r="AE181" i="10"/>
  <c r="AD181" i="10"/>
  <c r="B39" i="8"/>
  <c r="B38" i="8"/>
  <c r="B37" i="8"/>
  <c r="B36" i="8"/>
  <c r="H21" i="8"/>
  <c r="AH173" i="10"/>
  <c r="AG173" i="10"/>
  <c r="C25" i="8"/>
  <c r="F23" i="8"/>
  <c r="H23" i="8" s="1"/>
  <c r="AH159" i="10"/>
  <c r="AG159" i="10"/>
  <c r="AH162" i="10"/>
  <c r="AG162" i="10"/>
  <c r="AK160" i="10"/>
  <c r="AJ160" i="10"/>
  <c r="AK152" i="10"/>
  <c r="AJ152" i="10"/>
  <c r="AK163" i="10"/>
  <c r="AJ163" i="10"/>
  <c r="AH181" i="10"/>
  <c r="AG181" i="10"/>
  <c r="AK173" i="10"/>
  <c r="AJ173" i="10"/>
  <c r="AK159" i="10"/>
  <c r="AJ159" i="10"/>
  <c r="B16" i="1"/>
  <c r="B6" i="1"/>
  <c r="AH182" i="10"/>
  <c r="AG182" i="10"/>
  <c r="AK183" i="10"/>
  <c r="AJ183" i="10"/>
  <c r="AK176" i="10"/>
  <c r="AJ176" i="10"/>
  <c r="AJ177" i="10"/>
  <c r="AK177" i="10"/>
  <c r="AK182" i="10"/>
  <c r="AJ182" i="10"/>
  <c r="AE165" i="10"/>
  <c r="AD165" i="10"/>
  <c r="P156" i="10"/>
  <c r="AB156" i="10" s="1"/>
  <c r="AK167" i="10"/>
  <c r="AJ167" i="10"/>
  <c r="AE164" i="10"/>
  <c r="AD164" i="10"/>
  <c r="B26" i="1"/>
  <c r="B25" i="1"/>
  <c r="P183" i="10"/>
  <c r="AB183" i="10" s="1"/>
  <c r="AH163" i="10"/>
  <c r="AG163" i="10"/>
  <c r="AH165" i="10"/>
  <c r="AG165" i="10"/>
  <c r="AE155" i="10"/>
  <c r="AD155" i="10"/>
  <c r="AK165" i="10"/>
  <c r="AJ165" i="10"/>
  <c r="AE161" i="10"/>
  <c r="AD161" i="10"/>
  <c r="AE184" i="10"/>
  <c r="AD184" i="10"/>
  <c r="AK162" i="10"/>
  <c r="AJ162" i="10"/>
  <c r="AE158" i="10"/>
  <c r="AD158" i="10"/>
  <c r="P175" i="10"/>
  <c r="AB175" i="10" s="1"/>
  <c r="AH161" i="10"/>
  <c r="AG161" i="10"/>
  <c r="AE177" i="10"/>
  <c r="AD177" i="10"/>
  <c r="AH184" i="10"/>
  <c r="AG184" i="10"/>
  <c r="AE182" i="10"/>
  <c r="AD182" i="10"/>
  <c r="AH183" i="10"/>
  <c r="AG183" i="10"/>
  <c r="P163" i="10"/>
  <c r="AB163" i="10" s="1"/>
  <c r="AH176" i="10"/>
  <c r="AG176" i="10"/>
  <c r="AK156" i="10"/>
  <c r="AJ156" i="10"/>
  <c r="AJ161" i="10"/>
  <c r="AK161" i="10"/>
  <c r="P159" i="10"/>
  <c r="AB159" i="10" s="1"/>
  <c r="AH177" i="10"/>
  <c r="AG177" i="10"/>
  <c r="AE172" i="10"/>
  <c r="AD172" i="10"/>
  <c r="AK184" i="10"/>
  <c r="AJ184" i="10"/>
  <c r="AH167" i="10"/>
  <c r="AG167" i="10"/>
  <c r="AG172" i="10"/>
  <c r="AH172" i="10"/>
  <c r="AE160" i="10"/>
  <c r="AD160" i="10"/>
  <c r="AE163" i="10"/>
  <c r="AD163" i="10"/>
  <c r="AE168" i="10"/>
  <c r="AD168" i="10"/>
  <c r="AH168" i="10"/>
  <c r="AG168" i="10"/>
  <c r="AE180" i="10"/>
  <c r="AD180" i="10"/>
  <c r="AH164" i="10"/>
  <c r="AG164" i="10"/>
  <c r="AE178" i="10"/>
  <c r="AD178" i="10"/>
  <c r="P182" i="10"/>
  <c r="AB182" i="10" s="1"/>
  <c r="AE157" i="10"/>
  <c r="AD157" i="10"/>
  <c r="AH155" i="10"/>
  <c r="AG155" i="10"/>
  <c r="AK153" i="10"/>
  <c r="AJ153" i="10"/>
  <c r="AH178" i="10"/>
  <c r="AG178" i="10"/>
  <c r="AE154" i="10"/>
  <c r="AD154" i="10"/>
  <c r="AD183" i="10"/>
  <c r="AE183" i="10"/>
  <c r="AK179" i="10"/>
  <c r="AJ179" i="10"/>
  <c r="AH157" i="10"/>
  <c r="AG157" i="10"/>
  <c r="AK155" i="10"/>
  <c r="AJ155" i="10"/>
  <c r="AK175" i="10"/>
  <c r="AJ175" i="10"/>
  <c r="AE156" i="10"/>
  <c r="AD156" i="10"/>
  <c r="AH180" i="10"/>
  <c r="AG180" i="10"/>
  <c r="AK164" i="10"/>
  <c r="AJ164" i="10"/>
  <c r="AE176" i="10"/>
  <c r="AD176" i="10"/>
  <c r="AK180" i="10"/>
  <c r="AJ180" i="10"/>
  <c r="E61" i="9"/>
  <c r="AH154" i="10"/>
  <c r="AG154" i="10"/>
  <c r="AK157" i="10"/>
  <c r="AJ157" i="10"/>
  <c r="AK168" i="10"/>
  <c r="AJ168" i="10"/>
  <c r="AG156" i="10"/>
  <c r="AH156" i="10"/>
  <c r="AK178" i="10"/>
  <c r="AJ178" i="10"/>
  <c r="AE153" i="10"/>
  <c r="AD153" i="10"/>
  <c r="AH174" i="10"/>
  <c r="AG174" i="10"/>
  <c r="AD167" i="10"/>
  <c r="AE167" i="10"/>
  <c r="N4" i="6"/>
  <c r="N3" i="6"/>
  <c r="E62" i="9"/>
  <c r="AK154" i="10"/>
  <c r="AJ154" i="10"/>
  <c r="L21" i="3"/>
  <c r="L22" i="3"/>
  <c r="M24" i="3" s="1"/>
  <c r="P179" i="10"/>
  <c r="AB179" i="10" s="1"/>
  <c r="AE171" i="10"/>
  <c r="AD171" i="10"/>
  <c r="AK174" i="10"/>
  <c r="AJ174" i="10"/>
  <c r="AE169" i="10"/>
  <c r="AD169" i="10"/>
  <c r="P157" i="10"/>
  <c r="AB157" i="10" s="1"/>
  <c r="C62" i="9"/>
  <c r="H59" i="9"/>
  <c r="D64" i="9"/>
  <c r="B62" i="9"/>
  <c r="G59" i="9"/>
  <c r="C64" i="9"/>
  <c r="H61" i="9"/>
  <c r="F59" i="9"/>
  <c r="B64" i="9"/>
  <c r="G61" i="9"/>
  <c r="H63" i="9"/>
  <c r="F61" i="9"/>
  <c r="D59" i="9"/>
  <c r="H65" i="9"/>
  <c r="F63" i="9"/>
  <c r="D61" i="9"/>
  <c r="B59" i="9"/>
  <c r="G65" i="9"/>
  <c r="C61" i="9"/>
  <c r="F65" i="9"/>
  <c r="D63" i="9"/>
  <c r="B61" i="9"/>
  <c r="C63" i="9"/>
  <c r="H60" i="9"/>
  <c r="D65" i="9"/>
  <c r="B63" i="9"/>
  <c r="G60" i="9"/>
  <c r="C65" i="9"/>
  <c r="H62" i="9"/>
  <c r="F60" i="9"/>
  <c r="B65" i="9"/>
  <c r="G62" i="9"/>
  <c r="E48" i="9"/>
  <c r="E50" i="9" s="1"/>
  <c r="E52" i="9" s="1"/>
  <c r="H64" i="9"/>
  <c r="F62" i="9"/>
  <c r="D60" i="9"/>
  <c r="G64" i="9"/>
  <c r="C60" i="9"/>
  <c r="F64" i="9"/>
  <c r="D62" i="9"/>
  <c r="B60" i="9"/>
  <c r="B48" i="9"/>
  <c r="B50" i="9" s="1"/>
  <c r="B52" i="9" s="1"/>
  <c r="C59" i="9"/>
  <c r="G63" i="9"/>
  <c r="B10" i="9"/>
  <c r="D48" i="9"/>
  <c r="D50" i="9" s="1"/>
  <c r="D52" i="9" s="1"/>
  <c r="E65" i="9"/>
  <c r="AK181" i="10"/>
  <c r="AJ181" i="10"/>
  <c r="AE179" i="10"/>
  <c r="AD179" i="10"/>
  <c r="AH153" i="10"/>
  <c r="AG153" i="10"/>
  <c r="E63" i="9"/>
  <c r="AH179" i="10"/>
  <c r="AG179" i="10"/>
  <c r="E54" i="9" l="1"/>
  <c r="E53" i="9"/>
  <c r="E36" i="8"/>
  <c r="D36" i="8"/>
  <c r="D38" i="8"/>
  <c r="E38" i="8"/>
  <c r="C30" i="8"/>
  <c r="F30" i="8" s="1"/>
  <c r="H30" i="8" s="1"/>
  <c r="F25" i="8"/>
  <c r="H25" i="8" s="1"/>
  <c r="D54" i="9"/>
  <c r="D53" i="9"/>
  <c r="B11" i="9"/>
  <c r="B16" i="9"/>
  <c r="B54" i="9"/>
  <c r="B53" i="9"/>
  <c r="E37" i="8"/>
  <c r="D37" i="8"/>
  <c r="E39" i="8"/>
  <c r="D39" i="8"/>
  <c r="B18" i="9" l="1"/>
  <c r="B17" i="9"/>
  <c r="B21" i="9" s="1"/>
  <c r="G25" i="9" l="1"/>
  <c r="F25" i="9"/>
  <c r="E25" i="9"/>
  <c r="C25" i="9"/>
  <c r="B25" i="9"/>
  <c r="C44" i="9"/>
  <c r="C45" i="9" s="1"/>
  <c r="D25" i="9"/>
  <c r="G31" i="9" l="1"/>
  <c r="G28" i="9"/>
  <c r="D31" i="9"/>
  <c r="D28" i="9"/>
  <c r="C47" i="9"/>
  <c r="C48" i="9"/>
  <c r="C50" i="9" s="1"/>
  <c r="B28" i="9"/>
  <c r="H25" i="9"/>
  <c r="B31" i="9"/>
  <c r="C31" i="9"/>
  <c r="C28" i="9"/>
  <c r="E31" i="9"/>
  <c r="E28" i="9"/>
  <c r="F28" i="9"/>
  <c r="F31" i="9"/>
  <c r="F32" i="9" l="1"/>
  <c r="F34" i="9" s="1"/>
  <c r="F37" i="9" s="1"/>
  <c r="E32" i="9"/>
  <c r="E34" i="9" s="1"/>
  <c r="E37" i="9" s="1"/>
  <c r="C32" i="9"/>
  <c r="C34" i="9"/>
  <c r="C37" i="9" s="1"/>
  <c r="B32" i="9"/>
  <c r="H31" i="9"/>
  <c r="B34" i="9"/>
  <c r="H28" i="9"/>
  <c r="B37" i="9"/>
  <c r="C52" i="9"/>
  <c r="D32" i="9"/>
  <c r="D34" i="9"/>
  <c r="D37" i="9" s="1"/>
  <c r="G32" i="9"/>
  <c r="G34" i="9" s="1"/>
  <c r="G37" i="9" s="1"/>
  <c r="H32" i="9" l="1"/>
  <c r="H34" i="9" s="1"/>
  <c r="F38" i="9"/>
  <c r="F39" i="9"/>
  <c r="G38" i="9"/>
  <c r="G39" i="9"/>
  <c r="C39" i="9"/>
  <c r="C38" i="9"/>
  <c r="E38" i="9"/>
  <c r="E39" i="9"/>
  <c r="D38" i="9"/>
  <c r="D39" i="9"/>
  <c r="C54" i="9"/>
  <c r="C53" i="9"/>
  <c r="B38" i="9"/>
  <c r="H37" i="9"/>
  <c r="B39" i="9"/>
  <c r="H38" i="9" l="1"/>
  <c r="H39" i="9"/>
</calcChain>
</file>

<file path=xl/sharedStrings.xml><?xml version="1.0" encoding="utf-8"?>
<sst xmlns="http://schemas.openxmlformats.org/spreadsheetml/2006/main" count="2741" uniqueCount="952">
  <si>
    <t>CONTROL OPERATIVO ORVANN</t>
  </si>
  <si>
    <t>Otras referencias (Conocidas pero de nicho)</t>
  </si>
  <si>
    <t>Lunes</t>
  </si>
  <si>
    <t>Martes</t>
  </si>
  <si>
    <t>Miercoles</t>
  </si>
  <si>
    <t>Jueves</t>
  </si>
  <si>
    <t>Viernes</t>
  </si>
  <si>
    <t>Sábado</t>
  </si>
  <si>
    <t>Domingo</t>
  </si>
  <si>
    <t>Última actualización</t>
  </si>
  <si>
    <t>Pulp Fiction (1994)</t>
  </si>
  <si>
    <t>Pedro navaja</t>
  </si>
  <si>
    <t>10:30 - 11:00</t>
  </si>
  <si>
    <t>Kathe</t>
  </si>
  <si>
    <t>Andrés</t>
  </si>
  <si>
    <t>RESUMEN FINANCIERO</t>
  </si>
  <si>
    <t>Léon: The Professional</t>
  </si>
  <si>
    <t>11:00 - 11.30</t>
  </si>
  <si>
    <t>JP</t>
  </si>
  <si>
    <t>Inventario a costo:</t>
  </si>
  <si>
    <t>Ciudad de Dios</t>
  </si>
  <si>
    <t>11.30 - 12:00</t>
  </si>
  <si>
    <t>Trabajador</t>
  </si>
  <si>
    <t>Inventario a precio venta:</t>
  </si>
  <si>
    <t>Charles Bukowski (Literatura Cruda)</t>
  </si>
  <si>
    <t>12:00 - 12:30</t>
  </si>
  <si>
    <t>Ventas del mes:</t>
  </si>
  <si>
    <t>Héctor Lavoe. Estilo "Vinyl Cover"</t>
  </si>
  <si>
    <t>12:30 - 1:00</t>
  </si>
  <si>
    <t>Gastos del mes:</t>
  </si>
  <si>
    <t>Gabo y Cien Años de Soledad</t>
  </si>
  <si>
    <t>1:00 - 1:30</t>
  </si>
  <si>
    <t>Cuentas por pagar:</t>
  </si>
  <si>
    <t xml:space="preserve">Blade Runner (1982). </t>
  </si>
  <si>
    <t>1:30 - 2:00</t>
  </si>
  <si>
    <t>Utilidad bruta mes:</t>
  </si>
  <si>
    <t>Mercedes Sosa y LA FANIA. Volver a los 17</t>
  </si>
  <si>
    <t>2:00 - 2:30</t>
  </si>
  <si>
    <t>Ventas Totales:</t>
  </si>
  <si>
    <t>Taxi Driver</t>
  </si>
  <si>
    <t>2:30 - 3:00</t>
  </si>
  <si>
    <t>Gastos Totales:</t>
  </si>
  <si>
    <t>Fight Club</t>
  </si>
  <si>
    <t>3:00 - 3:30</t>
  </si>
  <si>
    <t>Utilidad Bruta Total:</t>
  </si>
  <si>
    <t>Scarface</t>
  </si>
  <si>
    <t>3:30 - 4:00</t>
  </si>
  <si>
    <t>Vendedora de Rosas</t>
  </si>
  <si>
    <t>4:00 - 4:30</t>
  </si>
  <si>
    <t>ALERTAS</t>
  </si>
  <si>
    <t>Notorius BIG</t>
  </si>
  <si>
    <t>4:30 - 5:00</t>
  </si>
  <si>
    <t>Productos con stock bajo (&lt;3):</t>
  </si>
  <si>
    <t>Celia Cruz</t>
  </si>
  <si>
    <t>5:00 - 5:30</t>
  </si>
  <si>
    <t>Pedidos pendientes de pago:</t>
  </si>
  <si>
    <t>Mike Tyson</t>
  </si>
  <si>
    <t>5:30 - 6:00</t>
  </si>
  <si>
    <t>Principe de Bel Air</t>
  </si>
  <si>
    <t>6:00 - 6:30</t>
  </si>
  <si>
    <t>Jackass</t>
  </si>
  <si>
    <t>6:30 - 7:00</t>
  </si>
  <si>
    <t>INDICADORES CLAVE DE DESEMPEÑO</t>
  </si>
  <si>
    <t>Friends</t>
  </si>
  <si>
    <t>7:00 - 7:30</t>
  </si>
  <si>
    <t>Costo promedio por prenda vendida:</t>
  </si>
  <si>
    <t>MTV</t>
  </si>
  <si>
    <t>7:30 - 8:00</t>
  </si>
  <si>
    <t>Ticket promedio:</t>
  </si>
  <si>
    <t>Play Station 1</t>
  </si>
  <si>
    <t>8:00 - 8:30</t>
  </si>
  <si>
    <t>Prendas vendidas (mes):</t>
  </si>
  <si>
    <t>BackStreet Boys</t>
  </si>
  <si>
    <t>8:30 - 9:00</t>
  </si>
  <si>
    <t>Margen bruto %:</t>
  </si>
  <si>
    <t>Punk</t>
  </si>
  <si>
    <t>Rotación inventario:</t>
  </si>
  <si>
    <t>Mide cuántas veces se vende y se reemplaza el inventario en un período de un mes.</t>
  </si>
  <si>
    <t>Eminem</t>
  </si>
  <si>
    <t>Días de inventario:</t>
  </si>
  <si>
    <t>Mide cuántos días tomaría vender el inventario actual.</t>
  </si>
  <si>
    <t>Tupac y BIG</t>
  </si>
  <si>
    <t>Cerati y Rock Español (Soda, cadillacs,caifanes)</t>
  </si>
  <si>
    <t>Mi pobre angelito</t>
  </si>
  <si>
    <t>PUNTO DE EQUILIBRIO</t>
  </si>
  <si>
    <t>Manos de tijera</t>
  </si>
  <si>
    <t>TOTAL</t>
  </si>
  <si>
    <t>Costos fijos mensuales:</t>
  </si>
  <si>
    <t>Titanic</t>
  </si>
  <si>
    <t>C/U</t>
  </si>
  <si>
    <t>Margen promedio por prenda:</t>
  </si>
  <si>
    <t>Sexto sentido</t>
  </si>
  <si>
    <t>Precio promedio venta:</t>
  </si>
  <si>
    <t>Marc Anthony</t>
  </si>
  <si>
    <t>Prendas/mes para equilibrio:</t>
  </si>
  <si>
    <t>Grupo niche</t>
  </si>
  <si>
    <t>Prendas/día para equilibrio:</t>
  </si>
  <si>
    <t>Gran combo de las estrellas</t>
  </si>
  <si>
    <t>Rocky</t>
  </si>
  <si>
    <t>Canserbero (Raperos canon)</t>
  </si>
  <si>
    <t>Thalia</t>
  </si>
  <si>
    <t>Vicente Fernandez</t>
  </si>
  <si>
    <t>El principito</t>
  </si>
  <si>
    <t>La mascara y Show de truman (Jim Carrey)</t>
  </si>
  <si>
    <t>El silencio de los inocentes</t>
  </si>
  <si>
    <t>LA BRUJA DE BLAIR</t>
  </si>
  <si>
    <t>El rey Leon (Disney clásico)</t>
  </si>
  <si>
    <t>Tarzan</t>
  </si>
  <si>
    <t>Los Simpsons (Sátiras)</t>
  </si>
  <si>
    <t>Kenan y Kel</t>
  </si>
  <si>
    <t>Picapiedras</t>
  </si>
  <si>
    <t>GameBoy, Nintendo, videojuegos clasicos (tetris, 64)</t>
  </si>
  <si>
    <t>Camaras analogicas</t>
  </si>
  <si>
    <t>Coca Cola</t>
  </si>
  <si>
    <t>Piel Roja, Marlboro</t>
  </si>
  <si>
    <t>Mario Bros</t>
  </si>
  <si>
    <t>Bad Boys de Detroit (NBA retro, rodman, kobe, )</t>
  </si>
  <si>
    <t>Juan Luis Guerra</t>
  </si>
  <si>
    <t>La FANIA all stars</t>
  </si>
  <si>
    <t>Blockbuster</t>
  </si>
  <si>
    <t>E.T</t>
  </si>
  <si>
    <t>Carl Sagan</t>
  </si>
  <si>
    <t>Einstein</t>
  </si>
  <si>
    <t>Attack on Titan</t>
  </si>
  <si>
    <t>Death Note</t>
  </si>
  <si>
    <t>Regreso al futuro</t>
  </si>
  <si>
    <t>Futurama</t>
  </si>
  <si>
    <t>SEGA (Juegos Arcade)</t>
  </si>
  <si>
    <t>Diego Maradona</t>
  </si>
  <si>
    <t>Cabesazo de Zinedine Zidane</t>
  </si>
  <si>
    <t>Cartoon Network, Nickelodeon</t>
  </si>
  <si>
    <t>Cibercafés</t>
  </si>
  <si>
    <t>Marcas iconicas vintage</t>
  </si>
  <si>
    <t>Woodstock</t>
  </si>
  <si>
    <t>Los Soprano</t>
  </si>
  <si>
    <t>María Sabina</t>
  </si>
  <si>
    <t>Snoop dog</t>
  </si>
  <si>
    <t>Valentino Rossi</t>
  </si>
  <si>
    <t>Walkman</t>
  </si>
  <si>
    <t>La Pantera rosa</t>
  </si>
  <si>
    <t>Atari - Pacman</t>
  </si>
  <si>
    <t>Matrix</t>
  </si>
  <si>
    <t>Heat (1995)</t>
  </si>
  <si>
    <t>Terminator (Futurista retro)</t>
  </si>
  <si>
    <t>Bob Marley</t>
  </si>
  <si>
    <t>Queen</t>
  </si>
  <si>
    <t>Willie Colon</t>
  </si>
  <si>
    <t>Oscar D´Leon</t>
  </si>
  <si>
    <t>Joe Arroyo (Colombia)</t>
  </si>
  <si>
    <t>Violeta Parra</t>
  </si>
  <si>
    <t>Ronaldinho Joven</t>
  </si>
  <si>
    <t>Ayrton Senna</t>
  </si>
  <si>
    <t>South Park</t>
  </si>
  <si>
    <t>Street Fighter</t>
  </si>
  <si>
    <t>Mortal Combat</t>
  </si>
  <si>
    <t>Los Supersónicos</t>
  </si>
  <si>
    <t>Wittgentein</t>
  </si>
  <si>
    <t>Hemingway</t>
  </si>
  <si>
    <t>Dali</t>
  </si>
  <si>
    <t>Frida Kahlo</t>
  </si>
  <si>
    <t>Basquiat</t>
  </si>
  <si>
    <t>Andy Warhol</t>
  </si>
  <si>
    <t>Goodfellas (1990)</t>
  </si>
  <si>
    <t>Trainspotting (1996)</t>
  </si>
  <si>
    <t>Requiem for a Dream (2000)</t>
  </si>
  <si>
    <t>Naranja Mecánica</t>
  </si>
  <si>
    <t>The Shining</t>
  </si>
  <si>
    <t>Amélie (2001)</t>
  </si>
  <si>
    <t>Akira (1988)</t>
  </si>
  <si>
    <t>Betty La Fea</t>
  </si>
  <si>
    <t>El Padrino</t>
  </si>
  <si>
    <t>Manu Chao</t>
  </si>
  <si>
    <t>Diomedez Diaz</t>
  </si>
  <si>
    <t>Los Prisioneros</t>
  </si>
  <si>
    <t>MSN Messenger</t>
  </si>
  <si>
    <t>Radios Colombianas</t>
  </si>
  <si>
    <t>Seleccion Colombia 1990, 1994</t>
  </si>
  <si>
    <t>Reservoir Dogs</t>
  </si>
  <si>
    <t>Amores Perros</t>
  </si>
  <si>
    <t>Neon Genesis Evangelion</t>
  </si>
  <si>
    <t>INVENTARIO</t>
  </si>
  <si>
    <t>Total Stock:</t>
  </si>
  <si>
    <t>Valor Costo:</t>
  </si>
  <si>
    <t>Valor Venta:</t>
  </si>
  <si>
    <t>SKU</t>
  </si>
  <si>
    <t>Producto</t>
  </si>
  <si>
    <t>Prenda</t>
  </si>
  <si>
    <t>Talla</t>
  </si>
  <si>
    <t>Color</t>
  </si>
  <si>
    <t>Diseño</t>
  </si>
  <si>
    <t>Costo</t>
  </si>
  <si>
    <t>Precio Venta</t>
  </si>
  <si>
    <t>Margen %</t>
  </si>
  <si>
    <t>Entradas</t>
  </si>
  <si>
    <t>Stock Actual</t>
  </si>
  <si>
    <t>Ventas</t>
  </si>
  <si>
    <t>Notas</t>
  </si>
  <si>
    <t>CAM-OVS-NEG-S</t>
  </si>
  <si>
    <t>Camisa Oversize Peruana S Negro</t>
  </si>
  <si>
    <t>Camisa Oversize Peruana</t>
  </si>
  <si>
    <t>S</t>
  </si>
  <si>
    <t>Negro</t>
  </si>
  <si>
    <t>CAM-OVS-NEG-M</t>
  </si>
  <si>
    <t>Camisa Oversize Peruana M Negro</t>
  </si>
  <si>
    <t>M</t>
  </si>
  <si>
    <t>CAM-OVS-NEG-L</t>
  </si>
  <si>
    <t>Camisa Oversize Peruana L Negro</t>
  </si>
  <si>
    <t>L</t>
  </si>
  <si>
    <t>CAM-OVS-NEG-XL</t>
  </si>
  <si>
    <t>Camisa Oversize Peruana XL Negro</t>
  </si>
  <si>
    <t>XL</t>
  </si>
  <si>
    <t>CAM-OVS-BLA-S</t>
  </si>
  <si>
    <t>Camisa Oversize Peruana S Blanco</t>
  </si>
  <si>
    <t>CAM-OVS-BLA-M</t>
  </si>
  <si>
    <t>Camisa Oversize Peruana M Blanco</t>
  </si>
  <si>
    <t>CAM-OVS-BLA-L</t>
  </si>
  <si>
    <t>Camisa Oversize Peruana L Blanco</t>
  </si>
  <si>
    <t>CAM-OVS-BLA-XL</t>
  </si>
  <si>
    <t>Camisa Oversize Peruana XL Blanco</t>
  </si>
  <si>
    <t>CAM-OVS-PER-S</t>
  </si>
  <si>
    <t>Camisa Oversize Peruana S Perla</t>
  </si>
  <si>
    <t>CAM-OVS-PER-M</t>
  </si>
  <si>
    <t>Camisa Oversize Peruana M Perla</t>
  </si>
  <si>
    <t>CAM-OVS-PER-L</t>
  </si>
  <si>
    <t>Camisa Oversize Peruana L Perla</t>
  </si>
  <si>
    <t>CAM-OVS-PER-XL</t>
  </si>
  <si>
    <t>Camisa Oversize Peruana XL Perla</t>
  </si>
  <si>
    <t>CAM-OVS-BEIG-S</t>
  </si>
  <si>
    <t>Camisa Oversize Peruana S Beige</t>
  </si>
  <si>
    <t>CAM-OVS-BEIG-M</t>
  </si>
  <si>
    <t>Camisa Oversize Peruana M Beige</t>
  </si>
  <si>
    <t>CAM-OVS-BEIG-L</t>
  </si>
  <si>
    <t>Camisa Oversize Peruana L Beige</t>
  </si>
  <si>
    <t>CAM-OVS-BEIG-XL</t>
  </si>
  <si>
    <t>Camisa Oversize Peruana XL Beige</t>
  </si>
  <si>
    <t>CAM-OVS-PLOM-S</t>
  </si>
  <si>
    <t>Camisa Oversize Peruana S Plomo Plata</t>
  </si>
  <si>
    <t>CAM-OVS-PLOM-M</t>
  </si>
  <si>
    <t>Camisa Oversize Peruana M Plomo Plata</t>
  </si>
  <si>
    <t>CAM-OVS-PLOM-L</t>
  </si>
  <si>
    <t>Camisa Oversize Peruana L Plomo Plata</t>
  </si>
  <si>
    <t>CAM-OVS-PLOM-XL</t>
  </si>
  <si>
    <t>Camisa Oversize Peruana XL Plomo Plata</t>
  </si>
  <si>
    <t>CAM-OVS-VERD-S</t>
  </si>
  <si>
    <t>Camisa Oversize Peruana S Verde Botella</t>
  </si>
  <si>
    <t>CAM-OVS-VERD-M</t>
  </si>
  <si>
    <t>Camisa Oversize Peruana M Verde Botella</t>
  </si>
  <si>
    <t>CAM-OVS-VERD-L</t>
  </si>
  <si>
    <t>Camisa Oversize Peruana L Verde Botella</t>
  </si>
  <si>
    <t>CAM-OVS-VERD-XL</t>
  </si>
  <si>
    <t>Camisa Oversize Peruana XL Verde Botella</t>
  </si>
  <si>
    <t>CAM-REG-ACID-S</t>
  </si>
  <si>
    <t>Camisa Regular Peruana S Acid Wash</t>
  </si>
  <si>
    <t>Camisa Regular Peruana</t>
  </si>
  <si>
    <t>CAM-REG-ACID-M</t>
  </si>
  <si>
    <t>Camisa Regular Peruana M Acid Wash</t>
  </si>
  <si>
    <t>CAM-REG-ACID-L</t>
  </si>
  <si>
    <t>Camisa Regular Peruana L Acid Wash</t>
  </si>
  <si>
    <t>CAM-REG-ACID-XL</t>
  </si>
  <si>
    <t>Camisa Regular Peruana XL Acid Wash</t>
  </si>
  <si>
    <t>CAM-BOX-NEG-S</t>
  </si>
  <si>
    <t>Camisa Boxy fit M Gris (220gr)</t>
  </si>
  <si>
    <t>Camisa Boxy Fit</t>
  </si>
  <si>
    <t>CAM-BOX-GRI-M</t>
  </si>
  <si>
    <t>Camisa Boxy fit M Azul (220gr)</t>
  </si>
  <si>
    <t>CAM-BOX-AZU-M</t>
  </si>
  <si>
    <t>Camisa Boxy fit S Negro</t>
  </si>
  <si>
    <t>CAM-BOX-NEG-M</t>
  </si>
  <si>
    <t>Camisa Boxy fit M Negro</t>
  </si>
  <si>
    <t>CAM-BOX-NEG-L</t>
  </si>
  <si>
    <t>Camisa Boxy fit L Negro</t>
  </si>
  <si>
    <t>CAM-BOX-BLA-S</t>
  </si>
  <si>
    <t>Camisa Boxy fit S Blanco</t>
  </si>
  <si>
    <t>CAM-BOX-BLA-M</t>
  </si>
  <si>
    <t>Camisa Boxy fit M Blanco</t>
  </si>
  <si>
    <t>CAM-BOX-BLA-L</t>
  </si>
  <si>
    <t>Camisa Boxy fit L Blanco</t>
  </si>
  <si>
    <t>CAM-BOX-PLOM-S</t>
  </si>
  <si>
    <t>Camisa Boxy fit S Plomo Plata</t>
  </si>
  <si>
    <t>CAM-BOX-PLOM-M</t>
  </si>
  <si>
    <t>Camisa Boxy fit M Plomo Plata</t>
  </si>
  <si>
    <t>CAM-BOX-PLOM-L</t>
  </si>
  <si>
    <t>Camisa Boxy fit L Plomo Plata</t>
  </si>
  <si>
    <t>HOOD-ACID-L</t>
  </si>
  <si>
    <t>Hoodie L Acid Wash Gris</t>
  </si>
  <si>
    <t>Hoodie Acid Wash</t>
  </si>
  <si>
    <t>CHOM-NEG-S</t>
  </si>
  <si>
    <t>Chompa Capucha S Negro</t>
  </si>
  <si>
    <t>Chompa Capucha</t>
  </si>
  <si>
    <t>CHOM-NEG-M</t>
  </si>
  <si>
    <t>Chompa Capucha M Negro</t>
  </si>
  <si>
    <t>CHOM-NEG-L</t>
  </si>
  <si>
    <t>Chompa Capucha L Negro</t>
  </si>
  <si>
    <t>CHOM-PER-S</t>
  </si>
  <si>
    <t>Chompa Capucha S Perla</t>
  </si>
  <si>
    <t>CHOM-PER-M</t>
  </si>
  <si>
    <t>Chompa Capucha M Perla</t>
  </si>
  <si>
    <t>CHOM-PER-L</t>
  </si>
  <si>
    <t>Chompa Capucha L Perla</t>
  </si>
  <si>
    <t>CHOM-VERD-S</t>
  </si>
  <si>
    <t>Chompa Capucha S Verde Botella</t>
  </si>
  <si>
    <t>CHOM-VERD-M</t>
  </si>
  <si>
    <t>Chompa Capucha M Verde Botella</t>
  </si>
  <si>
    <t>CHOM-VERD-L</t>
  </si>
  <si>
    <t>Chompa Capucha L Verde Botella</t>
  </si>
  <si>
    <t>CHOM-PLOM-S</t>
  </si>
  <si>
    <t>Chompa Capucha S Plomo Plata</t>
  </si>
  <si>
    <t>CHOM-PLOM-M</t>
  </si>
  <si>
    <t>Chompa Capucha M Plomo Plata</t>
  </si>
  <si>
    <t>CHOM-PLOM-L</t>
  </si>
  <si>
    <t>Chompa Capucha L Plomo Plata</t>
  </si>
  <si>
    <t>BUZ-OVS-NEG-M</t>
  </si>
  <si>
    <t>Buzo Cuello Redondo Oversized M Negro</t>
  </si>
  <si>
    <t>Buzo Cuello Redondo Oversized</t>
  </si>
  <si>
    <t>BUZ-OVS-NEG-L</t>
  </si>
  <si>
    <t>Buzo Cuello Redondo Oversized L Negro</t>
  </si>
  <si>
    <t>BUZ-OVS-NEG-XL</t>
  </si>
  <si>
    <t>Buzo Cuello Redondo Oversized XL Negro</t>
  </si>
  <si>
    <t>BUZ-OVS-BEIG-M</t>
  </si>
  <si>
    <t>Buzo Cuello Redondo Oversized M Beige</t>
  </si>
  <si>
    <t>BUZ-OVS-BEIG-L</t>
  </si>
  <si>
    <t>Buzo Cuello Redondo Oversized L Beige</t>
  </si>
  <si>
    <t>BUZ-OVS-BEIG-XL</t>
  </si>
  <si>
    <t>Buzo Cuello Redondo Oversized XL Beige</t>
  </si>
  <si>
    <t>BUZ-OVS-NEG-2XL</t>
  </si>
  <si>
    <t>Buzo Cuello Redondo Oversized 2XL Negro</t>
  </si>
  <si>
    <t>BUZ-OVS-BEIG-2XL</t>
  </si>
  <si>
    <t>Buzo Cuello Redondo Oversized 2XL Beige</t>
  </si>
  <si>
    <t>BUZ-OVS-CAF-L</t>
  </si>
  <si>
    <t>Buzo Cuello Redondo Oversized L Café</t>
  </si>
  <si>
    <t>BUZ-OVS-CAF-XL</t>
  </si>
  <si>
    <t>Buzo Cuello Redondo Oversized XL Café</t>
  </si>
  <si>
    <t>JOG-NEG-M</t>
  </si>
  <si>
    <t>Jogger Largo M Negro</t>
  </si>
  <si>
    <t>Jogger</t>
  </si>
  <si>
    <t>JOG-NEG-L</t>
  </si>
  <si>
    <t>Jogger Largo L Negro</t>
  </si>
  <si>
    <t>JOG-NEG-XL</t>
  </si>
  <si>
    <t>Jogger Largo XL Negro</t>
  </si>
  <si>
    <t>JOG-BEIG-M</t>
  </si>
  <si>
    <t>Jogger Largo M Beige</t>
  </si>
  <si>
    <t>JOG-BEIG-L</t>
  </si>
  <si>
    <t>Jogger Largo L Beige</t>
  </si>
  <si>
    <t>JOG-BEIG-XL</t>
  </si>
  <si>
    <t>Jogger Largo XL Beige</t>
  </si>
  <si>
    <t>JOG-CAF-M</t>
  </si>
  <si>
    <t>Jogger Largo M Café</t>
  </si>
  <si>
    <t>JOG-CAF-L</t>
  </si>
  <si>
    <t>Jogger Largo L Café</t>
  </si>
  <si>
    <t>JOG-CAF-XL</t>
  </si>
  <si>
    <t>Jogger Largo XL Café</t>
  </si>
  <si>
    <t>CHA-NEG-M</t>
  </si>
  <si>
    <t>Chaqueta Cortavientos M Negro</t>
  </si>
  <si>
    <t>Chaqueta Cortavientos</t>
  </si>
  <si>
    <t>CHA-NEG-L</t>
  </si>
  <si>
    <t>Chaqueta Cortavientos L Negro</t>
  </si>
  <si>
    <t>CHA-NEG-XL</t>
  </si>
  <si>
    <t>Chaqueta Cortavientos XL Negro</t>
  </si>
  <si>
    <t>CHA-GRICLA-M</t>
  </si>
  <si>
    <t>Chaqueta Cortavientos M Gris Claro</t>
  </si>
  <si>
    <t>CHA-GRICLA-L</t>
  </si>
  <si>
    <t>Chaqueta Cortavientos L Gris Claro</t>
  </si>
  <si>
    <t>CHA-GRICLA-XL</t>
  </si>
  <si>
    <t>Chaqueta Cortavientos XL Gris Claro</t>
  </si>
  <si>
    <t>CHA-VERNEG-M</t>
  </si>
  <si>
    <t>Chaqueta Cortavientos M Verde Botella/Negro</t>
  </si>
  <si>
    <t>CHA-GRIOSC-M</t>
  </si>
  <si>
    <t>Chaqueta Cortavientos M Gris Oscuro</t>
  </si>
  <si>
    <t>CHA-GRIOSC-L</t>
  </si>
  <si>
    <t>Chaqueta Cortavientos L Gris Oscuro</t>
  </si>
  <si>
    <t>CHA-GRIOSC-XL</t>
  </si>
  <si>
    <t>Chaqueta Cortavientos XL Gris Oscuro</t>
  </si>
  <si>
    <t>CHA-MOSTNEG-L</t>
  </si>
  <si>
    <t>Chaqueta Cortavientos L Mostaza/Negro</t>
  </si>
  <si>
    <t>CHA-MOSTNEG-XL</t>
  </si>
  <si>
    <t>Chaqueta Cortavientos XL Mostaza/Negro</t>
  </si>
  <si>
    <t>CHA-GRINEG-M</t>
  </si>
  <si>
    <t>Chaqueta Cortavientos M Gris Claro/Negro</t>
  </si>
  <si>
    <t>CHA-GRINEG-L</t>
  </si>
  <si>
    <t>Chaqueta Cortavientos L Gris Claro/Negro</t>
  </si>
  <si>
    <t>CHA-GRINEG-XL</t>
  </si>
  <si>
    <t>Chaqueta Cortavientos XL Gris Claro/Negro</t>
  </si>
  <si>
    <t>SUD-NEG-M</t>
  </si>
  <si>
    <t>Sudadera Bota Recta M Negro</t>
  </si>
  <si>
    <t>Sudadera Bota Recta</t>
  </si>
  <si>
    <t>SUD-NEG-L</t>
  </si>
  <si>
    <t>Sudadera Bota Recta L Negro</t>
  </si>
  <si>
    <t>SUD-NEG-XL</t>
  </si>
  <si>
    <t>Sudadera Bota Recta XL Negro</t>
  </si>
  <si>
    <t>SUD-BEIG-S</t>
  </si>
  <si>
    <t>Sudadera Bota Recta S Beige</t>
  </si>
  <si>
    <t>SUD-BEIG-M</t>
  </si>
  <si>
    <t>Sudadera Bota Recta M Beige</t>
  </si>
  <si>
    <t>SUD-BEIG-XL</t>
  </si>
  <si>
    <t>Sudadera Bota Recta XL Beige</t>
  </si>
  <si>
    <t>SUD-CAF-M</t>
  </si>
  <si>
    <t>Sudadera Bota Recta M Café</t>
  </si>
  <si>
    <t>SUD-CAF-L</t>
  </si>
  <si>
    <t>Sudadera Bota Recta L Café</t>
  </si>
  <si>
    <t>PANT-NEG-M</t>
  </si>
  <si>
    <t>Pantaloneta M Negro</t>
  </si>
  <si>
    <t>Pantaloneta</t>
  </si>
  <si>
    <t>PANT-NEG-L</t>
  </si>
  <si>
    <t>Pantaloneta L Negro</t>
  </si>
  <si>
    <t>PANT-NEG-XL</t>
  </si>
  <si>
    <t>Pantaloneta XL Negro</t>
  </si>
  <si>
    <t>PANT-BEIG-M</t>
  </si>
  <si>
    <t>Pantaloneta M Beige</t>
  </si>
  <si>
    <t>PANT-BEIG-L</t>
  </si>
  <si>
    <t>Pantaloneta L Beige</t>
  </si>
  <si>
    <t>PANT-BEIG-XL</t>
  </si>
  <si>
    <t>Pantaloneta XL Beige</t>
  </si>
  <si>
    <t>PANT-CAF-M</t>
  </si>
  <si>
    <t>Pantaloneta M Café</t>
  </si>
  <si>
    <t>PANT-CAF-L</t>
  </si>
  <si>
    <t>Pantaloneta L Café</t>
  </si>
  <si>
    <t>PANT-CAF-XL</t>
  </si>
  <si>
    <t>Pantaloneta XL Café</t>
  </si>
  <si>
    <t>CAM-REP-YOUT</t>
  </si>
  <si>
    <t>Camisa Réplica Y/Out</t>
  </si>
  <si>
    <t>CAM-REP-1.1</t>
  </si>
  <si>
    <t>Camisa Réplica 1.1</t>
  </si>
  <si>
    <t>Fecha</t>
  </si>
  <si>
    <t>Método Pago</t>
  </si>
  <si>
    <t>Cliente</t>
  </si>
  <si>
    <t>VENTAS</t>
  </si>
  <si>
    <t>Consignaciones (Entradas a cuenta adicionales a venta)</t>
  </si>
  <si>
    <t>Transferencia</t>
  </si>
  <si>
    <t>Edison</t>
  </si>
  <si>
    <t>OK</t>
  </si>
  <si>
    <t>Efectivo</t>
  </si>
  <si>
    <t>Claudia Ramírez</t>
  </si>
  <si>
    <t>Sebastian Calderon</t>
  </si>
  <si>
    <t>Datáfono</t>
  </si>
  <si>
    <t>Crédito</t>
  </si>
  <si>
    <t>Plan separe</t>
  </si>
  <si>
    <t>Cliente X (10.000) - Felipe Hernandez (100.000) (M Kobe y Sudadera negra L)</t>
  </si>
  <si>
    <t>Santiago Javi</t>
  </si>
  <si>
    <t>RESUMEN VENTAS</t>
  </si>
  <si>
    <t>Total ventas:</t>
  </si>
  <si>
    <t>Ingresos:</t>
  </si>
  <si>
    <t>Daniela Blandón</t>
  </si>
  <si>
    <t>Costo mercancía:</t>
  </si>
  <si>
    <t>Margen bruto:</t>
  </si>
  <si>
    <t>Don Darío</t>
  </si>
  <si>
    <t>Cierre 17-3-2026</t>
  </si>
  <si>
    <t>Debería</t>
  </si>
  <si>
    <t>Hay (6-4-2026)</t>
  </si>
  <si>
    <t>Hay (7-4-2026)</t>
  </si>
  <si>
    <t>Cuenta Ahorros</t>
  </si>
  <si>
    <t>Credito</t>
  </si>
  <si>
    <t>Gastos</t>
  </si>
  <si>
    <t>Total</t>
  </si>
  <si>
    <t>Juan Fernando</t>
  </si>
  <si>
    <t>Total sin separe</t>
  </si>
  <si>
    <t>DIFERENCIA</t>
  </si>
  <si>
    <t>ROBO TARJETA</t>
  </si>
  <si>
    <t>Colo</t>
  </si>
  <si>
    <t>Carlos Ramirez</t>
  </si>
  <si>
    <t>Dueño "Qué Bendición"</t>
  </si>
  <si>
    <t>Jonathan Mazarello</t>
  </si>
  <si>
    <t>Amparo Ramírez</t>
  </si>
  <si>
    <t>Cliente Bogotá</t>
  </si>
  <si>
    <t>Sebastian Garces</t>
  </si>
  <si>
    <t>Luis Ceren</t>
  </si>
  <si>
    <t>Lina Saldarriaga</t>
  </si>
  <si>
    <t>Jorge Junior</t>
  </si>
  <si>
    <t>Manuela Moncada</t>
  </si>
  <si>
    <t>Federico Ángel</t>
  </si>
  <si>
    <t>Santiago Arteaga</t>
  </si>
  <si>
    <t>Natalia Cardona</t>
  </si>
  <si>
    <t>Anuar</t>
  </si>
  <si>
    <t>Carolina Ramírez</t>
  </si>
  <si>
    <t>Grillo</t>
  </si>
  <si>
    <t>Jorge Gay Caicedo</t>
  </si>
  <si>
    <t>Diseño Willie Colón - OK</t>
  </si>
  <si>
    <t>Hermano Nataly</t>
  </si>
  <si>
    <t>Diseño Eminem</t>
  </si>
  <si>
    <t>Regalo a Fotografo</t>
  </si>
  <si>
    <t>Regalo a Modelo fotos</t>
  </si>
  <si>
    <t>Luis Chef Restaurante</t>
  </si>
  <si>
    <t>Regalo Kathe a Lucho</t>
  </si>
  <si>
    <t>Diseño Hector</t>
  </si>
  <si>
    <t>Israel Mendoza</t>
  </si>
  <si>
    <t>Pollo (Perritos)</t>
  </si>
  <si>
    <t>Diseño Kobe</t>
  </si>
  <si>
    <t>VAPORIZADOR</t>
  </si>
  <si>
    <t>LOCION LACOSTE</t>
  </si>
  <si>
    <t>Efectivo Inicio</t>
  </si>
  <si>
    <t>Ventas Efectivo</t>
  </si>
  <si>
    <t>Ventas Datáfono</t>
  </si>
  <si>
    <t>Ventas Transf.</t>
  </si>
  <si>
    <t>Gastos Efectivo</t>
  </si>
  <si>
    <t>Efectivo Cierre</t>
  </si>
  <si>
    <t>Diferencia</t>
  </si>
  <si>
    <t>Claudia Ramírez debe 200.000 de Hoodie Acid Wash M</t>
  </si>
  <si>
    <t>Fecha Pedido</t>
  </si>
  <si>
    <t>Proveedor</t>
  </si>
  <si>
    <t>Descripción</t>
  </si>
  <si>
    <t>Unidades</t>
  </si>
  <si>
    <t>Costo Unit.</t>
  </si>
  <si>
    <t>Estado Pago</t>
  </si>
  <si>
    <t>Fecha Pago</t>
  </si>
  <si>
    <t>Pendiente</t>
  </si>
  <si>
    <t>Precios Proveedores</t>
  </si>
  <si>
    <t>YOUR BRAND</t>
  </si>
  <si>
    <t>Hoodie L</t>
  </si>
  <si>
    <t>Pagado</t>
  </si>
  <si>
    <t>2 Acid Wash gris L</t>
  </si>
  <si>
    <t>AUREN</t>
  </si>
  <si>
    <t>Precio</t>
  </si>
  <si>
    <t xml:space="preserve">Chompa 320gr Talla L </t>
  </si>
  <si>
    <t>3 Perla y 1 Negro L</t>
  </si>
  <si>
    <t>Regular</t>
  </si>
  <si>
    <t xml:space="preserve">Hoodie L </t>
  </si>
  <si>
    <t>10 Acid Wash gris L</t>
  </si>
  <si>
    <t>Oversize</t>
  </si>
  <si>
    <t>Camiseta Boxy Fit 320gr</t>
  </si>
  <si>
    <t>10 negras, 10 blancas, 10 plomo plata</t>
  </si>
  <si>
    <t>Buso regular</t>
  </si>
  <si>
    <t>BRACOR</t>
  </si>
  <si>
    <t>Camiseta Réplica Y/Out 1.1</t>
  </si>
  <si>
    <t>Buso oversize</t>
  </si>
  <si>
    <t>Camiseta Réplica 1.1</t>
  </si>
  <si>
    <t>24 Chaquetas 1 Color y 12 Chaquetas Bicolor</t>
  </si>
  <si>
    <t>Pantalonetas</t>
  </si>
  <si>
    <t>12 Pantalonetas (Negras, Beige y Café)</t>
  </si>
  <si>
    <t>Sudadera bota recta</t>
  </si>
  <si>
    <t>12 Sudaderas (Negras, Beige y Café)</t>
  </si>
  <si>
    <t>Chompa</t>
  </si>
  <si>
    <t>12 Jogger (Negras, Beige y Café)</t>
  </si>
  <si>
    <t>Chaquetas cortavientos</t>
  </si>
  <si>
    <t>Buso Oversized</t>
  </si>
  <si>
    <t>24 Busos Oversized (Negro, Beige y Café)</t>
  </si>
  <si>
    <t>Sudadera cortavientos</t>
  </si>
  <si>
    <t>Camiseta Oversized 320gr</t>
  </si>
  <si>
    <t>20 blancas, 20 negras, 20 perla</t>
  </si>
  <si>
    <t>Chaqueta reflectiva</t>
  </si>
  <si>
    <t>Chompas 320gr</t>
  </si>
  <si>
    <t>3 M y 2 L negros</t>
  </si>
  <si>
    <t>Camiseta Boxy Fit 220gr</t>
  </si>
  <si>
    <t>2 Boxy Fit M de 220gr</t>
  </si>
  <si>
    <t>4XL Perla, 2L Perla, 4S Negra, 4L Negra</t>
  </si>
  <si>
    <t>1 Sudadera Beige S</t>
  </si>
  <si>
    <t>1 Pantaloneta Beige S</t>
  </si>
  <si>
    <t>ETIQUETAS / MARQUILLAS / EMPAQUES</t>
  </si>
  <si>
    <t>Camiseta Oversized 320gr - Acid Wash</t>
  </si>
  <si>
    <t>10 camisas oversize acid wash Azules</t>
  </si>
  <si>
    <t>2 negras XL y una negra S</t>
  </si>
  <si>
    <t>TOTAL PEDIDOS</t>
  </si>
  <si>
    <t>Bolsas buenas</t>
  </si>
  <si>
    <t>bolsa sencilla</t>
  </si>
  <si>
    <t>Categoría</t>
  </si>
  <si>
    <t>Monto</t>
  </si>
  <si>
    <t>Responsable</t>
  </si>
  <si>
    <t>CATEGORÍAS DISPONIBLES:</t>
  </si>
  <si>
    <t>RESPONSABLES</t>
  </si>
  <si>
    <t>Rubro</t>
  </si>
  <si>
    <t>Fecha Periódica</t>
  </si>
  <si>
    <t>Arriendo</t>
  </si>
  <si>
    <t>Pago arriendo Diciembre</t>
  </si>
  <si>
    <t>KATHE</t>
  </si>
  <si>
    <t>ORVANN</t>
  </si>
  <si>
    <t>Pago Arriendo</t>
  </si>
  <si>
    <t>1 de cada mes</t>
  </si>
  <si>
    <t>ANDRES</t>
  </si>
  <si>
    <t>Servicios (Agua, Luz, Gas)</t>
  </si>
  <si>
    <t>Pago Servicios</t>
  </si>
  <si>
    <t>22 de cada mes</t>
  </si>
  <si>
    <t>Internet</t>
  </si>
  <si>
    <t>Pago Internet</t>
  </si>
  <si>
    <t>14 de cada mes</t>
  </si>
  <si>
    <t>Dotación local</t>
  </si>
  <si>
    <t>Pago arreglo Local</t>
  </si>
  <si>
    <t>Nómina/Vendedor</t>
  </si>
  <si>
    <t>Pago Shopify</t>
  </si>
  <si>
    <t>30 de cada mes</t>
  </si>
  <si>
    <t>Contador</t>
  </si>
  <si>
    <t>Pago Correo</t>
  </si>
  <si>
    <t>Publicidad/Marketing</t>
  </si>
  <si>
    <t>Aporte por socio</t>
  </si>
  <si>
    <t>Pago Seguro</t>
  </si>
  <si>
    <t>2 de cada mes</t>
  </si>
  <si>
    <t>Lavamanos</t>
  </si>
  <si>
    <t>Empaque (Bolsas, Etiquetas)</t>
  </si>
  <si>
    <t>Aseo/Mantenimiento</t>
  </si>
  <si>
    <t>Transporte</t>
  </si>
  <si>
    <t>Percheros pequeños</t>
  </si>
  <si>
    <t>Comisiones datáfono</t>
  </si>
  <si>
    <t>Ilustraciones/Diseño</t>
  </si>
  <si>
    <t>DEUDAS</t>
  </si>
  <si>
    <t>Imprevistos</t>
  </si>
  <si>
    <t>Prestamista</t>
  </si>
  <si>
    <t>Fecha de pago</t>
  </si>
  <si>
    <t>Por Socio</t>
  </si>
  <si>
    <t>Mercancía</t>
  </si>
  <si>
    <t>850.500 de excedente de celular</t>
  </si>
  <si>
    <t>Pago arriendo Enero</t>
  </si>
  <si>
    <t>Otro</t>
  </si>
  <si>
    <t>Seguros</t>
  </si>
  <si>
    <t>Pago mensualidad Freepick y Mockey</t>
  </si>
  <si>
    <t>RESUMEN GASTOS</t>
  </si>
  <si>
    <t>Total gastos:</t>
  </si>
  <si>
    <t>TOTAL DEUDAS</t>
  </si>
  <si>
    <t>Espejo, Toldo y Cámaras</t>
  </si>
  <si>
    <t>Por socio</t>
  </si>
  <si>
    <t>Adicional espejo</t>
  </si>
  <si>
    <t>Otras deudas</t>
  </si>
  <si>
    <t>Nombre Carpa</t>
  </si>
  <si>
    <t>Diseño Colección 1 (Pulp Fiction)</t>
  </si>
  <si>
    <t>Pago Arriendo Febrero</t>
  </si>
  <si>
    <t>Mercancía Your Brand</t>
  </si>
  <si>
    <t>Domicilio Mercancía Your Brand</t>
  </si>
  <si>
    <r>
      <rPr>
        <sz val="11"/>
        <color theme="1"/>
        <rFont val="Calibri"/>
      </rPr>
      <t xml:space="preserve">Compra Dominio </t>
    </r>
    <r>
      <rPr>
        <u/>
        <sz val="11"/>
        <color rgb="FF1155CC"/>
        <rFont val="Calibri"/>
      </rPr>
      <t>orvann.co</t>
    </r>
  </si>
  <si>
    <r>
      <rPr>
        <sz val="11"/>
        <color theme="1"/>
        <rFont val="Calibri"/>
      </rPr>
      <t xml:space="preserve">Compra Dominio </t>
    </r>
    <r>
      <rPr>
        <u/>
        <sz val="11"/>
        <color rgb="FF1155CC"/>
        <rFont val="Calibri"/>
      </rPr>
      <t>orvann.co</t>
    </r>
  </si>
  <si>
    <t>Transporte mercancía Auren</t>
  </si>
  <si>
    <t>Marquillas y Etiquetas</t>
  </si>
  <si>
    <t>Implementos de aseo</t>
  </si>
  <si>
    <t>Transporte mercancía a tienda</t>
  </si>
  <si>
    <t>Aseo tienda para apertura</t>
  </si>
  <si>
    <t xml:space="preserve">Elementos para control de caja </t>
  </si>
  <si>
    <t>Escurridor y caneca</t>
  </si>
  <si>
    <t>Ganchos</t>
  </si>
  <si>
    <t>Bolsas prendas</t>
  </si>
  <si>
    <t>Percheros</t>
  </si>
  <si>
    <t>Domicilio Ganchos</t>
  </si>
  <si>
    <t>50% Letrero local</t>
  </si>
  <si>
    <t>Disco corte estantería</t>
  </si>
  <si>
    <t>Pago a Sergio arreglos varios</t>
  </si>
  <si>
    <t>Arreglos Jorge</t>
  </si>
  <si>
    <t>Intereses avances</t>
  </si>
  <si>
    <t>50% etiquetas de lavado</t>
  </si>
  <si>
    <t>Molde Camisas Oversized</t>
  </si>
  <si>
    <t>Bolsas para ropa</t>
  </si>
  <si>
    <t>Tubo vestier</t>
  </si>
  <si>
    <t>Replicas Bracor</t>
  </si>
  <si>
    <t>Mercancía AUREN</t>
  </si>
  <si>
    <t>Google Workspace</t>
  </si>
  <si>
    <t>Arriendo Marzo</t>
  </si>
  <si>
    <t>Servicios Febrero</t>
  </si>
  <si>
    <t>Buzos negros L YourBrand</t>
  </si>
  <si>
    <t>2 Boxy fit 220gr</t>
  </si>
  <si>
    <t>Parqueadero Transporte</t>
  </si>
  <si>
    <t>Marquillas de lavado</t>
  </si>
  <si>
    <t>Taxi para prendas</t>
  </si>
  <si>
    <t>Bolsas</t>
  </si>
  <si>
    <t>Capcut</t>
  </si>
  <si>
    <t>PRESTAMO A CUMBIA Granizado</t>
  </si>
  <si>
    <t>PRESTAMO A CUMBIA GRANIZADOS</t>
  </si>
  <si>
    <t>Dar efectivo por transferencia</t>
  </si>
  <si>
    <t>Internet Marzo</t>
  </si>
  <si>
    <t>Organizadores</t>
  </si>
  <si>
    <t>Taxi de San Diego a Orvann</t>
  </si>
  <si>
    <t>Elementos de aseo</t>
  </si>
  <si>
    <t>Servicios Marzo</t>
  </si>
  <si>
    <t>Confección Sexy</t>
  </si>
  <si>
    <t>Estampados y bordados (32 und)</t>
  </si>
  <si>
    <t>Pegado marquillas y lavado</t>
  </si>
  <si>
    <t>Digitalización logo DTG</t>
  </si>
  <si>
    <t>Taxis para estampaciones</t>
  </si>
  <si>
    <t>Cervezas Ivan</t>
  </si>
  <si>
    <t>Prendas YOURBRAND (14 unds)</t>
  </si>
  <si>
    <t>PRESTAMO A CUMBIA Vasos y pitillos</t>
  </si>
  <si>
    <t>PRESTAMO A CUMBIA Dulces</t>
  </si>
  <si>
    <t>Arreglo toma, cámaras e internet</t>
  </si>
  <si>
    <t>Espejos vecinos</t>
  </si>
  <si>
    <t>.</t>
  </si>
  <si>
    <t>Sudadera y Pantaloneta AUREN</t>
  </si>
  <si>
    <t>Fotográfo</t>
  </si>
  <si>
    <t>50% estudio de fotografía</t>
  </si>
  <si>
    <t>Mensualidad correo corporativo</t>
  </si>
  <si>
    <t>Arriendo Abril</t>
  </si>
  <si>
    <t>Almuerzo Producción</t>
  </si>
  <si>
    <t>Seguro Local Abril</t>
  </si>
  <si>
    <t>Jabón Piso</t>
  </si>
  <si>
    <t>Arreglos local Vecino</t>
  </si>
  <si>
    <t>Pago arreglos Alfonso</t>
  </si>
  <si>
    <t>50% Sitio Web y SEO</t>
  </si>
  <si>
    <t>Accesorios rascadores</t>
  </si>
  <si>
    <t>Vaporizadores</t>
  </si>
  <si>
    <t>Accesorios candela</t>
  </si>
  <si>
    <t>Lociones</t>
  </si>
  <si>
    <t>Plástico cubre camisas</t>
  </si>
  <si>
    <t>Celular</t>
  </si>
  <si>
    <t>Marcadores de precios</t>
  </si>
  <si>
    <t>Papel higiénico</t>
  </si>
  <si>
    <t>Estuche celular</t>
  </si>
  <si>
    <t>Camisas acid Wash</t>
  </si>
  <si>
    <t>JP debe 120 a Kathe</t>
  </si>
  <si>
    <t>Internet Abril</t>
  </si>
  <si>
    <t>Servicios Abril</t>
  </si>
  <si>
    <t>Domicilio muestra Andrés</t>
  </si>
  <si>
    <t>Camisas YourBrand</t>
  </si>
  <si>
    <t>Sorteo</t>
  </si>
  <si>
    <t>Aseo local</t>
  </si>
  <si>
    <t>COSTOS FIJOS MENSUALES</t>
  </si>
  <si>
    <t>CONCEPTO</t>
  </si>
  <si>
    <t>MONTO (COP)</t>
  </si>
  <si>
    <t>NOTAS</t>
  </si>
  <si>
    <t>Arriendo mensual</t>
  </si>
  <si>
    <t>Servicios públicos</t>
  </si>
  <si>
    <t>Estimado</t>
  </si>
  <si>
    <t>Primeros dos meses $34.500</t>
  </si>
  <si>
    <t>Persona punto de venta</t>
  </si>
  <si>
    <t>Por ahora atienden socios (Una vez haya persona vale 3.000.000 mensual)</t>
  </si>
  <si>
    <t>Digitales</t>
  </si>
  <si>
    <t>Shopify, Google Workspace (Dominio), Capcut</t>
  </si>
  <si>
    <t>10% del total</t>
  </si>
  <si>
    <t>ANÁLISIS DE COSTO REAL POR TIPO DE PRENDA</t>
  </si>
  <si>
    <t>Incluye: Prenda + Estampado + Etiquetas + Empaque</t>
  </si>
  <si>
    <t>COSTOS ADICIONALES (EDITAR EN AZUL)</t>
  </si>
  <si>
    <t>Siempre precio llevando los diseños listos</t>
  </si>
  <si>
    <t>Concepto</t>
  </si>
  <si>
    <t>1-10 uds</t>
  </si>
  <si>
    <t>11-50 uds</t>
  </si>
  <si>
    <t>51-100 uds</t>
  </si>
  <si>
    <t>Más de 100</t>
  </si>
  <si>
    <t>Estampado DTF pequeño (pecho)</t>
  </si>
  <si>
    <t>Se vende por metro. El metro vale aproximadamente 25.000. Salen tamaño (Aprox 57 cm de ancho): punto corazon (Logo pequeño), media carta (Logo estandar tipo clemont), carta (Figura tamaño carta), oficio y tabloide (Casi estampado completo). Salen unos 100 punto corazón, unas 15 media carta, unas 8 carta, unas 6 oficio y 2 tabloides.</t>
  </si>
  <si>
    <t>Estampado DTF grande (espalda)</t>
  </si>
  <si>
    <t>Llenar después de cotizar</t>
  </si>
  <si>
    <t>Estampado Serigrafía (1 color)</t>
  </si>
  <si>
    <t>$8,000</t>
  </si>
  <si>
    <t>$5,000</t>
  </si>
  <si>
    <t>$3,500</t>
  </si>
  <si>
    <t>$2,500</t>
  </si>
  <si>
    <t>El metro de vinilo de alta densidad vale aprox 105.000 (sumando el estampado (72.000) plotteado y descolillado (33.000), si se averigua seguro es más barato) - Solo negro, blanco y rojo normalmente / El metro de vinilo vale aprox 80.000 (sumando el estampado (45.000) plotteado y descolillado (35.000), si se averigua seguro es más barato) - Solo negro, blanco y rojo normalmente. Vinilo sale en un solo color, DTF varios. Vinilo queda con un poco de relieve. DTG no se encontró (Proveedor Santiago)</t>
  </si>
  <si>
    <t>Etiqueta cuello tejida</t>
  </si>
  <si>
    <t>Mínimo típico: 100 uds</t>
  </si>
  <si>
    <t>Hang tag (etiqueta colgante)</t>
  </si>
  <si>
    <t>$800</t>
  </si>
  <si>
    <t>$600</t>
  </si>
  <si>
    <t>$400</t>
  </si>
  <si>
    <t>Con diseño e hilo</t>
  </si>
  <si>
    <t>Bolsa papel con logo</t>
  </si>
  <si>
    <t>Bolsa premium</t>
  </si>
  <si>
    <t>Bolsa Premium</t>
  </si>
  <si>
    <t>Sticker logo</t>
  </si>
  <si>
    <t>Para sellar bolsa y dejar adentro</t>
  </si>
  <si>
    <t>COSTO REAL POR TIPO DE PRODUCTO</t>
  </si>
  <si>
    <t>Tipo Prenda</t>
  </si>
  <si>
    <t>Costo Base AUREN</t>
  </si>
  <si>
    <t>Estampado</t>
  </si>
  <si>
    <t>Etiquetas</t>
  </si>
  <si>
    <t>Empaque</t>
  </si>
  <si>
    <t>COSTO TOTAL</t>
  </si>
  <si>
    <t>Precio Venta Sugerido</t>
  </si>
  <si>
    <t>Camisa Básica (sin estampar)</t>
  </si>
  <si>
    <t>Camisa Estampada Pecho</t>
  </si>
  <si>
    <t>Camisa Estampada Espalda</t>
  </si>
  <si>
    <t>Camisa Estampada Full (pecho+espalda)</t>
  </si>
  <si>
    <t>Chompa Capucha Básica</t>
  </si>
  <si>
    <t>$0</t>
  </si>
  <si>
    <t>Chompa Capucha Estampada</t>
  </si>
  <si>
    <t>Buzo Cuello Redondo Básico</t>
  </si>
  <si>
    <t>Buzo Estampado</t>
  </si>
  <si>
    <t>Jogger Básico</t>
  </si>
  <si>
    <t>Sudadera Bota Recta Básica</t>
  </si>
  <si>
    <t>Pantaloneta Básica</t>
  </si>
  <si>
    <t>Chaqueta Cortavientos Básica</t>
  </si>
  <si>
    <t>Chaqueta Cortavientos Estampada</t>
  </si>
  <si>
    <t>ESCENARIOS DE PRECIO DE VENTA - CAMISA ESTAMPADA</t>
  </si>
  <si>
    <t>Escenario</t>
  </si>
  <si>
    <t>Costo Total</t>
  </si>
  <si>
    <t>Margen $</t>
  </si>
  <si>
    <t>Comentario</t>
  </si>
  <si>
    <t>Económico (réplica)</t>
  </si>
  <si>
    <t>Competir con réplicas baratas</t>
  </si>
  <si>
    <t>Estándar</t>
  </si>
  <si>
    <t>Precio medio del mercado</t>
  </si>
  <si>
    <t>Premium ORVANN</t>
  </si>
  <si>
    <t>Marca propia, diseño exclusivo</t>
  </si>
  <si>
    <t>Ultra Premium (edición limitada)</t>
  </si>
  <si>
    <t>Colección especial, empaque VHS/Vinilo</t>
  </si>
  <si>
    <t>NOTAS IMPORTANTES:</t>
  </si>
  <si>
    <t>Los precios en AZUL son inputs</t>
  </si>
  <si>
    <t>Para réplicas (Clemont, etc): menor margen pero mayor volumen</t>
  </si>
  <si>
    <t>Para colecciones ORVANN: mayor margen, menor volumen, más exclusividad</t>
  </si>
  <si>
    <t>MODELO FINANCIERO — ORVANN</t>
  </si>
  <si>
    <t>Punto de Equilibrio y Proyección de Flujo de Caja a 6 Meses</t>
  </si>
  <si>
    <t>1. SUPUESTOS DEL MODELO</t>
  </si>
  <si>
    <t>Fuente de datos:</t>
  </si>
  <si>
    <t>Calculado de 38 ventas reales registradas</t>
  </si>
  <si>
    <t>Costos fijos mensuales</t>
  </si>
  <si>
    <t>Precio promedio de venta por prenda</t>
  </si>
  <si>
    <t>Costo promedio por prenda</t>
  </si>
  <si>
    <t>Margen bruto promedio por prenda</t>
  </si>
  <si>
    <t>Margen bruto %</t>
  </si>
  <si>
    <t>2. PUNTO DE EQUILIBRIO</t>
  </si>
  <si>
    <t>Fórmula: Costos Fijos / Margen por prenda</t>
  </si>
  <si>
    <t>Prendas a vender por MES para cubrir costos</t>
  </si>
  <si>
    <t>Prendas a vender por DÍA (26 días/mes)</t>
  </si>
  <si>
    <t>Ventas mensuales mínimas para equilibrio</t>
  </si>
  <si>
    <t>3. PROYECCIÓN FLUJO DE CAJA — 6 MESES (Escenario Base)</t>
  </si>
  <si>
    <t>Escenario de ventas (prendas/día)</t>
  </si>
  <si>
    <t>← Cambiar para simular</t>
  </si>
  <si>
    <t>Mes 1</t>
  </si>
  <si>
    <t>Mes 2</t>
  </si>
  <si>
    <t>Mes 3</t>
  </si>
  <si>
    <t>Mes 4</t>
  </si>
  <si>
    <t>Mes 5</t>
  </si>
  <si>
    <t>Mes 6</t>
  </si>
  <si>
    <t>Días operativos</t>
  </si>
  <si>
    <t>Prendas vendidas</t>
  </si>
  <si>
    <t>INGRESOS</t>
  </si>
  <si>
    <t>Ventas brutas</t>
  </si>
  <si>
    <t>EGRESOS</t>
  </si>
  <si>
    <t>Costo mercancía</t>
  </si>
  <si>
    <t>Estampaciones y empaques (8%)</t>
  </si>
  <si>
    <t>Costos fijos</t>
  </si>
  <si>
    <t>Total egresos</t>
  </si>
  <si>
    <t>RESULTADO</t>
  </si>
  <si>
    <t>Utilidad mensual</t>
  </si>
  <si>
    <t>Utilidad por socio (3)</t>
  </si>
  <si>
    <t>Margen neto %</t>
  </si>
  <si>
    <t>4. COMPARACIÓN DE ESCENARIOS (Mensual)</t>
  </si>
  <si>
    <t>Conservador</t>
  </si>
  <si>
    <t>Base</t>
  </si>
  <si>
    <t>Optimista</t>
  </si>
  <si>
    <t>Con Empleado</t>
  </si>
  <si>
    <t>Prendas/día</t>
  </si>
  <si>
    <t>Prendas/mes (26 días)</t>
  </si>
  <si>
    <t>Ingresos mensuales</t>
  </si>
  <si>
    <t>Costo mercancía + estampado</t>
  </si>
  <si>
    <t>UTILIDAD MENSUAL</t>
  </si>
  <si>
    <t>UTILIDAD POR SOCIO</t>
  </si>
  <si>
    <t>5. TABLA DE SENSIBILIDAD — Utilidad Mensual según Prendas/día y Precio Promedio</t>
  </si>
  <si>
    <t>Utilidad = (Precio - Costo×1.08) × Prendas×26 - Costos Fijos</t>
  </si>
  <si>
    <t>Prendas/día ↓ | Precio Promedio →</t>
  </si>
  <si>
    <t>6. INTERPRETACIÓN Y NOTAS CLAVE</t>
  </si>
  <si>
    <t>PUNTO DE EQUILIBRIO:</t>
  </si>
  <si>
    <t>• Con los precios y costos actuales, ORVANN necesita vender mínimo 43 prendas/mes (~2/día) para cubrir costos fijos.</t>
  </si>
  <si>
    <t>• Esto equivale a ventas mínimas de $4,148,382 COP mensuales.</t>
  </si>
  <si>
    <t>ESCENARIOS:</t>
  </si>
  <si>
    <t>• Conservador (2/día): Apenas cubre costos. Riesgo de pérdida si bajan ventas.</t>
  </si>
  <si>
    <t>• Base (3-4/día): Genera utilidad moderada. Meta realista para primeros meses.</t>
  </si>
  <si>
    <t>• Optimista (5/día): Utilidad sana para reinvertir y crecer.</t>
  </si>
  <si>
    <t>• Con Empleado (6/día + $3M nómina): Muestra cuánto se necesita si contratan vendedor.</t>
  </si>
  <si>
    <t>COTIZADOR DE COMPRAS - ORVANN</t>
  </si>
  <si>
    <t>Estampado grande DTG</t>
  </si>
  <si>
    <t>Estampado Punto Corazón DTG</t>
  </si>
  <si>
    <t>Punto Corazón bordado</t>
  </si>
  <si>
    <t>Etiquetas Espalda</t>
  </si>
  <si>
    <t>Marquillas lavado</t>
  </si>
  <si>
    <t>Bolsa</t>
  </si>
  <si>
    <t>CATÁLOGO DE PRODUCTOS (Referencia de Costos)</t>
  </si>
  <si>
    <t>Tipo Producto</t>
  </si>
  <si>
    <t>Costo Base</t>
  </si>
  <si>
    <t>Estampado Punto Corazón</t>
  </si>
  <si>
    <t>Bordado Punto Corazón</t>
  </si>
  <si>
    <t>Estampado Completo</t>
  </si>
  <si>
    <t>Costo Unitario</t>
  </si>
  <si>
    <t>Precio Venta Unitario</t>
  </si>
  <si>
    <t>Ganancia</t>
  </si>
  <si>
    <t>Margen</t>
  </si>
  <si>
    <t>Precio unitario x3</t>
  </si>
  <si>
    <t>Precio x3</t>
  </si>
  <si>
    <t>Ganancia x3</t>
  </si>
  <si>
    <t>Margen x3</t>
  </si>
  <si>
    <t>Precio unitario x6</t>
  </si>
  <si>
    <t>Precio x6</t>
  </si>
  <si>
    <t>Ganancia x6</t>
  </si>
  <si>
    <t>Margen x6</t>
  </si>
  <si>
    <t>Precio Unit x12</t>
  </si>
  <si>
    <t>Precio x12</t>
  </si>
  <si>
    <t>Ganancia x12</t>
  </si>
  <si>
    <t>Margen x12</t>
  </si>
  <si>
    <t>Precio Unit x60 +</t>
  </si>
  <si>
    <t>Precio x60 +</t>
  </si>
  <si>
    <t>Ganancia x60 +</t>
  </si>
  <si>
    <t>Margen x60 +</t>
  </si>
  <si>
    <t>Camisa Oversize</t>
  </si>
  <si>
    <t>Camisa Oversize Peruana Estampada Punto Corazón</t>
  </si>
  <si>
    <t>Camisa Oversize Peruana Bordada Punto Corazón</t>
  </si>
  <si>
    <t>Camisa Oversize Peruana Bordado Punto Corazón + Estampado Completo</t>
  </si>
  <si>
    <t>Camisa Oversize Peruana Estampado Punto Corazón + Estampado Completo</t>
  </si>
  <si>
    <t>Camisa Oversize Peruana Básica</t>
  </si>
  <si>
    <t>Camisa Regular Peruana Estampada Punto Corazón</t>
  </si>
  <si>
    <t>Camisa Regular Peruana Bordada Punto Corazón</t>
  </si>
  <si>
    <t>Camisa Regular Peruana Bordado Punto Corazón + Estampado Completo</t>
  </si>
  <si>
    <t>Camisa Regular Peruana Estampado Punto Corazón + Estampado Completo</t>
  </si>
  <si>
    <t>Camisa Regular Peruana Básica</t>
  </si>
  <si>
    <t>Camisa Boxy fit Peruana Estampada Punto Corazón</t>
  </si>
  <si>
    <t>Camisa Boxy fit Peruana Bordada Punto Corazón</t>
  </si>
  <si>
    <t>Camisa Boxy fit Peruana Bordado Punto Corazón + Estampado Completo</t>
  </si>
  <si>
    <t>Camisa Boxy fit Peruana Estampado Punto Corazón + Estampado Completo</t>
  </si>
  <si>
    <t>Camisa Boxy fit Peruana Básica</t>
  </si>
  <si>
    <t>Chompa Capucha Peruana Bordada Punto Corazón</t>
  </si>
  <si>
    <t>Chompa Capucha Peruana Básica</t>
  </si>
  <si>
    <t>Hoodie Peruano Acid Wash Bordada Punto Corazón</t>
  </si>
  <si>
    <t>Hoodie Peruano Acid Wash Básico</t>
  </si>
  <si>
    <t>Buzo Cuello Redondo Regular Bordada Punto Corazón</t>
  </si>
  <si>
    <t>Buzo Cuello Redondo Regular + Estampado Completo</t>
  </si>
  <si>
    <t>Buzo Cuello Redondo Regular Bordado Punto Corazón + Estampado Completo</t>
  </si>
  <si>
    <t>Buzo Cuello Redondo Regular Estampado Punto Corazón + Estampado Completo</t>
  </si>
  <si>
    <t>Buzo Cuello Redondo Regular Básico</t>
  </si>
  <si>
    <t>Buzo Cuello Redondo Oversized Bordada Punto Corazón</t>
  </si>
  <si>
    <t>Buzo Cuello Redondo Oversized + Estampado Completo</t>
  </si>
  <si>
    <t>Buzo Cuello Redondo Oversized Bordado Punto Corazón + Estampado Completo</t>
  </si>
  <si>
    <t>Buzo Cuello Redondo Oversized Estampado Punto Corazón + Estampado Completo</t>
  </si>
  <si>
    <t>Buzo Cuello Redondo Oversized Básico</t>
  </si>
  <si>
    <t>Jogger Largo</t>
  </si>
  <si>
    <t>Sudadera Cortavientos</t>
  </si>
  <si>
    <t>Gorra</t>
  </si>
  <si>
    <t>PLANIFICADOR DE COMPRA</t>
  </si>
  <si>
    <t>Cantidad</t>
  </si>
  <si>
    <t>Provedor</t>
  </si>
  <si>
    <t>Costo Prenda</t>
  </si>
  <si>
    <t>Costo Estampado</t>
  </si>
  <si>
    <t>Costo Etiquetas</t>
  </si>
  <si>
    <t>Costo Empaque</t>
  </si>
  <si>
    <t>Precio Venta Unit.</t>
  </si>
  <si>
    <t>VENTA TOTAL</t>
  </si>
  <si>
    <t>Nombre</t>
  </si>
  <si>
    <t>Productos</t>
  </si>
  <si>
    <t>Costo Prendas</t>
  </si>
  <si>
    <t>Precio x12 +</t>
  </si>
  <si>
    <t>Sin estampar</t>
  </si>
  <si>
    <t>Blanco</t>
  </si>
  <si>
    <t>Perla</t>
  </si>
  <si>
    <t>Beige</t>
  </si>
  <si>
    <t>Plomo Plata</t>
  </si>
  <si>
    <t>Pecho</t>
  </si>
  <si>
    <t>Verde Botella</t>
  </si>
  <si>
    <t>Full (Pecho+Espalda)</t>
  </si>
  <si>
    <t>Camisa Boxy fit</t>
  </si>
  <si>
    <t>Hoodie</t>
  </si>
  <si>
    <t>Acid Wash Gris</t>
  </si>
  <si>
    <t>2XL</t>
  </si>
  <si>
    <t/>
  </si>
  <si>
    <t>TOTALES</t>
  </si>
  <si>
    <t>RESUMEN</t>
  </si>
  <si>
    <t>Total Unidades:</t>
  </si>
  <si>
    <t>DESGLOSE DE COSTOS:</t>
  </si>
  <si>
    <t>PROVEEDOR</t>
  </si>
  <si>
    <t>PAGO</t>
  </si>
  <si>
    <t>Cada uno</t>
  </si>
  <si>
    <t>Inversión Total (Costo):</t>
  </si>
  <si>
    <t xml:space="preserve">  • Prendas:</t>
  </si>
  <si>
    <t>CREDITO</t>
  </si>
  <si>
    <t>Venta Esperada:</t>
  </si>
  <si>
    <t xml:space="preserve">  • Estampado:</t>
  </si>
  <si>
    <t>TC</t>
  </si>
  <si>
    <t>Ganancia Bruta Estimada:</t>
  </si>
  <si>
    <t xml:space="preserve">  • Etiquetas:</t>
  </si>
  <si>
    <t>Margen Bruto %:</t>
  </si>
  <si>
    <t xml:space="preserve">  • Empaque:</t>
  </si>
  <si>
    <t xml:space="preserve">  TOTAL:</t>
  </si>
  <si>
    <t>TOTAL SIN PRENDAS:</t>
  </si>
  <si>
    <t>Cada Uno</t>
  </si>
  <si>
    <t>Día</t>
  </si>
  <si>
    <t>Consiganciones ORVANN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</si>
</sst>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\$#,##0"/>
    <numFmt numFmtId="165" formatCode="#,##0;\(#,##0\)"/>
    <numFmt numFmtId="166" formatCode="0.0%"/>
    <numFmt numFmtId="167" formatCode="0.0"/>
    <numFmt numFmtId="168" formatCode="_-* #,##0_-;\-* #,##0_-;_-* &quot;-&quot;??_-;_-@"/>
    <numFmt numFmtId="169" formatCode="dd/mm/yyyy"/>
    <numFmt numFmtId="170" formatCode="[$ $]#,##0"/>
    <numFmt numFmtId="171" formatCode="d\-m\-yyyy"/>
    <numFmt numFmtId="172" formatCode="d/m/yyyy"/>
    <numFmt numFmtId="173" formatCode="&quot;$&quot;#,##0"/>
    <numFmt numFmtId="174" formatCode="&quot;$&quot;#,##0;\(&quot;$&quot;#,##0\);&quot;-&quot;"/>
  </numFmts>
  <fonts count="52" x14ac:knownFonts="1">
    <font>
      <sz val="11"/>
      <color theme="1"/>
      <name val="Calibri"/>
      <scheme val="minor"/>
    </font>
    <font>
      <b/>
      <sz val="16"/>
      <color theme="1"/>
      <name val="Cambria"/>
    </font>
    <font>
      <b/>
      <sz val="11"/>
      <color theme="1"/>
      <name val="Calibri"/>
    </font>
    <font>
      <b/>
      <sz val="11"/>
      <color theme="1"/>
      <name val="Calibri"/>
      <scheme val="minor"/>
    </font>
    <font>
      <i/>
      <sz val="11"/>
      <color rgb="FF666666"/>
      <name val="Cambria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FFFF"/>
      <name val="Calibri"/>
      <scheme val="minor"/>
    </font>
    <font>
      <sz val="11"/>
      <color rgb="FFFF00FF"/>
      <name val="Calibri"/>
      <scheme val="minor"/>
    </font>
    <font>
      <b/>
      <sz val="12"/>
      <color theme="1"/>
      <name val="Cambria"/>
    </font>
    <font>
      <sz val="11"/>
      <color rgb="FF00FF00"/>
      <name val="Calibri"/>
      <scheme val="minor"/>
    </font>
    <font>
      <sz val="11"/>
      <color rgb="FF000000"/>
      <name val="Cambria"/>
    </font>
    <font>
      <b/>
      <i/>
      <sz val="11"/>
      <color theme="1"/>
      <name val="Calibri"/>
      <scheme val="minor"/>
    </font>
    <font>
      <b/>
      <sz val="11"/>
      <color rgb="FF000000"/>
      <name val="Cambria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mbria"/>
    </font>
    <font>
      <sz val="11"/>
      <color rgb="FF0000FF"/>
      <name val="Cambria"/>
    </font>
    <font>
      <sz val="11"/>
      <color theme="1"/>
      <name val="Calibri"/>
    </font>
    <font>
      <b/>
      <sz val="11"/>
      <color theme="1"/>
      <name val="Cambria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</font>
    <font>
      <sz val="9"/>
      <color rgb="FF666666"/>
      <name val="Cambria"/>
    </font>
    <font>
      <u/>
      <sz val="11"/>
      <color theme="1"/>
      <name val="Calibri"/>
    </font>
    <font>
      <b/>
      <sz val="14"/>
      <color theme="1"/>
      <name val="Cambria"/>
    </font>
    <font>
      <sz val="11"/>
      <color rgb="FF666666"/>
      <name val="Cambria"/>
    </font>
    <font>
      <b/>
      <sz val="16"/>
      <color rgb="FF000000"/>
      <name val="Calibri"/>
    </font>
    <font>
      <i/>
      <sz val="11"/>
      <color rgb="FF666666"/>
      <name val="Calibri"/>
    </font>
    <font>
      <b/>
      <sz val="13"/>
      <color rgb="FFFFFFFF"/>
      <name val="Calibri"/>
    </font>
    <font>
      <i/>
      <sz val="11"/>
      <color rgb="FF888888"/>
      <name val="Calibri"/>
    </font>
    <font>
      <b/>
      <sz val="11"/>
      <color rgb="FF0000FF"/>
      <name val="Calibri"/>
    </font>
    <font>
      <b/>
      <i/>
      <sz val="11"/>
      <color rgb="FF888888"/>
      <name val="Calibri"/>
    </font>
    <font>
      <b/>
      <sz val="14"/>
      <color rgb="FFCC0000"/>
      <name val="Calibri"/>
    </font>
    <font>
      <b/>
      <sz val="14"/>
      <color rgb="FF0000FF"/>
      <name val="Calibri"/>
    </font>
    <font>
      <i/>
      <sz val="11"/>
      <color rgb="FF0000FF"/>
      <name val="Calibri"/>
    </font>
    <font>
      <b/>
      <sz val="11"/>
      <color rgb="FFFFFFFF"/>
      <name val="Calibri"/>
    </font>
    <font>
      <sz val="11"/>
      <color rgb="FF0000FF"/>
      <name val="Calibri"/>
    </font>
    <font>
      <b/>
      <sz val="11"/>
      <color rgb="FF008000"/>
      <name val="Calibri"/>
    </font>
    <font>
      <b/>
      <sz val="13"/>
      <color rgb="FF008000"/>
      <name val="Calibri"/>
    </font>
    <font>
      <b/>
      <sz val="12"/>
      <color rgb="FF000000"/>
      <name val="Calibri"/>
    </font>
    <font>
      <b/>
      <sz val="12"/>
      <color rgb="FF008000"/>
      <name val="Calibri"/>
    </font>
    <font>
      <i/>
      <sz val="9"/>
      <color rgb="FF888888"/>
      <name val="Calibri"/>
    </font>
    <font>
      <sz val="11"/>
      <color rgb="FFCC0000"/>
      <name val="Calibri"/>
    </font>
    <font>
      <b/>
      <sz val="16"/>
      <color rgb="FFFFFFFF"/>
      <name val="Calibri"/>
    </font>
    <font>
      <b/>
      <sz val="12"/>
      <color theme="1"/>
      <name val="Calibri"/>
    </font>
    <font>
      <b/>
      <sz val="14"/>
      <color rgb="FFFFFFFF"/>
      <name val="Calibri"/>
    </font>
    <font>
      <i/>
      <sz val="10"/>
      <color theme="1"/>
      <name val="Calibri"/>
    </font>
    <font>
      <sz val="11"/>
      <color rgb="FF4CAF50"/>
      <name val="Calibri"/>
    </font>
    <font>
      <b/>
      <sz val="11"/>
      <color rgb="FF1B5E20"/>
      <name val="Calibri"/>
    </font>
    <font>
      <sz val="10"/>
      <color theme="1"/>
      <name val="Calibri"/>
    </font>
    <font>
      <u/>
      <sz val="11"/>
      <color rgb="FF1155CC"/>
      <name val="Calibri"/>
    </font>
  </fonts>
  <fills count="29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1F4E79"/>
        <bgColor rgb="FF1F4E79"/>
      </patternFill>
    </fill>
    <fill>
      <patternFill patternType="solid">
        <fgColor rgb="FFD9E2F3"/>
        <bgColor rgb="FFD9E2F3"/>
      </patternFill>
    </fill>
    <fill>
      <patternFill patternType="solid">
        <fgColor rgb="FF333333"/>
        <bgColor rgb="FF333333"/>
      </patternFill>
    </fill>
    <fill>
      <patternFill patternType="solid">
        <fgColor rgb="FFE8E8E8"/>
        <bgColor rgb="FFE8E8E8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CCE5FF"/>
        <bgColor rgb="FFCCE5FF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C8E6C9"/>
        <bgColor rgb="FFC8E6C9"/>
      </patternFill>
    </fill>
    <fill>
      <patternFill patternType="solid">
        <fgColor rgb="FF1565C0"/>
        <bgColor rgb="FF1565C0"/>
      </patternFill>
    </fill>
    <fill>
      <patternFill patternType="solid">
        <fgColor rgb="FF0D47A1"/>
        <bgColor rgb="FF0D47A1"/>
      </patternFill>
    </fill>
    <fill>
      <patternFill patternType="solid">
        <fgColor rgb="FF1B5E20"/>
        <bgColor rgb="FF1B5E20"/>
      </patternFill>
    </fill>
    <fill>
      <patternFill patternType="solid">
        <fgColor rgb="FFE3F2FD"/>
        <bgColor rgb="FFE3F2FD"/>
      </patternFill>
    </fill>
    <fill>
      <patternFill patternType="solid">
        <fgColor rgb="FFE8EAF6"/>
        <bgColor rgb="FFE8EAF6"/>
      </patternFill>
    </fill>
    <fill>
      <patternFill patternType="solid">
        <fgColor rgb="FFFFF2CC"/>
        <bgColor rgb="FFFFF2CC"/>
      </patternFill>
    </fill>
    <fill>
      <patternFill patternType="solid">
        <fgColor rgb="FFFF6F00"/>
        <bgColor rgb="FFFF6F00"/>
      </patternFill>
    </fill>
    <fill>
      <patternFill patternType="solid">
        <fgColor rgb="FFFFF3E0"/>
        <bgColor rgb="FFFFF3E0"/>
      </patternFill>
    </fill>
    <fill>
      <patternFill patternType="solid">
        <fgColor rgb="FFFFECB3"/>
        <bgColor rgb="FFFFECB3"/>
      </patternFill>
    </fill>
    <fill>
      <patternFill patternType="solid">
        <fgColor rgb="FFC2D69B"/>
        <bgColor rgb="FFC2D69B"/>
      </patternFill>
    </fill>
    <fill>
      <patternFill patternType="solid">
        <fgColor rgb="FFFFFDE7"/>
        <bgColor rgb="FFFFFDE7"/>
      </patternFill>
    </fill>
    <fill>
      <patternFill patternType="solid">
        <fgColor rgb="FFEAF1DD"/>
        <bgColor rgb="FFEAF1DD"/>
      </patternFill>
    </fill>
    <fill>
      <patternFill patternType="solid">
        <fgColor rgb="FFFFE082"/>
        <bgColor rgb="FFFFE08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14" fontId="5" fillId="0" borderId="0" xfId="0" applyNumberFormat="1" applyFont="1"/>
    <xf numFmtId="0" fontId="6" fillId="0" borderId="0" xfId="0" applyFont="1"/>
    <xf numFmtId="21" fontId="3" fillId="0" borderId="0" xfId="0" applyNumberFormat="1" applyFont="1"/>
    <xf numFmtId="0" fontId="7" fillId="0" borderId="0" xfId="0" applyFont="1"/>
    <xf numFmtId="0" fontId="5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11" fillId="0" borderId="0" xfId="0" applyNumberFormat="1" applyFont="1"/>
    <xf numFmtId="0" fontId="12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64" fontId="6" fillId="0" borderId="0" xfId="0" applyNumberFormat="1" applyFont="1"/>
    <xf numFmtId="166" fontId="6" fillId="0" borderId="0" xfId="0" applyNumberFormat="1" applyFont="1"/>
    <xf numFmtId="10" fontId="6" fillId="0" borderId="0" xfId="0" applyNumberFormat="1" applyFont="1"/>
    <xf numFmtId="1" fontId="6" fillId="0" borderId="0" xfId="0" applyNumberFormat="1" applyFont="1"/>
    <xf numFmtId="167" fontId="5" fillId="0" borderId="0" xfId="0" applyNumberFormat="1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13" fillId="0" borderId="0" xfId="0" applyFont="1"/>
    <xf numFmtId="0" fontId="14" fillId="0" borderId="0" xfId="0" applyFont="1"/>
    <xf numFmtId="165" fontId="14" fillId="0" borderId="0" xfId="0" applyNumberFormat="1" applyFont="1"/>
    <xf numFmtId="165" fontId="14" fillId="0" borderId="0" xfId="0" applyNumberFormat="1" applyFont="1" applyAlignment="1">
      <alignment horizontal="center"/>
    </xf>
    <xf numFmtId="0" fontId="15" fillId="0" borderId="0" xfId="0" applyFont="1"/>
    <xf numFmtId="165" fontId="14" fillId="0" borderId="0" xfId="0" applyNumberFormat="1" applyFont="1" applyAlignment="1">
      <alignment horizontal="right"/>
    </xf>
    <xf numFmtId="0" fontId="16" fillId="2" borderId="1" xfId="0" applyFont="1" applyFill="1" applyBorder="1" applyAlignment="1">
      <alignment horizontal="center"/>
    </xf>
    <xf numFmtId="165" fontId="16" fillId="2" borderId="1" xfId="0" applyNumberFormat="1" applyFont="1" applyFill="1" applyBorder="1" applyAlignment="1">
      <alignment horizontal="center"/>
    </xf>
    <xf numFmtId="0" fontId="14" fillId="3" borderId="1" xfId="0" applyFont="1" applyFill="1" applyBorder="1"/>
    <xf numFmtId="0" fontId="14" fillId="3" borderId="1" xfId="0" applyFont="1" applyFill="1" applyBorder="1" applyAlignment="1">
      <alignment horizontal="center"/>
    </xf>
    <xf numFmtId="165" fontId="17" fillId="3" borderId="1" xfId="0" applyNumberFormat="1" applyFont="1" applyFill="1" applyBorder="1" applyAlignment="1">
      <alignment horizontal="right"/>
    </xf>
    <xf numFmtId="166" fontId="14" fillId="3" borderId="1" xfId="0" applyNumberFormat="1" applyFont="1" applyFill="1" applyBorder="1" applyAlignment="1">
      <alignment horizontal="right"/>
    </xf>
    <xf numFmtId="0" fontId="14" fillId="3" borderId="1" xfId="0" applyFont="1" applyFill="1" applyBorder="1" applyAlignment="1">
      <alignment horizontal="right"/>
    </xf>
    <xf numFmtId="168" fontId="14" fillId="3" borderId="1" xfId="0" applyNumberFormat="1" applyFont="1" applyFill="1" applyBorder="1"/>
    <xf numFmtId="0" fontId="14" fillId="3" borderId="0" xfId="0" applyFont="1" applyFill="1"/>
    <xf numFmtId="165" fontId="14" fillId="3" borderId="0" xfId="0" applyNumberFormat="1" applyFont="1" applyFill="1"/>
    <xf numFmtId="165" fontId="14" fillId="3" borderId="0" xfId="0" applyNumberFormat="1" applyFont="1" applyFill="1" applyAlignment="1">
      <alignment horizontal="center"/>
    </xf>
    <xf numFmtId="0" fontId="16" fillId="2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5" fontId="5" fillId="0" borderId="0" xfId="0" applyNumberFormat="1" applyFont="1" applyAlignment="1">
      <alignment horizontal="left"/>
    </xf>
    <xf numFmtId="0" fontId="3" fillId="0" borderId="0" xfId="0" applyFont="1"/>
    <xf numFmtId="169" fontId="6" fillId="0" borderId="0" xfId="0" applyNumberFormat="1" applyFont="1"/>
    <xf numFmtId="0" fontId="18" fillId="0" borderId="0" xfId="0" applyFont="1"/>
    <xf numFmtId="170" fontId="5" fillId="0" borderId="0" xfId="0" applyNumberFormat="1" applyFont="1"/>
    <xf numFmtId="0" fontId="19" fillId="0" borderId="0" xfId="0" applyFont="1"/>
    <xf numFmtId="171" fontId="5" fillId="0" borderId="0" xfId="0" applyNumberFormat="1" applyFont="1"/>
    <xf numFmtId="165" fontId="6" fillId="0" borderId="0" xfId="0" applyNumberFormat="1" applyFont="1"/>
    <xf numFmtId="172" fontId="5" fillId="0" borderId="0" xfId="0" applyNumberFormat="1" applyFont="1"/>
    <xf numFmtId="165" fontId="3" fillId="0" borderId="0" xfId="0" applyNumberFormat="1" applyFont="1" applyAlignment="1">
      <alignment horizontal="center"/>
    </xf>
    <xf numFmtId="165" fontId="3" fillId="0" borderId="0" xfId="0" applyNumberFormat="1" applyFont="1"/>
    <xf numFmtId="170" fontId="3" fillId="0" borderId="0" xfId="0" applyNumberFormat="1" applyFont="1"/>
    <xf numFmtId="170" fontId="20" fillId="0" borderId="0" xfId="0" applyNumberFormat="1" applyFont="1"/>
    <xf numFmtId="170" fontId="21" fillId="0" borderId="0" xfId="0" applyNumberFormat="1" applyFont="1"/>
    <xf numFmtId="165" fontId="21" fillId="0" borderId="0" xfId="0" applyNumberFormat="1" applyFont="1"/>
    <xf numFmtId="0" fontId="5" fillId="4" borderId="0" xfId="0" applyFont="1" applyFill="1"/>
    <xf numFmtId="165" fontId="5" fillId="4" borderId="0" xfId="0" applyNumberFormat="1" applyFont="1" applyFill="1"/>
    <xf numFmtId="169" fontId="5" fillId="0" borderId="0" xfId="0" applyNumberFormat="1" applyFont="1"/>
    <xf numFmtId="0" fontId="6" fillId="4" borderId="0" xfId="0" applyFont="1" applyFill="1"/>
    <xf numFmtId="164" fontId="6" fillId="4" borderId="0" xfId="0" applyNumberFormat="1" applyFont="1" applyFill="1"/>
    <xf numFmtId="0" fontId="16" fillId="2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18" fillId="0" borderId="0" xfId="0" applyNumberFormat="1" applyFont="1"/>
    <xf numFmtId="0" fontId="22" fillId="0" borderId="0" xfId="0" applyFont="1"/>
    <xf numFmtId="165" fontId="22" fillId="0" borderId="0" xfId="0" applyNumberFormat="1" applyFont="1"/>
    <xf numFmtId="169" fontId="6" fillId="3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164" fontId="6" fillId="4" borderId="1" xfId="0" applyNumberFormat="1" applyFont="1" applyFill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169" fontId="6" fillId="0" borderId="1" xfId="0" applyNumberFormat="1" applyFont="1" applyBorder="1" applyAlignment="1">
      <alignment vertical="center"/>
    </xf>
    <xf numFmtId="165" fontId="2" fillId="0" borderId="0" xfId="0" applyNumberFormat="1" applyFont="1"/>
    <xf numFmtId="165" fontId="6" fillId="0" borderId="0" xfId="0" applyNumberFormat="1" applyFont="1" applyAlignment="1">
      <alignment horizontal="right"/>
    </xf>
    <xf numFmtId="169" fontId="19" fillId="0" borderId="1" xfId="0" applyNumberFormat="1" applyFont="1" applyBorder="1" applyAlignment="1">
      <alignment vertical="center"/>
    </xf>
    <xf numFmtId="14" fontId="16" fillId="2" borderId="1" xfId="0" applyNumberFormat="1" applyFont="1" applyFill="1" applyBorder="1" applyAlignment="1">
      <alignment horizontal="center" vertical="center"/>
    </xf>
    <xf numFmtId="165" fontId="16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65" fontId="19" fillId="0" borderId="0" xfId="0" applyNumberFormat="1" applyFont="1" applyAlignment="1">
      <alignment horizontal="center"/>
    </xf>
    <xf numFmtId="14" fontId="6" fillId="0" borderId="0" xfId="0" applyNumberFormat="1" applyFont="1"/>
    <xf numFmtId="0" fontId="23" fillId="0" borderId="0" xfId="0" applyFont="1"/>
    <xf numFmtId="0" fontId="18" fillId="3" borderId="0" xfId="0" applyFont="1" applyFill="1"/>
    <xf numFmtId="165" fontId="15" fillId="0" borderId="0" xfId="0" applyNumberFormat="1" applyFont="1"/>
    <xf numFmtId="165" fontId="15" fillId="0" borderId="0" xfId="0" applyNumberFormat="1" applyFont="1" applyAlignment="1">
      <alignment horizontal="right"/>
    </xf>
    <xf numFmtId="0" fontId="6" fillId="3" borderId="2" xfId="0" applyFont="1" applyFill="1" applyBorder="1"/>
    <xf numFmtId="0" fontId="6" fillId="5" borderId="0" xfId="0" applyFont="1" applyFill="1"/>
    <xf numFmtId="0" fontId="24" fillId="0" borderId="0" xfId="0" applyFont="1"/>
    <xf numFmtId="165" fontId="6" fillId="3" borderId="0" xfId="0" applyNumberFormat="1" applyFont="1" applyFill="1"/>
    <xf numFmtId="0" fontId="25" fillId="0" borderId="0" xfId="0" applyFont="1"/>
    <xf numFmtId="0" fontId="16" fillId="6" borderId="2" xfId="0" applyFont="1" applyFill="1" applyBorder="1"/>
    <xf numFmtId="164" fontId="17" fillId="0" borderId="0" xfId="0" applyNumberFormat="1" applyFont="1" applyAlignment="1">
      <alignment horizontal="right"/>
    </xf>
    <xf numFmtId="164" fontId="17" fillId="3" borderId="2" xfId="0" applyNumberFormat="1" applyFont="1" applyFill="1" applyBorder="1" applyAlignment="1">
      <alignment horizontal="right"/>
    </xf>
    <xf numFmtId="164" fontId="6" fillId="3" borderId="2" xfId="0" applyNumberFormat="1" applyFont="1" applyFill="1" applyBorder="1"/>
    <xf numFmtId="0" fontId="19" fillId="7" borderId="2" xfId="0" applyFont="1" applyFill="1" applyBorder="1"/>
    <xf numFmtId="164" fontId="19" fillId="7" borderId="2" xfId="0" applyNumberFormat="1" applyFont="1" applyFill="1" applyBorder="1" applyAlignment="1">
      <alignment horizontal="right"/>
    </xf>
    <xf numFmtId="0" fontId="14" fillId="0" borderId="1" xfId="0" applyFont="1" applyBorder="1"/>
    <xf numFmtId="165" fontId="17" fillId="4" borderId="1" xfId="0" applyNumberFormat="1" applyFont="1" applyFill="1" applyBorder="1" applyAlignment="1">
      <alignment horizontal="right"/>
    </xf>
    <xf numFmtId="0" fontId="23" fillId="0" borderId="1" xfId="0" applyFont="1" applyBorder="1"/>
    <xf numFmtId="165" fontId="14" fillId="4" borderId="1" xfId="0" applyNumberFormat="1" applyFont="1" applyFill="1" applyBorder="1" applyAlignment="1">
      <alignment horizontal="right"/>
    </xf>
    <xf numFmtId="165" fontId="14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6" fontId="14" fillId="0" borderId="1" xfId="0" applyNumberFormat="1" applyFont="1" applyBorder="1" applyAlignment="1">
      <alignment horizontal="right"/>
    </xf>
    <xf numFmtId="0" fontId="27" fillId="0" borderId="0" xfId="0" applyFont="1"/>
    <xf numFmtId="0" fontId="28" fillId="0" borderId="0" xfId="0" applyFont="1"/>
    <xf numFmtId="0" fontId="29" fillId="8" borderId="0" xfId="0" applyFont="1" applyFill="1"/>
    <xf numFmtId="0" fontId="14" fillId="8" borderId="0" xfId="0" applyFont="1" applyFill="1"/>
    <xf numFmtId="0" fontId="30" fillId="0" borderId="0" xfId="0" applyFont="1"/>
    <xf numFmtId="164" fontId="31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10" fontId="14" fillId="0" borderId="0" xfId="0" applyNumberFormat="1" applyFont="1" applyAlignment="1">
      <alignment horizontal="right"/>
    </xf>
    <xf numFmtId="0" fontId="32" fillId="0" borderId="0" xfId="0" applyFont="1"/>
    <xf numFmtId="0" fontId="33" fillId="0" borderId="0" xfId="0" applyFont="1" applyAlignment="1">
      <alignment horizontal="right"/>
    </xf>
    <xf numFmtId="165" fontId="33" fillId="0" borderId="0" xfId="0" applyNumberFormat="1" applyFont="1" applyAlignment="1">
      <alignment horizontal="right"/>
    </xf>
    <xf numFmtId="0" fontId="34" fillId="0" borderId="0" xfId="0" applyFont="1" applyAlignment="1">
      <alignment horizontal="right"/>
    </xf>
    <xf numFmtId="0" fontId="15" fillId="9" borderId="0" xfId="0" applyFont="1" applyFill="1"/>
    <xf numFmtId="0" fontId="15" fillId="9" borderId="0" xfId="0" applyFont="1" applyFill="1" applyAlignment="1">
      <alignment horizontal="center"/>
    </xf>
    <xf numFmtId="0" fontId="36" fillId="8" borderId="0" xfId="0" applyFont="1" applyFill="1" applyAlignment="1">
      <alignment horizontal="center"/>
    </xf>
    <xf numFmtId="0" fontId="3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10" borderId="0" xfId="0" applyFont="1" applyFill="1"/>
    <xf numFmtId="0" fontId="14" fillId="10" borderId="0" xfId="0" applyFont="1" applyFill="1"/>
    <xf numFmtId="170" fontId="14" fillId="0" borderId="0" xfId="0" applyNumberFormat="1" applyFont="1" applyAlignment="1">
      <alignment horizontal="center"/>
    </xf>
    <xf numFmtId="170" fontId="15" fillId="0" borderId="0" xfId="0" applyNumberFormat="1" applyFont="1" applyAlignment="1">
      <alignment horizontal="center"/>
    </xf>
    <xf numFmtId="0" fontId="15" fillId="11" borderId="0" xfId="0" applyFont="1" applyFill="1"/>
    <xf numFmtId="0" fontId="14" fillId="11" borderId="0" xfId="0" applyFont="1" applyFill="1"/>
    <xf numFmtId="164" fontId="14" fillId="0" borderId="0" xfId="0" applyNumberFormat="1" applyFont="1" applyAlignment="1">
      <alignment horizontal="center"/>
    </xf>
    <xf numFmtId="0" fontId="15" fillId="12" borderId="0" xfId="0" applyFont="1" applyFill="1"/>
    <xf numFmtId="0" fontId="14" fillId="12" borderId="0" xfId="0" applyFont="1" applyFill="1"/>
    <xf numFmtId="170" fontId="38" fillId="0" borderId="0" xfId="0" applyNumberFormat="1" applyFont="1" applyAlignment="1">
      <alignment horizontal="center"/>
    </xf>
    <xf numFmtId="170" fontId="39" fillId="0" borderId="0" xfId="0" applyNumberFormat="1" applyFont="1" applyAlignment="1">
      <alignment horizontal="center"/>
    </xf>
    <xf numFmtId="166" fontId="14" fillId="0" borderId="0" xfId="0" applyNumberFormat="1" applyFont="1" applyAlignment="1">
      <alignment horizontal="center"/>
    </xf>
    <xf numFmtId="166" fontId="15" fillId="0" borderId="0" xfId="0" applyNumberFormat="1" applyFont="1" applyAlignment="1">
      <alignment horizontal="center"/>
    </xf>
    <xf numFmtId="0" fontId="15" fillId="4" borderId="0" xfId="0" applyFont="1" applyFill="1" applyAlignment="1">
      <alignment horizontal="center"/>
    </xf>
    <xf numFmtId="0" fontId="40" fillId="0" borderId="0" xfId="0" applyFont="1"/>
    <xf numFmtId="170" fontId="41" fillId="0" borderId="0" xfId="0" applyNumberFormat="1" applyFont="1" applyAlignment="1">
      <alignment horizontal="center"/>
    </xf>
    <xf numFmtId="170" fontId="40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0" fontId="42" fillId="0" borderId="0" xfId="0" applyFont="1"/>
    <xf numFmtId="170" fontId="15" fillId="9" borderId="0" xfId="0" applyNumberFormat="1" applyFont="1" applyFill="1" applyAlignment="1">
      <alignment horizontal="center"/>
    </xf>
    <xf numFmtId="170" fontId="15" fillId="4" borderId="0" xfId="0" applyNumberFormat="1" applyFont="1" applyFill="1" applyAlignment="1">
      <alignment horizontal="center"/>
    </xf>
    <xf numFmtId="170" fontId="43" fillId="0" borderId="0" xfId="0" applyNumberFormat="1" applyFont="1" applyAlignment="1">
      <alignment horizontal="center"/>
    </xf>
    <xf numFmtId="0" fontId="44" fillId="13" borderId="2" xfId="0" applyFont="1" applyFill="1" applyBorder="1" applyAlignment="1">
      <alignment horizontal="center"/>
    </xf>
    <xf numFmtId="168" fontId="6" fillId="0" borderId="0" xfId="0" applyNumberFormat="1" applyFont="1"/>
    <xf numFmtId="0" fontId="45" fillId="14" borderId="3" xfId="0" applyFont="1" applyFill="1" applyBorder="1"/>
    <xf numFmtId="0" fontId="36" fillId="15" borderId="4" xfId="0" applyFont="1" applyFill="1" applyBorder="1" applyAlignment="1">
      <alignment horizontal="center"/>
    </xf>
    <xf numFmtId="0" fontId="36" fillId="15" borderId="5" xfId="0" applyFont="1" applyFill="1" applyBorder="1" applyAlignment="1">
      <alignment horizontal="center"/>
    </xf>
    <xf numFmtId="0" fontId="36" fillId="16" borderId="5" xfId="0" applyFont="1" applyFill="1" applyBorder="1" applyAlignment="1">
      <alignment horizontal="center"/>
    </xf>
    <xf numFmtId="0" fontId="36" fillId="15" borderId="6" xfId="0" applyFont="1" applyFill="1" applyBorder="1" applyAlignment="1">
      <alignment horizontal="center"/>
    </xf>
    <xf numFmtId="168" fontId="36" fillId="16" borderId="0" xfId="0" applyNumberFormat="1" applyFont="1" applyFill="1" applyAlignment="1">
      <alignment horizontal="center"/>
    </xf>
    <xf numFmtId="168" fontId="36" fillId="16" borderId="2" xfId="0" applyNumberFormat="1" applyFont="1" applyFill="1" applyBorder="1" applyAlignment="1">
      <alignment horizontal="center"/>
    </xf>
    <xf numFmtId="173" fontId="6" fillId="0" borderId="0" xfId="0" applyNumberFormat="1" applyFont="1"/>
    <xf numFmtId="173" fontId="3" fillId="0" borderId="0" xfId="0" applyNumberFormat="1" applyFont="1"/>
    <xf numFmtId="9" fontId="6" fillId="0" borderId="0" xfId="0" applyNumberFormat="1" applyFont="1"/>
    <xf numFmtId="170" fontId="2" fillId="0" borderId="0" xfId="0" applyNumberFormat="1" applyFont="1"/>
    <xf numFmtId="170" fontId="6" fillId="0" borderId="0" xfId="0" applyNumberFormat="1" applyFont="1"/>
    <xf numFmtId="49" fontId="6" fillId="0" borderId="0" xfId="0" applyNumberFormat="1" applyFont="1"/>
    <xf numFmtId="49" fontId="46" fillId="16" borderId="2" xfId="0" applyNumberFormat="1" applyFont="1" applyFill="1" applyBorder="1" applyAlignment="1">
      <alignment horizontal="center"/>
    </xf>
    <xf numFmtId="0" fontId="47" fillId="0" borderId="0" xfId="0" applyFont="1"/>
    <xf numFmtId="0" fontId="36" fillId="16" borderId="7" xfId="0" applyFont="1" applyFill="1" applyBorder="1" applyAlignment="1">
      <alignment horizontal="center"/>
    </xf>
    <xf numFmtId="0" fontId="36" fillId="17" borderId="7" xfId="0" applyFont="1" applyFill="1" applyBorder="1" applyAlignment="1">
      <alignment horizontal="center"/>
    </xf>
    <xf numFmtId="0" fontId="36" fillId="18" borderId="7" xfId="0" applyFont="1" applyFill="1" applyBorder="1" applyAlignment="1">
      <alignment horizontal="center"/>
    </xf>
    <xf numFmtId="0" fontId="36" fillId="16" borderId="2" xfId="0" applyFont="1" applyFill="1" applyBorder="1" applyAlignment="1">
      <alignment horizontal="center"/>
    </xf>
    <xf numFmtId="0" fontId="36" fillId="16" borderId="8" xfId="0" applyFont="1" applyFill="1" applyBorder="1" applyAlignment="1">
      <alignment horizontal="center" wrapText="1"/>
    </xf>
    <xf numFmtId="0" fontId="37" fillId="19" borderId="2" xfId="0" applyFont="1" applyFill="1" applyBorder="1"/>
    <xf numFmtId="1" fontId="37" fillId="19" borderId="2" xfId="0" applyNumberFormat="1" applyFont="1" applyFill="1" applyBorder="1"/>
    <xf numFmtId="174" fontId="6" fillId="0" borderId="0" xfId="0" applyNumberFormat="1" applyFont="1"/>
    <xf numFmtId="168" fontId="14" fillId="0" borderId="0" xfId="0" applyNumberFormat="1" applyFont="1"/>
    <xf numFmtId="168" fontId="2" fillId="20" borderId="2" xfId="0" applyNumberFormat="1" applyFont="1" applyFill="1" applyBorder="1"/>
    <xf numFmtId="168" fontId="2" fillId="14" borderId="2" xfId="0" applyNumberFormat="1" applyFont="1" applyFill="1" applyBorder="1"/>
    <xf numFmtId="0" fontId="6" fillId="0" borderId="8" xfId="0" applyFont="1" applyBorder="1" applyAlignment="1">
      <alignment wrapText="1"/>
    </xf>
    <xf numFmtId="0" fontId="6" fillId="21" borderId="8" xfId="0" applyFont="1" applyFill="1" applyBorder="1" applyAlignment="1">
      <alignment wrapText="1"/>
    </xf>
    <xf numFmtId="0" fontId="6" fillId="21" borderId="8" xfId="0" applyFont="1" applyFill="1" applyBorder="1" applyAlignment="1">
      <alignment horizontal="right" wrapText="1"/>
    </xf>
    <xf numFmtId="168" fontId="5" fillId="0" borderId="0" xfId="0" applyNumberFormat="1" applyFont="1"/>
    <xf numFmtId="9" fontId="6" fillId="4" borderId="0" xfId="0" applyNumberFormat="1" applyFont="1" applyFill="1"/>
    <xf numFmtId="168" fontId="6" fillId="4" borderId="0" xfId="0" applyNumberFormat="1" applyFont="1" applyFill="1"/>
    <xf numFmtId="168" fontId="6" fillId="21" borderId="0" xfId="0" applyNumberFormat="1" applyFont="1" applyFill="1"/>
    <xf numFmtId="0" fontId="6" fillId="21" borderId="0" xfId="0" applyFont="1" applyFill="1" applyAlignment="1">
      <alignment horizontal="right" wrapText="1"/>
    </xf>
    <xf numFmtId="174" fontId="48" fillId="0" borderId="0" xfId="0" applyNumberFormat="1" applyFont="1"/>
    <xf numFmtId="168" fontId="48" fillId="0" borderId="0" xfId="0" applyNumberFormat="1" applyFont="1"/>
    <xf numFmtId="168" fontId="6" fillId="5" borderId="0" xfId="0" applyNumberFormat="1" applyFont="1" applyFill="1"/>
    <xf numFmtId="0" fontId="6" fillId="0" borderId="0" xfId="0" applyFont="1" applyAlignment="1">
      <alignment horizontal="right" wrapText="1"/>
    </xf>
    <xf numFmtId="0" fontId="6" fillId="0" borderId="8" xfId="0" applyFont="1" applyBorder="1" applyAlignment="1">
      <alignment horizontal="right" wrapText="1"/>
    </xf>
    <xf numFmtId="0" fontId="36" fillId="17" borderId="9" xfId="0" applyFont="1" applyFill="1" applyBorder="1" applyAlignment="1">
      <alignment horizontal="right"/>
    </xf>
    <xf numFmtId="0" fontId="6" fillId="17" borderId="9" xfId="0" applyFont="1" applyFill="1" applyBorder="1"/>
    <xf numFmtId="1" fontId="36" fillId="17" borderId="9" xfId="0" applyNumberFormat="1" applyFont="1" applyFill="1" applyBorder="1"/>
    <xf numFmtId="173" fontId="36" fillId="17" borderId="9" xfId="0" applyNumberFormat="1" applyFont="1" applyFill="1" applyBorder="1"/>
    <xf numFmtId="173" fontId="2" fillId="0" borderId="0" xfId="0" applyNumberFormat="1" applyFont="1"/>
    <xf numFmtId="0" fontId="46" fillId="22" borderId="2" xfId="0" applyFont="1" applyFill="1" applyBorder="1" applyAlignment="1">
      <alignment horizontal="center"/>
    </xf>
    <xf numFmtId="0" fontId="2" fillId="23" borderId="2" xfId="0" applyFont="1" applyFill="1" applyBorder="1"/>
    <xf numFmtId="1" fontId="2" fillId="0" borderId="0" xfId="0" applyNumberFormat="1" applyFont="1" applyAlignment="1">
      <alignment horizontal="right"/>
    </xf>
    <xf numFmtId="0" fontId="2" fillId="24" borderId="2" xfId="0" applyFont="1" applyFill="1" applyBorder="1"/>
    <xf numFmtId="0" fontId="2" fillId="25" borderId="2" xfId="0" applyFont="1" applyFill="1" applyBorder="1"/>
    <xf numFmtId="173" fontId="2" fillId="0" borderId="0" xfId="0" applyNumberFormat="1" applyFont="1" applyAlignment="1">
      <alignment horizontal="right"/>
    </xf>
    <xf numFmtId="0" fontId="6" fillId="26" borderId="2" xfId="0" applyFont="1" applyFill="1" applyBorder="1"/>
    <xf numFmtId="173" fontId="6" fillId="0" borderId="0" xfId="0" applyNumberFormat="1" applyFont="1" applyAlignment="1">
      <alignment horizontal="right"/>
    </xf>
    <xf numFmtId="0" fontId="2" fillId="27" borderId="2" xfId="0" applyFont="1" applyFill="1" applyBorder="1"/>
    <xf numFmtId="168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73" fontId="49" fillId="0" borderId="0" xfId="0" applyNumberFormat="1" applyFont="1" applyAlignment="1">
      <alignment horizontal="right"/>
    </xf>
    <xf numFmtId="9" fontId="2" fillId="0" borderId="0" xfId="0" applyNumberFormat="1" applyFont="1"/>
    <xf numFmtId="168" fontId="18" fillId="0" borderId="0" xfId="0" applyNumberFormat="1" applyFont="1"/>
    <xf numFmtId="0" fontId="2" fillId="28" borderId="2" xfId="0" applyFont="1" applyFill="1" applyBorder="1"/>
    <xf numFmtId="0" fontId="2" fillId="26" borderId="2" xfId="0" applyFont="1" applyFill="1" applyBorder="1" applyAlignment="1">
      <alignment horizontal="center"/>
    </xf>
    <xf numFmtId="0" fontId="50" fillId="0" borderId="0" xfId="0" applyFont="1"/>
    <xf numFmtId="169" fontId="14" fillId="0" borderId="0" xfId="0" applyNumberFormat="1" applyFont="1" applyAlignment="1">
      <alignment horizontal="right"/>
    </xf>
    <xf numFmtId="165" fontId="14" fillId="4" borderId="0" xfId="0" applyNumberFormat="1" applyFont="1" applyFill="1" applyAlignment="1">
      <alignment horizontal="right"/>
    </xf>
    <xf numFmtId="0" fontId="26" fillId="0" borderId="0" xfId="0" applyFont="1"/>
    <xf numFmtId="0" fontId="0" fillId="0" borderId="0" xfId="0"/>
    <xf numFmtId="0" fontId="25" fillId="0" borderId="0" xfId="0" applyFont="1"/>
    <xf numFmtId="0" fontId="4" fillId="0" borderId="0" xfId="0" applyFont="1"/>
    <xf numFmtId="0" fontId="9" fillId="0" borderId="0" xfId="0" applyFont="1"/>
    <xf numFmtId="0" fontId="14" fillId="0" borderId="0" xfId="0" applyFont="1"/>
    <xf numFmtId="0" fontId="35" fillId="0" borderId="0" xfId="0" applyFont="1"/>
    <xf numFmtId="0" fontId="29" fillId="8" borderId="0" xfId="0" applyFont="1" applyFill="1"/>
  </cellXfs>
  <cellStyles count="1">
    <cellStyle name="Normal" xfId="0" builtinId="0"/>
  </cellStyles>
  <dxfs count="20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4C7C3"/>
          <bgColor rgb="FFF4C7C3"/>
        </patternFill>
      </fill>
    </dxf>
    <dxf>
      <font>
        <color rgb="FF000000"/>
      </font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Pedidos Proveedores-style" pivot="0" count="3" xr9:uid="{00000000-0011-0000-FFFF-FFFF00000000}">
      <tableStyleElement type="headerRow" dxfId="19"/>
      <tableStyleElement type="firstRowStripe" dxfId="18"/>
      <tableStyleElement type="secondRowStripe" dxfId="17"/>
    </tableStyle>
    <tableStyle name="Cotizador-style" pivot="0" count="3" xr9:uid="{00000000-0011-0000-FFFF-FFFF01000000}"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23">
  <tableColumns count="9">
    <tableColumn id="1" xr3:uid="{00000000-0010-0000-0000-000001000000}" name="Fecha Pedido"/>
    <tableColumn id="2" xr3:uid="{00000000-0010-0000-0000-000002000000}" name="Proveedor"/>
    <tableColumn id="3" xr3:uid="{00000000-0010-0000-0000-000003000000}" name="Descripción"/>
    <tableColumn id="4" xr3:uid="{00000000-0010-0000-0000-000004000000}" name="Unidades"/>
    <tableColumn id="5" xr3:uid="{00000000-0010-0000-0000-000005000000}" name="Costo Unit."/>
    <tableColumn id="6" xr3:uid="{00000000-0010-0000-0000-000006000000}" name="Total"/>
    <tableColumn id="7" xr3:uid="{00000000-0010-0000-0000-000007000000}" name="Estado Pago"/>
    <tableColumn id="8" xr3:uid="{00000000-0010-0000-0000-000008000000}" name="Fecha Pago"/>
    <tableColumn id="9" xr3:uid="{00000000-0010-0000-0000-000009000000}" name="Notas"/>
  </tableColumns>
  <tableStyleInfo name="Pedidos Proveedor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4:AB43">
  <tableColumns count="28">
    <tableColumn id="1" xr3:uid="{00000000-0010-0000-0100-000001000000}" name="Tipo Producto"/>
    <tableColumn id="2" xr3:uid="{00000000-0010-0000-0100-000002000000}" name="Proveedor"/>
    <tableColumn id="3" xr3:uid="{00000000-0010-0000-0100-000003000000}" name="Costo Base"/>
    <tableColumn id="4" xr3:uid="{00000000-0010-0000-0100-000004000000}" name="Estampado Punto Corazón"/>
    <tableColumn id="5" xr3:uid="{00000000-0010-0000-0100-000005000000}" name="Bordado Punto Corazón"/>
    <tableColumn id="6" xr3:uid="{00000000-0010-0000-0100-000006000000}" name="Estampado Completo"/>
    <tableColumn id="7" xr3:uid="{00000000-0010-0000-0100-000007000000}" name="Etiquetas"/>
    <tableColumn id="8" xr3:uid="{00000000-0010-0000-0100-000008000000}" name="Empaque"/>
    <tableColumn id="9" xr3:uid="{00000000-0010-0000-0100-000009000000}" name="Costo Unitario"/>
    <tableColumn id="10" xr3:uid="{00000000-0010-0000-0100-00000A000000}" name="Precio Venta Unitario"/>
    <tableColumn id="11" xr3:uid="{00000000-0010-0000-0100-00000B000000}" name="Ganancia"/>
    <tableColumn id="12" xr3:uid="{00000000-0010-0000-0100-00000C000000}" name="Margen"/>
    <tableColumn id="13" xr3:uid="{00000000-0010-0000-0100-00000D000000}" name="Precio unitario x3"/>
    <tableColumn id="14" xr3:uid="{00000000-0010-0000-0100-00000E000000}" name="Precio x3"/>
    <tableColumn id="15" xr3:uid="{00000000-0010-0000-0100-00000F000000}" name="Ganancia x3"/>
    <tableColumn id="16" xr3:uid="{00000000-0010-0000-0100-000010000000}" name="Margen x3"/>
    <tableColumn id="17" xr3:uid="{00000000-0010-0000-0100-000011000000}" name="Precio unitario x6"/>
    <tableColumn id="18" xr3:uid="{00000000-0010-0000-0100-000012000000}" name="Precio x6"/>
    <tableColumn id="19" xr3:uid="{00000000-0010-0000-0100-000013000000}" name="Ganancia x6"/>
    <tableColumn id="20" xr3:uid="{00000000-0010-0000-0100-000014000000}" name="Margen x6"/>
    <tableColumn id="21" xr3:uid="{00000000-0010-0000-0100-000015000000}" name="Precio Unit x12"/>
    <tableColumn id="22" xr3:uid="{00000000-0010-0000-0100-000016000000}" name="Precio x12"/>
    <tableColumn id="23" xr3:uid="{00000000-0010-0000-0100-000017000000}" name="Ganancia x12"/>
    <tableColumn id="24" xr3:uid="{00000000-0010-0000-0100-000018000000}" name="Margen x12"/>
    <tableColumn id="25" xr3:uid="{00000000-0010-0000-0100-000019000000}" name="Precio Unit x60 +"/>
    <tableColumn id="26" xr3:uid="{00000000-0010-0000-0100-00001A000000}" name="Precio x60 +"/>
    <tableColumn id="27" xr3:uid="{00000000-0010-0000-0100-00001B000000}" name="Ganancia x60 +"/>
    <tableColumn id="28" xr3:uid="{00000000-0010-0000-0100-00001C000000}" name="Margen x60 +"/>
  </tableColumns>
  <tableStyleInfo name="Cotizado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://orvann.co/" TargetMode="External"/><Relationship Id="rId1" Type="http://schemas.openxmlformats.org/officeDocument/2006/relationships/hyperlink" Target="http://orvann.co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CAF50"/>
  </sheetPr>
  <dimension ref="A1:O1000"/>
  <sheetViews>
    <sheetView workbookViewId="0"/>
  </sheetViews>
  <sheetFormatPr baseColWidth="10" defaultColWidth="14.44140625" defaultRowHeight="15" customHeight="1" x14ac:dyDescent="0.3"/>
  <cols>
    <col min="1" max="1" width="44.33203125" customWidth="1"/>
    <col min="2" max="2" width="16" customWidth="1"/>
    <col min="3" max="3" width="106.109375" customWidth="1"/>
    <col min="4" max="4" width="12.33203125" customWidth="1"/>
    <col min="5" max="5" width="45.5546875" customWidth="1"/>
    <col min="6" max="6" width="8.6640625" customWidth="1"/>
    <col min="7" max="7" width="12.44140625" customWidth="1"/>
    <col min="8" max="8" width="7.109375" customWidth="1"/>
    <col min="9" max="9" width="7.33203125" customWidth="1"/>
    <col min="10" max="10" width="9.6640625" customWidth="1"/>
    <col min="11" max="11" width="7.109375" customWidth="1"/>
    <col min="12" max="12" width="7.6640625" customWidth="1"/>
    <col min="13" max="13" width="7.5546875" customWidth="1"/>
    <col min="14" max="14" width="9" customWidth="1"/>
    <col min="15" max="15" width="10.33203125" customWidth="1"/>
    <col min="16" max="22" width="8.6640625" customWidth="1"/>
  </cols>
  <sheetData>
    <row r="1" spans="1:15" ht="21.75" customHeight="1" x14ac:dyDescent="0.35">
      <c r="A1" s="1" t="s">
        <v>0</v>
      </c>
      <c r="E1" s="2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</row>
    <row r="2" spans="1:15" ht="14.25" customHeight="1" x14ac:dyDescent="0.3">
      <c r="A2" s="4" t="s">
        <v>9</v>
      </c>
      <c r="B2" s="5">
        <v>46131</v>
      </c>
      <c r="E2" s="6" t="s">
        <v>10</v>
      </c>
      <c r="G2" s="7"/>
      <c r="M2" s="8"/>
    </row>
    <row r="3" spans="1:15" ht="14.25" customHeight="1" x14ac:dyDescent="0.3">
      <c r="E3" s="6" t="s">
        <v>11</v>
      </c>
      <c r="G3" s="7" t="s">
        <v>12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14</v>
      </c>
      <c r="O3" s="8" t="s">
        <v>13</v>
      </c>
    </row>
    <row r="4" spans="1:15" ht="14.25" customHeight="1" x14ac:dyDescent="0.3">
      <c r="A4" s="11" t="s">
        <v>15</v>
      </c>
      <c r="E4" s="6" t="s">
        <v>16</v>
      </c>
      <c r="G4" s="7" t="s">
        <v>17</v>
      </c>
      <c r="H4" s="9" t="s">
        <v>13</v>
      </c>
      <c r="I4" s="9" t="s">
        <v>13</v>
      </c>
      <c r="J4" s="9" t="s">
        <v>13</v>
      </c>
      <c r="K4" s="9" t="s">
        <v>13</v>
      </c>
      <c r="L4" s="9" t="s">
        <v>13</v>
      </c>
      <c r="M4" s="10" t="s">
        <v>14</v>
      </c>
      <c r="O4" s="12" t="s">
        <v>18</v>
      </c>
    </row>
    <row r="5" spans="1:15" ht="14.25" customHeight="1" x14ac:dyDescent="0.3">
      <c r="A5" s="6" t="s">
        <v>19</v>
      </c>
      <c r="B5" s="13">
        <f>Inventario!J2</f>
        <v>7194000</v>
      </c>
      <c r="E5" s="6" t="s">
        <v>20</v>
      </c>
      <c r="G5" s="7" t="s">
        <v>21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14</v>
      </c>
      <c r="O5" s="10" t="s">
        <v>22</v>
      </c>
    </row>
    <row r="6" spans="1:15" ht="14.25" customHeight="1" x14ac:dyDescent="0.3">
      <c r="A6" s="6" t="s">
        <v>23</v>
      </c>
      <c r="B6" s="13">
        <f>Inventario!K2</f>
        <v>14780000</v>
      </c>
      <c r="E6" s="6" t="s">
        <v>24</v>
      </c>
      <c r="G6" s="7" t="s">
        <v>25</v>
      </c>
      <c r="H6" s="9" t="s">
        <v>13</v>
      </c>
      <c r="I6" s="9" t="s">
        <v>13</v>
      </c>
      <c r="J6" s="9" t="s">
        <v>13</v>
      </c>
      <c r="K6" s="9" t="s">
        <v>13</v>
      </c>
      <c r="L6" s="9" t="s">
        <v>13</v>
      </c>
      <c r="M6" s="10" t="s">
        <v>14</v>
      </c>
    </row>
    <row r="7" spans="1:15" ht="14.25" customHeight="1" x14ac:dyDescent="0.3">
      <c r="A7" s="6" t="s">
        <v>26</v>
      </c>
      <c r="B7" s="13">
        <f ca="1">SUMIF(Ventas!A:A,"&gt;="&amp;DATE(YEAR(TODAY()),MONTH(TODAY()),1),Ventas!E:E)</f>
        <v>3120000</v>
      </c>
      <c r="E7" s="6" t="s">
        <v>27</v>
      </c>
      <c r="G7" s="7" t="s">
        <v>28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14</v>
      </c>
    </row>
    <row r="8" spans="1:15" ht="14.25" customHeight="1" x14ac:dyDescent="0.3">
      <c r="A8" s="6" t="s">
        <v>29</v>
      </c>
      <c r="B8" s="13">
        <f ca="1">SUMIF(Gastos!A:A,"&gt;="&amp;DATE(YEAR(TODAY()),MONTH(TODAY()),1),Gastos!C:C)</f>
        <v>5073445</v>
      </c>
      <c r="E8" s="6" t="s">
        <v>30</v>
      </c>
      <c r="G8" s="7" t="s">
        <v>31</v>
      </c>
      <c r="H8" s="9" t="s">
        <v>13</v>
      </c>
      <c r="I8" s="9" t="s">
        <v>13</v>
      </c>
      <c r="J8" s="9" t="s">
        <v>13</v>
      </c>
      <c r="K8" s="9" t="s">
        <v>13</v>
      </c>
      <c r="L8" s="9" t="s">
        <v>13</v>
      </c>
      <c r="M8" s="10" t="s">
        <v>14</v>
      </c>
    </row>
    <row r="9" spans="1:15" ht="14.25" customHeight="1" x14ac:dyDescent="0.3">
      <c r="A9" s="6" t="s">
        <v>32</v>
      </c>
      <c r="B9" s="13">
        <f>SUMIF('Pedidos Proveedores'!G:G,"Pendiente",'Pedidos Proveedores'!F:F)</f>
        <v>0</v>
      </c>
      <c r="E9" s="6" t="s">
        <v>33</v>
      </c>
      <c r="G9" s="7" t="s">
        <v>34</v>
      </c>
      <c r="H9" s="9" t="s">
        <v>13</v>
      </c>
      <c r="I9" s="9" t="s">
        <v>13</v>
      </c>
      <c r="J9" s="9" t="s">
        <v>13</v>
      </c>
      <c r="K9" s="9" t="s">
        <v>13</v>
      </c>
      <c r="L9" s="8" t="s">
        <v>14</v>
      </c>
      <c r="M9" s="10" t="s">
        <v>14</v>
      </c>
    </row>
    <row r="10" spans="1:15" ht="14.25" customHeight="1" x14ac:dyDescent="0.3">
      <c r="A10" s="6" t="s">
        <v>35</v>
      </c>
      <c r="B10" s="13">
        <f ca="1">B7-SUMIF(Ventas!A:A,"&gt;="&amp;DATE(YEAR(TODAY()),MONTH(TODAY()),1),Ventas!D:D)-B8</f>
        <v>-3347445</v>
      </c>
      <c r="E10" s="6" t="s">
        <v>36</v>
      </c>
      <c r="G10" s="7" t="s">
        <v>37</v>
      </c>
      <c r="H10" s="8" t="s">
        <v>14</v>
      </c>
      <c r="I10" s="8" t="s">
        <v>14</v>
      </c>
      <c r="J10" s="8" t="s">
        <v>14</v>
      </c>
      <c r="K10" s="8" t="s">
        <v>14</v>
      </c>
      <c r="L10" s="8" t="s">
        <v>14</v>
      </c>
      <c r="M10" s="10" t="s">
        <v>14</v>
      </c>
    </row>
    <row r="11" spans="1:15" ht="14.25" customHeight="1" x14ac:dyDescent="0.3">
      <c r="A11" s="14" t="s">
        <v>38</v>
      </c>
      <c r="B11" s="15">
        <f>SUM(Ventas!E2:E1002)</f>
        <v>11278000</v>
      </c>
      <c r="E11" s="6" t="s">
        <v>39</v>
      </c>
      <c r="G11" s="7" t="s">
        <v>40</v>
      </c>
      <c r="H11" s="9" t="s">
        <v>18</v>
      </c>
      <c r="I11" s="9" t="s">
        <v>18</v>
      </c>
      <c r="J11" s="9" t="s">
        <v>18</v>
      </c>
      <c r="K11" s="8" t="s">
        <v>14</v>
      </c>
      <c r="L11" s="12" t="s">
        <v>14</v>
      </c>
      <c r="M11" s="10" t="s">
        <v>14</v>
      </c>
    </row>
    <row r="12" spans="1:15" ht="14.25" customHeight="1" x14ac:dyDescent="0.3">
      <c r="A12" s="14" t="s">
        <v>41</v>
      </c>
      <c r="B12" s="16">
        <f>SUM(Gastos!C2:C1010)</f>
        <v>39686865</v>
      </c>
      <c r="E12" s="6" t="s">
        <v>42</v>
      </c>
      <c r="G12" s="7" t="s">
        <v>43</v>
      </c>
      <c r="H12" s="9" t="s">
        <v>18</v>
      </c>
      <c r="I12" s="9" t="s">
        <v>18</v>
      </c>
      <c r="J12" s="9" t="s">
        <v>18</v>
      </c>
      <c r="K12" s="8" t="s">
        <v>14</v>
      </c>
      <c r="L12" s="12" t="s">
        <v>14</v>
      </c>
      <c r="M12" s="10" t="s">
        <v>14</v>
      </c>
    </row>
    <row r="13" spans="1:15" ht="14.25" customHeight="1" x14ac:dyDescent="0.3">
      <c r="A13" s="14" t="s">
        <v>44</v>
      </c>
      <c r="B13" s="15">
        <f>B11-B12</f>
        <v>-28408865</v>
      </c>
      <c r="E13" s="6" t="s">
        <v>45</v>
      </c>
      <c r="G13" s="7" t="s">
        <v>46</v>
      </c>
      <c r="H13" s="9" t="s">
        <v>18</v>
      </c>
      <c r="I13" s="9" t="s">
        <v>18</v>
      </c>
      <c r="J13" s="9" t="s">
        <v>18</v>
      </c>
      <c r="K13" s="9" t="s">
        <v>18</v>
      </c>
      <c r="L13" s="12" t="s">
        <v>14</v>
      </c>
      <c r="M13" s="10" t="s">
        <v>14</v>
      </c>
    </row>
    <row r="14" spans="1:15" ht="14.25" customHeight="1" x14ac:dyDescent="0.3">
      <c r="E14" s="6" t="s">
        <v>47</v>
      </c>
      <c r="G14" s="7" t="s">
        <v>48</v>
      </c>
      <c r="H14" s="9" t="s">
        <v>18</v>
      </c>
      <c r="I14" s="9" t="s">
        <v>18</v>
      </c>
      <c r="J14" s="9" t="s">
        <v>18</v>
      </c>
      <c r="K14" s="9" t="s">
        <v>18</v>
      </c>
      <c r="L14" s="12" t="s">
        <v>14</v>
      </c>
      <c r="M14" s="10" t="s">
        <v>14</v>
      </c>
    </row>
    <row r="15" spans="1:15" ht="14.25" customHeight="1" x14ac:dyDescent="0.3">
      <c r="A15" s="11" t="s">
        <v>49</v>
      </c>
      <c r="E15" s="6" t="s">
        <v>50</v>
      </c>
      <c r="G15" s="7" t="s">
        <v>51</v>
      </c>
      <c r="H15" s="9" t="s">
        <v>18</v>
      </c>
      <c r="I15" s="9" t="s">
        <v>18</v>
      </c>
      <c r="J15" s="9" t="s">
        <v>18</v>
      </c>
      <c r="K15" s="9" t="s">
        <v>18</v>
      </c>
      <c r="L15" s="12" t="s">
        <v>14</v>
      </c>
      <c r="M15" s="10" t="s">
        <v>14</v>
      </c>
    </row>
    <row r="16" spans="1:15" ht="14.25" customHeight="1" x14ac:dyDescent="0.3">
      <c r="A16" s="6" t="s">
        <v>52</v>
      </c>
      <c r="B16" s="6">
        <f>COUNTIF(Inventario!K:K,"&lt;3")-1</f>
        <v>87</v>
      </c>
      <c r="E16" s="6" t="s">
        <v>53</v>
      </c>
      <c r="G16" s="7" t="s">
        <v>54</v>
      </c>
      <c r="H16" s="9" t="s">
        <v>18</v>
      </c>
      <c r="I16" s="9" t="s">
        <v>18</v>
      </c>
      <c r="J16" s="9" t="s">
        <v>18</v>
      </c>
      <c r="K16" s="9" t="s">
        <v>18</v>
      </c>
      <c r="L16" s="12" t="s">
        <v>14</v>
      </c>
      <c r="M16" s="10" t="s">
        <v>14</v>
      </c>
    </row>
    <row r="17" spans="1:13" ht="14.25" customHeight="1" x14ac:dyDescent="0.3">
      <c r="A17" s="6" t="s">
        <v>55</v>
      </c>
      <c r="B17" s="6">
        <f>COUNTIF('Pedidos Proveedores'!G:G,"Pendiente")</f>
        <v>0</v>
      </c>
      <c r="E17" s="6" t="s">
        <v>56</v>
      </c>
      <c r="G17" s="7" t="s">
        <v>57</v>
      </c>
      <c r="H17" s="9" t="s">
        <v>18</v>
      </c>
      <c r="I17" s="9" t="s">
        <v>18</v>
      </c>
      <c r="J17" s="9" t="s">
        <v>18</v>
      </c>
      <c r="K17" s="9" t="s">
        <v>18</v>
      </c>
      <c r="L17" s="12" t="s">
        <v>14</v>
      </c>
      <c r="M17" s="10" t="s">
        <v>14</v>
      </c>
    </row>
    <row r="18" spans="1:13" ht="14.25" customHeight="1" x14ac:dyDescent="0.3">
      <c r="E18" s="6" t="s">
        <v>58</v>
      </c>
      <c r="G18" s="7" t="s">
        <v>59</v>
      </c>
      <c r="H18" s="9" t="s">
        <v>18</v>
      </c>
      <c r="I18" s="9" t="s">
        <v>18</v>
      </c>
      <c r="J18" s="9" t="s">
        <v>18</v>
      </c>
      <c r="K18" s="9" t="s">
        <v>18</v>
      </c>
      <c r="L18" s="12" t="s">
        <v>14</v>
      </c>
      <c r="M18" s="10" t="s">
        <v>14</v>
      </c>
    </row>
    <row r="19" spans="1:13" ht="14.25" customHeight="1" x14ac:dyDescent="0.3">
      <c r="E19" s="6" t="s">
        <v>60</v>
      </c>
      <c r="G19" s="7" t="s">
        <v>61</v>
      </c>
      <c r="H19" s="9" t="s">
        <v>18</v>
      </c>
      <c r="I19" s="9" t="s">
        <v>18</v>
      </c>
      <c r="J19" s="9" t="s">
        <v>18</v>
      </c>
      <c r="K19" s="9" t="s">
        <v>18</v>
      </c>
      <c r="L19" s="12" t="s">
        <v>14</v>
      </c>
      <c r="M19" s="10" t="s">
        <v>14</v>
      </c>
    </row>
    <row r="20" spans="1:13" ht="14.25" customHeight="1" x14ac:dyDescent="0.3">
      <c r="A20" s="11" t="s">
        <v>62</v>
      </c>
      <c r="E20" s="6" t="s">
        <v>63</v>
      </c>
      <c r="G20" s="7" t="s">
        <v>64</v>
      </c>
    </row>
    <row r="21" spans="1:13" ht="14.25" customHeight="1" x14ac:dyDescent="0.3">
      <c r="A21" s="9" t="s">
        <v>65</v>
      </c>
      <c r="B21" s="17">
        <f ca="1">IFERROR(SUMIF(Ventas!A:A,"&gt;="&amp;DATE(YEAR(TODAY()),MONTH(TODAY()),1),Ventas!D:D)/COUNTIF(Ventas!A:A,"&gt;="&amp;DATE(YEAR(TODAY()),MONTH(TODAY()),1)),0)</f>
        <v>41000</v>
      </c>
      <c r="E21" s="6" t="s">
        <v>66</v>
      </c>
      <c r="G21" s="7" t="s">
        <v>67</v>
      </c>
    </row>
    <row r="22" spans="1:13" ht="14.25" customHeight="1" x14ac:dyDescent="0.3">
      <c r="A22" s="6" t="s">
        <v>68</v>
      </c>
      <c r="B22" s="17">
        <f ca="1">IFERROR(SUMIF(Ventas!A:A,"&gt;="&amp;DATE(YEAR(TODAY()),MONTH(TODAY()),1),Ventas!E:E)/COUNTIF(Ventas!A:A,"&gt;="&amp;DATE(YEAR(TODAY()),MONTH(TODAY()),1)),0)</f>
        <v>91764.705882352937</v>
      </c>
      <c r="E22" s="6" t="s">
        <v>69</v>
      </c>
      <c r="G22" s="7" t="s">
        <v>70</v>
      </c>
    </row>
    <row r="23" spans="1:13" ht="14.25" customHeight="1" x14ac:dyDescent="0.3">
      <c r="A23" s="6" t="s">
        <v>71</v>
      </c>
      <c r="B23" s="6">
        <f ca="1">COUNTIF(Ventas!A:A,"&gt;="&amp;DATE(YEAR(TODAY()),MONTH(TODAY()),1))</f>
        <v>34</v>
      </c>
      <c r="E23" s="6" t="s">
        <v>72</v>
      </c>
      <c r="G23" s="7" t="s">
        <v>73</v>
      </c>
    </row>
    <row r="24" spans="1:13" ht="14.25" customHeight="1" x14ac:dyDescent="0.3">
      <c r="A24" s="6" t="s">
        <v>74</v>
      </c>
      <c r="B24" s="18">
        <f ca="1">IFERROR((SUMIF(Ventas!A:A,"&gt;="&amp;DATE(YEAR(TODAY()),MONTH(TODAY()),1),Ventas!E:E)-SUMIF(Ventas!A:A,"&gt;="&amp;DATE(YEAR(TODAY()),MONTH(TODAY()),1),Ventas!D:D))/SUMIF(Ventas!A:A,"&gt;="&amp;DATE(YEAR(TODAY()),MONTH(TODAY()),1),Ventas!E:E),0)</f>
        <v>0.55320512820512824</v>
      </c>
      <c r="E24" s="6" t="s">
        <v>75</v>
      </c>
    </row>
    <row r="25" spans="1:13" ht="14.25" customHeight="1" x14ac:dyDescent="0.3">
      <c r="A25" s="6" t="s">
        <v>76</v>
      </c>
      <c r="B25" s="19">
        <f ca="1">IFERROR(COUNTIF(Ventas!A:A,"&gt;="&amp;DATE(YEAR(TODAY()),MONTH(TODAY()),1))/Inventario!I2,0)</f>
        <v>0.22222222222222221</v>
      </c>
      <c r="C25" s="9" t="s">
        <v>77</v>
      </c>
      <c r="E25" s="6" t="s">
        <v>78</v>
      </c>
    </row>
    <row r="26" spans="1:13" ht="14.25" customHeight="1" x14ac:dyDescent="0.3">
      <c r="A26" s="6" t="s">
        <v>79</v>
      </c>
      <c r="B26" s="20">
        <f ca="1">IFERROR(Inventario!I2/(COUNTIF(Ventas!A:A,"&gt;="&amp;DATE(YEAR(TODAY()),MONTH(TODAY()),1))/30),0)</f>
        <v>135</v>
      </c>
      <c r="C26" s="9" t="s">
        <v>80</v>
      </c>
      <c r="E26" s="6" t="s">
        <v>81</v>
      </c>
      <c r="G26" s="9" t="s">
        <v>13</v>
      </c>
      <c r="H26" s="9">
        <f t="shared" ref="H26:H28" si="0">COUNTIF($H$2:$N$23,G26)*0.5</f>
        <v>17</v>
      </c>
    </row>
    <row r="27" spans="1:13" ht="14.25" customHeight="1" x14ac:dyDescent="0.3">
      <c r="E27" s="6" t="s">
        <v>82</v>
      </c>
      <c r="G27" s="9" t="s">
        <v>18</v>
      </c>
      <c r="H27" s="9">
        <f t="shared" si="0"/>
        <v>17</v>
      </c>
    </row>
    <row r="28" spans="1:13" ht="14.25" customHeight="1" x14ac:dyDescent="0.3">
      <c r="E28" s="6" t="s">
        <v>83</v>
      </c>
      <c r="G28" s="9" t="s">
        <v>14</v>
      </c>
      <c r="H28" s="9">
        <f t="shared" si="0"/>
        <v>17</v>
      </c>
    </row>
    <row r="29" spans="1:13" ht="14.25" customHeight="1" x14ac:dyDescent="0.3">
      <c r="A29" s="11" t="s">
        <v>84</v>
      </c>
      <c r="E29" s="6" t="s">
        <v>85</v>
      </c>
      <c r="G29" s="9" t="s">
        <v>86</v>
      </c>
      <c r="H29" s="9">
        <f>SUM(H26:H28)</f>
        <v>51</v>
      </c>
    </row>
    <row r="30" spans="1:13" ht="14.25" customHeight="1" x14ac:dyDescent="0.3">
      <c r="A30" s="6" t="s">
        <v>87</v>
      </c>
      <c r="B30" s="17">
        <f>'Costos Fijos'!B12</f>
        <v>1964900</v>
      </c>
      <c r="E30" s="6" t="s">
        <v>88</v>
      </c>
      <c r="G30" s="9" t="s">
        <v>89</v>
      </c>
      <c r="H30" s="21">
        <f>H29/3</f>
        <v>17</v>
      </c>
    </row>
    <row r="31" spans="1:13" ht="14.25" customHeight="1" x14ac:dyDescent="0.3">
      <c r="A31" s="6" t="s">
        <v>90</v>
      </c>
      <c r="B31" s="18">
        <f ca="1">B24</f>
        <v>0.55320512820512824</v>
      </c>
      <c r="E31" s="6" t="s">
        <v>91</v>
      </c>
    </row>
    <row r="32" spans="1:13" ht="14.25" customHeight="1" x14ac:dyDescent="0.3">
      <c r="A32" s="6" t="s">
        <v>92</v>
      </c>
      <c r="B32" s="17">
        <f ca="1">B22</f>
        <v>91764.705882352937</v>
      </c>
      <c r="E32" s="6" t="s">
        <v>93</v>
      </c>
    </row>
    <row r="33" spans="1:5" ht="14.25" customHeight="1" x14ac:dyDescent="0.3">
      <c r="A33" s="6" t="s">
        <v>94</v>
      </c>
      <c r="B33" s="6">
        <f ca="1">IFERROR(ROUNDUP(B30/(B32*B31),0),0)</f>
        <v>39</v>
      </c>
      <c r="E33" s="6" t="s">
        <v>95</v>
      </c>
    </row>
    <row r="34" spans="1:5" ht="14.25" customHeight="1" x14ac:dyDescent="0.3">
      <c r="A34" s="6" t="s">
        <v>96</v>
      </c>
      <c r="B34" s="20">
        <f ca="1">ROUNDUP(B33/26,0)</f>
        <v>2</v>
      </c>
      <c r="E34" s="6" t="s">
        <v>97</v>
      </c>
    </row>
    <row r="35" spans="1:5" ht="14.25" customHeight="1" x14ac:dyDescent="0.3">
      <c r="A35" s="6"/>
      <c r="E35" s="6" t="s">
        <v>98</v>
      </c>
    </row>
    <row r="36" spans="1:5" ht="14.25" customHeight="1" x14ac:dyDescent="0.3">
      <c r="A36" s="6"/>
      <c r="E36" s="6" t="s">
        <v>99</v>
      </c>
    </row>
    <row r="37" spans="1:5" ht="14.25" customHeight="1" x14ac:dyDescent="0.3">
      <c r="E37" s="6" t="s">
        <v>100</v>
      </c>
    </row>
    <row r="38" spans="1:5" ht="14.25" customHeight="1" x14ac:dyDescent="0.3">
      <c r="A38" s="22"/>
      <c r="B38" s="6"/>
      <c r="C38" s="6"/>
      <c r="E38" s="6" t="s">
        <v>101</v>
      </c>
    </row>
    <row r="39" spans="1:5" ht="14.25" customHeight="1" x14ac:dyDescent="0.3">
      <c r="A39" s="2"/>
      <c r="B39" s="2"/>
      <c r="C39" s="2"/>
      <c r="E39" s="6" t="s">
        <v>102</v>
      </c>
    </row>
    <row r="40" spans="1:5" ht="14.25" customHeight="1" x14ac:dyDescent="0.3">
      <c r="A40" s="6"/>
      <c r="B40" s="23"/>
      <c r="C40" s="6"/>
      <c r="E40" s="6" t="s">
        <v>103</v>
      </c>
    </row>
    <row r="41" spans="1:5" ht="14.25" customHeight="1" x14ac:dyDescent="0.3">
      <c r="A41" s="6"/>
      <c r="B41" s="23"/>
      <c r="C41" s="6"/>
      <c r="E41" s="6" t="s">
        <v>104</v>
      </c>
    </row>
    <row r="42" spans="1:5" ht="14.25" customHeight="1" x14ac:dyDescent="0.3">
      <c r="A42" s="6"/>
      <c r="B42" s="23"/>
      <c r="C42" s="6"/>
      <c r="E42" s="6" t="s">
        <v>105</v>
      </c>
    </row>
    <row r="43" spans="1:5" ht="14.25" customHeight="1" x14ac:dyDescent="0.3">
      <c r="E43" s="6" t="s">
        <v>106</v>
      </c>
    </row>
    <row r="44" spans="1:5" ht="14.25" customHeight="1" x14ac:dyDescent="0.3">
      <c r="E44" s="6" t="s">
        <v>107</v>
      </c>
    </row>
    <row r="45" spans="1:5" ht="14.25" customHeight="1" x14ac:dyDescent="0.3">
      <c r="E45" s="6" t="s">
        <v>108</v>
      </c>
    </row>
    <row r="46" spans="1:5" ht="14.25" customHeight="1" x14ac:dyDescent="0.3">
      <c r="E46" s="6" t="s">
        <v>109</v>
      </c>
    </row>
    <row r="47" spans="1:5" ht="14.25" customHeight="1" x14ac:dyDescent="0.3">
      <c r="E47" s="6" t="s">
        <v>110</v>
      </c>
    </row>
    <row r="48" spans="1:5" ht="14.25" customHeight="1" x14ac:dyDescent="0.3">
      <c r="E48" s="6" t="s">
        <v>111</v>
      </c>
    </row>
    <row r="49" spans="5:5" ht="14.25" customHeight="1" x14ac:dyDescent="0.3">
      <c r="E49" s="6" t="s">
        <v>112</v>
      </c>
    </row>
    <row r="50" spans="5:5" ht="14.25" customHeight="1" x14ac:dyDescent="0.3">
      <c r="E50" s="6" t="s">
        <v>113</v>
      </c>
    </row>
    <row r="51" spans="5:5" ht="14.25" customHeight="1" x14ac:dyDescent="0.3">
      <c r="E51" s="6" t="s">
        <v>114</v>
      </c>
    </row>
    <row r="52" spans="5:5" ht="14.25" customHeight="1" x14ac:dyDescent="0.3">
      <c r="E52" s="6" t="s">
        <v>115</v>
      </c>
    </row>
    <row r="53" spans="5:5" ht="14.25" customHeight="1" x14ac:dyDescent="0.3">
      <c r="E53" s="6" t="s">
        <v>116</v>
      </c>
    </row>
    <row r="54" spans="5:5" ht="14.25" customHeight="1" x14ac:dyDescent="0.3">
      <c r="E54" s="6" t="s">
        <v>117</v>
      </c>
    </row>
    <row r="55" spans="5:5" ht="14.25" customHeight="1" x14ac:dyDescent="0.3">
      <c r="E55" s="6" t="s">
        <v>118</v>
      </c>
    </row>
    <row r="56" spans="5:5" ht="14.25" customHeight="1" x14ac:dyDescent="0.3">
      <c r="E56" s="6" t="s">
        <v>119</v>
      </c>
    </row>
    <row r="57" spans="5:5" ht="14.25" customHeight="1" x14ac:dyDescent="0.3">
      <c r="E57" s="6" t="s">
        <v>120</v>
      </c>
    </row>
    <row r="58" spans="5:5" ht="14.25" customHeight="1" x14ac:dyDescent="0.3">
      <c r="E58" s="6" t="s">
        <v>121</v>
      </c>
    </row>
    <row r="59" spans="5:5" ht="14.25" customHeight="1" x14ac:dyDescent="0.3">
      <c r="E59" s="6" t="s">
        <v>122</v>
      </c>
    </row>
    <row r="60" spans="5:5" ht="14.25" customHeight="1" x14ac:dyDescent="0.3">
      <c r="E60" s="6" t="s">
        <v>123</v>
      </c>
    </row>
    <row r="61" spans="5:5" ht="14.25" customHeight="1" x14ac:dyDescent="0.3">
      <c r="E61" s="6" t="s">
        <v>124</v>
      </c>
    </row>
    <row r="62" spans="5:5" ht="14.25" customHeight="1" x14ac:dyDescent="0.3">
      <c r="E62" s="6" t="s">
        <v>125</v>
      </c>
    </row>
    <row r="63" spans="5:5" ht="14.25" customHeight="1" x14ac:dyDescent="0.3">
      <c r="E63" s="6" t="s">
        <v>126</v>
      </c>
    </row>
    <row r="64" spans="5:5" ht="14.25" customHeight="1" x14ac:dyDescent="0.3">
      <c r="E64" s="6" t="s">
        <v>127</v>
      </c>
    </row>
    <row r="65" spans="5:5" ht="14.25" customHeight="1" x14ac:dyDescent="0.3">
      <c r="E65" s="6" t="s">
        <v>128</v>
      </c>
    </row>
    <row r="66" spans="5:5" ht="14.25" customHeight="1" x14ac:dyDescent="0.3">
      <c r="E66" s="6" t="s">
        <v>129</v>
      </c>
    </row>
    <row r="67" spans="5:5" ht="14.25" customHeight="1" x14ac:dyDescent="0.3">
      <c r="E67" s="6" t="s">
        <v>130</v>
      </c>
    </row>
    <row r="68" spans="5:5" ht="14.25" customHeight="1" x14ac:dyDescent="0.3">
      <c r="E68" s="6" t="s">
        <v>131</v>
      </c>
    </row>
    <row r="69" spans="5:5" ht="14.25" customHeight="1" x14ac:dyDescent="0.3">
      <c r="E69" s="6" t="s">
        <v>132</v>
      </c>
    </row>
    <row r="70" spans="5:5" ht="14.25" customHeight="1" x14ac:dyDescent="0.3">
      <c r="E70" s="6" t="s">
        <v>133</v>
      </c>
    </row>
    <row r="71" spans="5:5" ht="14.25" customHeight="1" x14ac:dyDescent="0.3">
      <c r="E71" s="6" t="s">
        <v>134</v>
      </c>
    </row>
    <row r="72" spans="5:5" ht="14.25" customHeight="1" x14ac:dyDescent="0.3">
      <c r="E72" s="6" t="s">
        <v>135</v>
      </c>
    </row>
    <row r="73" spans="5:5" ht="14.25" customHeight="1" x14ac:dyDescent="0.3">
      <c r="E73" s="6" t="s">
        <v>136</v>
      </c>
    </row>
    <row r="74" spans="5:5" ht="14.25" customHeight="1" x14ac:dyDescent="0.3">
      <c r="E74" s="6" t="s">
        <v>137</v>
      </c>
    </row>
    <row r="75" spans="5:5" ht="14.25" customHeight="1" x14ac:dyDescent="0.3">
      <c r="E75" s="6" t="s">
        <v>138</v>
      </c>
    </row>
    <row r="76" spans="5:5" ht="14.25" customHeight="1" x14ac:dyDescent="0.3">
      <c r="E76" s="6" t="s">
        <v>139</v>
      </c>
    </row>
    <row r="77" spans="5:5" ht="14.25" customHeight="1" x14ac:dyDescent="0.3">
      <c r="E77" s="6" t="s">
        <v>140</v>
      </c>
    </row>
    <row r="78" spans="5:5" ht="14.25" customHeight="1" x14ac:dyDescent="0.3">
      <c r="E78" s="6" t="s">
        <v>141</v>
      </c>
    </row>
    <row r="79" spans="5:5" ht="14.25" customHeight="1" x14ac:dyDescent="0.3">
      <c r="E79" s="6" t="s">
        <v>142</v>
      </c>
    </row>
    <row r="80" spans="5:5" ht="14.25" customHeight="1" x14ac:dyDescent="0.3">
      <c r="E80" s="6" t="s">
        <v>143</v>
      </c>
    </row>
    <row r="81" spans="5:5" ht="14.25" customHeight="1" x14ac:dyDescent="0.3">
      <c r="E81" s="6" t="s">
        <v>144</v>
      </c>
    </row>
    <row r="82" spans="5:5" ht="14.25" customHeight="1" x14ac:dyDescent="0.3">
      <c r="E82" s="6" t="s">
        <v>145</v>
      </c>
    </row>
    <row r="83" spans="5:5" ht="14.25" customHeight="1" x14ac:dyDescent="0.3">
      <c r="E83" s="6" t="s">
        <v>146</v>
      </c>
    </row>
    <row r="84" spans="5:5" ht="14.25" customHeight="1" x14ac:dyDescent="0.3">
      <c r="E84" s="6" t="s">
        <v>147</v>
      </c>
    </row>
    <row r="85" spans="5:5" ht="14.25" customHeight="1" x14ac:dyDescent="0.3">
      <c r="E85" s="6" t="s">
        <v>148</v>
      </c>
    </row>
    <row r="86" spans="5:5" ht="14.25" customHeight="1" x14ac:dyDescent="0.3">
      <c r="E86" s="6" t="s">
        <v>149</v>
      </c>
    </row>
    <row r="87" spans="5:5" ht="14.25" customHeight="1" x14ac:dyDescent="0.3">
      <c r="E87" s="6" t="s">
        <v>150</v>
      </c>
    </row>
    <row r="88" spans="5:5" ht="14.25" customHeight="1" x14ac:dyDescent="0.3">
      <c r="E88" s="6" t="s">
        <v>151</v>
      </c>
    </row>
    <row r="89" spans="5:5" ht="14.25" customHeight="1" x14ac:dyDescent="0.3">
      <c r="E89" s="6" t="s">
        <v>152</v>
      </c>
    </row>
    <row r="90" spans="5:5" ht="14.25" customHeight="1" x14ac:dyDescent="0.3">
      <c r="E90" s="6" t="s">
        <v>153</v>
      </c>
    </row>
    <row r="91" spans="5:5" ht="14.25" customHeight="1" x14ac:dyDescent="0.3">
      <c r="E91" s="6" t="s">
        <v>154</v>
      </c>
    </row>
    <row r="92" spans="5:5" ht="14.25" customHeight="1" x14ac:dyDescent="0.3">
      <c r="E92" s="6" t="s">
        <v>155</v>
      </c>
    </row>
    <row r="93" spans="5:5" ht="14.25" customHeight="1" x14ac:dyDescent="0.3">
      <c r="E93" s="6" t="s">
        <v>156</v>
      </c>
    </row>
    <row r="94" spans="5:5" ht="14.25" customHeight="1" x14ac:dyDescent="0.3">
      <c r="E94" s="6" t="s">
        <v>157</v>
      </c>
    </row>
    <row r="95" spans="5:5" ht="14.25" customHeight="1" x14ac:dyDescent="0.3">
      <c r="E95" s="6" t="s">
        <v>158</v>
      </c>
    </row>
    <row r="96" spans="5:5" ht="14.25" customHeight="1" x14ac:dyDescent="0.3">
      <c r="E96" s="6" t="s">
        <v>159</v>
      </c>
    </row>
    <row r="97" spans="5:5" ht="14.25" customHeight="1" x14ac:dyDescent="0.3">
      <c r="E97" s="6" t="s">
        <v>160</v>
      </c>
    </row>
    <row r="98" spans="5:5" ht="14.25" customHeight="1" x14ac:dyDescent="0.3">
      <c r="E98" s="6" t="s">
        <v>161</v>
      </c>
    </row>
    <row r="99" spans="5:5" ht="14.25" customHeight="1" x14ac:dyDescent="0.3">
      <c r="E99" s="9" t="s">
        <v>162</v>
      </c>
    </row>
    <row r="100" spans="5:5" ht="14.25" customHeight="1" x14ac:dyDescent="0.3">
      <c r="E100" s="9" t="s">
        <v>163</v>
      </c>
    </row>
    <row r="101" spans="5:5" ht="14.25" customHeight="1" x14ac:dyDescent="0.3">
      <c r="E101" s="9" t="s">
        <v>164</v>
      </c>
    </row>
    <row r="102" spans="5:5" ht="14.25" customHeight="1" x14ac:dyDescent="0.3">
      <c r="E102" s="9" t="s">
        <v>165</v>
      </c>
    </row>
    <row r="103" spans="5:5" ht="14.25" customHeight="1" x14ac:dyDescent="0.3">
      <c r="E103" s="9" t="s">
        <v>166</v>
      </c>
    </row>
    <row r="104" spans="5:5" ht="14.25" customHeight="1" x14ac:dyDescent="0.3">
      <c r="E104" s="9" t="s">
        <v>167</v>
      </c>
    </row>
    <row r="105" spans="5:5" ht="14.25" customHeight="1" x14ac:dyDescent="0.3">
      <c r="E105" s="9" t="s">
        <v>168</v>
      </c>
    </row>
    <row r="106" spans="5:5" ht="14.25" customHeight="1" x14ac:dyDescent="0.3">
      <c r="E106" s="9" t="s">
        <v>169</v>
      </c>
    </row>
    <row r="107" spans="5:5" ht="14.25" customHeight="1" x14ac:dyDescent="0.3">
      <c r="E107" s="9" t="s">
        <v>170</v>
      </c>
    </row>
    <row r="108" spans="5:5" ht="14.25" customHeight="1" x14ac:dyDescent="0.3">
      <c r="E108" s="9" t="s">
        <v>171</v>
      </c>
    </row>
    <row r="109" spans="5:5" ht="14.25" customHeight="1" x14ac:dyDescent="0.3">
      <c r="E109" s="9" t="s">
        <v>172</v>
      </c>
    </row>
    <row r="110" spans="5:5" ht="14.25" customHeight="1" x14ac:dyDescent="0.3">
      <c r="E110" s="9" t="s">
        <v>173</v>
      </c>
    </row>
    <row r="111" spans="5:5" ht="14.25" customHeight="1" x14ac:dyDescent="0.3">
      <c r="E111" s="9" t="s">
        <v>174</v>
      </c>
    </row>
    <row r="112" spans="5:5" ht="14.25" customHeight="1" x14ac:dyDescent="0.3">
      <c r="E112" s="9" t="s">
        <v>175</v>
      </c>
    </row>
    <row r="113" spans="5:5" ht="14.25" customHeight="1" x14ac:dyDescent="0.3">
      <c r="E113" s="9" t="s">
        <v>176</v>
      </c>
    </row>
    <row r="114" spans="5:5" ht="14.25" customHeight="1" x14ac:dyDescent="0.3">
      <c r="E114" s="9" t="s">
        <v>177</v>
      </c>
    </row>
    <row r="115" spans="5:5" ht="14.25" customHeight="1" x14ac:dyDescent="0.3">
      <c r="E115" s="9" t="s">
        <v>178</v>
      </c>
    </row>
    <row r="116" spans="5:5" ht="14.25" customHeight="1" x14ac:dyDescent="0.3">
      <c r="E116" s="9" t="s">
        <v>179</v>
      </c>
    </row>
    <row r="117" spans="5:5" ht="14.25" customHeight="1" x14ac:dyDescent="0.3"/>
    <row r="118" spans="5:5" ht="14.25" customHeight="1" x14ac:dyDescent="0.3"/>
    <row r="119" spans="5:5" ht="14.25" customHeight="1" x14ac:dyDescent="0.3"/>
    <row r="120" spans="5:5" ht="14.25" customHeight="1" x14ac:dyDescent="0.3"/>
    <row r="121" spans="5:5" ht="14.25" customHeight="1" x14ac:dyDescent="0.3"/>
    <row r="122" spans="5:5" ht="14.25" customHeight="1" x14ac:dyDescent="0.3"/>
    <row r="123" spans="5:5" ht="14.25" customHeight="1" x14ac:dyDescent="0.3"/>
    <row r="124" spans="5:5" ht="14.25" customHeight="1" x14ac:dyDescent="0.3"/>
    <row r="125" spans="5:5" ht="14.25" customHeight="1" x14ac:dyDescent="0.3"/>
    <row r="126" spans="5:5" ht="14.25" customHeight="1" x14ac:dyDescent="0.3"/>
    <row r="127" spans="5:5" ht="14.25" customHeight="1" x14ac:dyDescent="0.3"/>
    <row r="128" spans="5:5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CAF50"/>
  </sheetPr>
  <dimension ref="A1:M1019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44140625" defaultRowHeight="15" customHeight="1" x14ac:dyDescent="0.3"/>
  <cols>
    <col min="1" max="1" width="17.6640625" customWidth="1"/>
    <col min="2" max="2" width="41" customWidth="1"/>
    <col min="3" max="3" width="28" customWidth="1"/>
    <col min="4" max="4" width="5.88671875" customWidth="1"/>
    <col min="5" max="5" width="6.33203125" customWidth="1"/>
    <col min="6" max="6" width="17.33203125" customWidth="1"/>
    <col min="7" max="7" width="8.5546875" customWidth="1"/>
    <col min="8" max="8" width="13.109375" customWidth="1"/>
    <col min="9" max="9" width="11.109375" customWidth="1"/>
    <col min="10" max="10" width="11.5546875" customWidth="1"/>
    <col min="11" max="11" width="13" customWidth="1"/>
    <col min="12" max="13" width="8.109375" customWidth="1"/>
    <col min="14" max="15" width="8.6640625" customWidth="1"/>
    <col min="16" max="16" width="12" customWidth="1"/>
    <col min="17" max="17" width="11.109375" customWidth="1"/>
    <col min="18" max="18" width="6" customWidth="1"/>
    <col min="19" max="19" width="9.6640625" customWidth="1"/>
    <col min="20" max="20" width="11.33203125" customWidth="1"/>
    <col min="21" max="28" width="8.6640625" customWidth="1"/>
  </cols>
  <sheetData>
    <row r="1" spans="1:13" ht="14.25" customHeight="1" x14ac:dyDescent="0.3">
      <c r="A1" s="24" t="s">
        <v>180</v>
      </c>
      <c r="B1" s="25"/>
      <c r="C1" s="26"/>
      <c r="D1" s="27"/>
      <c r="E1" s="26"/>
      <c r="F1" s="26"/>
      <c r="G1" s="26"/>
      <c r="H1" s="26"/>
      <c r="I1" s="28" t="s">
        <v>181</v>
      </c>
      <c r="J1" s="28" t="s">
        <v>182</v>
      </c>
      <c r="K1" s="28" t="s">
        <v>183</v>
      </c>
    </row>
    <row r="2" spans="1:13" ht="14.25" customHeight="1" x14ac:dyDescent="0.3">
      <c r="A2" s="25"/>
      <c r="B2" s="25"/>
      <c r="C2" s="26"/>
      <c r="D2" s="27"/>
      <c r="E2" s="26"/>
      <c r="F2" s="26"/>
      <c r="G2" s="26"/>
      <c r="H2" s="26"/>
      <c r="I2" s="29">
        <f>SUM(K5:K1019)</f>
        <v>153</v>
      </c>
      <c r="J2" s="29">
        <f>SUMPRODUCT(G5:G1019,K5:K1019)</f>
        <v>7194000</v>
      </c>
      <c r="K2" s="29">
        <f>SUMPRODUCT(H5:H1019,K5:K1019)</f>
        <v>14780000</v>
      </c>
    </row>
    <row r="3" spans="1:13" ht="14.25" customHeight="1" x14ac:dyDescent="0.3">
      <c r="A3" s="25"/>
      <c r="B3" s="25"/>
      <c r="C3" s="26"/>
      <c r="D3" s="27"/>
      <c r="E3" s="26"/>
      <c r="F3" s="26"/>
      <c r="G3" s="26"/>
      <c r="H3" s="26"/>
      <c r="I3" s="25"/>
      <c r="J3" s="28">
        <f t="shared" ref="J3:L3" si="0">SUM(J5:J313)</f>
        <v>262</v>
      </c>
      <c r="K3" s="25">
        <f t="shared" si="0"/>
        <v>153</v>
      </c>
      <c r="L3" s="25">
        <f t="shared" si="0"/>
        <v>109</v>
      </c>
      <c r="M3" s="25"/>
    </row>
    <row r="4" spans="1:13" ht="14.25" customHeight="1" x14ac:dyDescent="0.3">
      <c r="A4" s="30" t="s">
        <v>184</v>
      </c>
      <c r="B4" s="30" t="s">
        <v>185</v>
      </c>
      <c r="C4" s="31" t="s">
        <v>186</v>
      </c>
      <c r="D4" s="31" t="s">
        <v>187</v>
      </c>
      <c r="E4" s="31" t="s">
        <v>188</v>
      </c>
      <c r="F4" s="31" t="s">
        <v>189</v>
      </c>
      <c r="G4" s="31" t="s">
        <v>190</v>
      </c>
      <c r="H4" s="31" t="s">
        <v>191</v>
      </c>
      <c r="I4" s="30" t="s">
        <v>192</v>
      </c>
      <c r="J4" s="30" t="s">
        <v>193</v>
      </c>
      <c r="K4" s="30" t="s">
        <v>194</v>
      </c>
      <c r="L4" s="30" t="s">
        <v>195</v>
      </c>
      <c r="M4" s="30" t="s">
        <v>196</v>
      </c>
    </row>
    <row r="5" spans="1:13" ht="14.25" customHeight="1" x14ac:dyDescent="0.3">
      <c r="A5" s="32" t="s">
        <v>197</v>
      </c>
      <c r="B5" s="32" t="s">
        <v>198</v>
      </c>
      <c r="C5" s="32" t="s">
        <v>199</v>
      </c>
      <c r="D5" s="33" t="s">
        <v>200</v>
      </c>
      <c r="E5" s="32" t="s">
        <v>201</v>
      </c>
      <c r="F5" s="32"/>
      <c r="G5" s="34">
        <v>37000</v>
      </c>
      <c r="H5" s="34">
        <v>75000</v>
      </c>
      <c r="I5" s="35">
        <f t="shared" ref="I5:I109" si="1">IF(H5&gt;0,(H5-G5)/H5,0)</f>
        <v>0.50666666666666671</v>
      </c>
      <c r="J5" s="36">
        <v>2</v>
      </c>
      <c r="K5" s="36">
        <f>J5-COUNTIF(Ventas!$B$2:$B$1002,A5)</f>
        <v>1</v>
      </c>
      <c r="L5" s="32">
        <f t="shared" ref="L5:L109" si="2">J5-K5</f>
        <v>1</v>
      </c>
      <c r="M5" s="32"/>
    </row>
    <row r="6" spans="1:13" ht="14.25" customHeight="1" x14ac:dyDescent="0.3">
      <c r="A6" s="32" t="s">
        <v>202</v>
      </c>
      <c r="B6" s="37" t="s">
        <v>203</v>
      </c>
      <c r="C6" s="32" t="s">
        <v>199</v>
      </c>
      <c r="D6" s="33" t="s">
        <v>204</v>
      </c>
      <c r="E6" s="32"/>
      <c r="F6" s="32"/>
      <c r="G6" s="34">
        <v>37000</v>
      </c>
      <c r="H6" s="34">
        <v>75000</v>
      </c>
      <c r="I6" s="35">
        <f t="shared" si="1"/>
        <v>0.50666666666666671</v>
      </c>
      <c r="J6" s="36">
        <v>6</v>
      </c>
      <c r="K6" s="36">
        <f>J6-COUNTIF(Ventas!$B$2:$B$1002,A6)</f>
        <v>5</v>
      </c>
      <c r="L6" s="32">
        <f t="shared" si="2"/>
        <v>1</v>
      </c>
      <c r="M6" s="32"/>
    </row>
    <row r="7" spans="1:13" ht="14.25" customHeight="1" x14ac:dyDescent="0.3">
      <c r="A7" s="32" t="s">
        <v>205</v>
      </c>
      <c r="B7" s="37" t="s">
        <v>206</v>
      </c>
      <c r="C7" s="32" t="s">
        <v>199</v>
      </c>
      <c r="D7" s="33" t="s">
        <v>207</v>
      </c>
      <c r="E7" s="32"/>
      <c r="F7" s="32"/>
      <c r="G7" s="34">
        <v>37000</v>
      </c>
      <c r="H7" s="34">
        <v>75000</v>
      </c>
      <c r="I7" s="35">
        <f t="shared" si="1"/>
        <v>0.50666666666666671</v>
      </c>
      <c r="J7" s="36">
        <v>6</v>
      </c>
      <c r="K7" s="36">
        <f>J7-COUNTIF(Ventas!$B$2:$B$1002,A7)</f>
        <v>2</v>
      </c>
      <c r="L7" s="32">
        <f t="shared" si="2"/>
        <v>4</v>
      </c>
      <c r="M7" s="32"/>
    </row>
    <row r="8" spans="1:13" ht="14.25" customHeight="1" x14ac:dyDescent="0.3">
      <c r="A8" s="32" t="s">
        <v>208</v>
      </c>
      <c r="B8" s="37" t="s">
        <v>209</v>
      </c>
      <c r="C8" s="32" t="s">
        <v>199</v>
      </c>
      <c r="D8" s="33" t="s">
        <v>210</v>
      </c>
      <c r="E8" s="32"/>
      <c r="F8" s="32"/>
      <c r="G8" s="34">
        <v>37000</v>
      </c>
      <c r="H8" s="34">
        <v>75000</v>
      </c>
      <c r="I8" s="35">
        <f t="shared" si="1"/>
        <v>0.50666666666666671</v>
      </c>
      <c r="J8" s="36">
        <v>6</v>
      </c>
      <c r="K8" s="36">
        <f>J8-COUNTIF(Ventas!$B$2:$B$1002,A8)</f>
        <v>4</v>
      </c>
      <c r="L8" s="32">
        <f t="shared" si="2"/>
        <v>2</v>
      </c>
      <c r="M8" s="32"/>
    </row>
    <row r="9" spans="1:13" ht="14.25" customHeight="1" x14ac:dyDescent="0.3">
      <c r="A9" s="32" t="s">
        <v>211</v>
      </c>
      <c r="B9" s="37" t="s">
        <v>212</v>
      </c>
      <c r="C9" s="32" t="s">
        <v>199</v>
      </c>
      <c r="D9" s="33"/>
      <c r="E9" s="32"/>
      <c r="F9" s="32"/>
      <c r="G9" s="34">
        <v>37000</v>
      </c>
      <c r="H9" s="34">
        <v>75000</v>
      </c>
      <c r="I9" s="35">
        <f t="shared" si="1"/>
        <v>0.50666666666666671</v>
      </c>
      <c r="J9" s="36">
        <v>2</v>
      </c>
      <c r="K9" s="36">
        <f>J9-COUNTIF(Ventas!$B$2:$B$1002,A9)</f>
        <v>1</v>
      </c>
      <c r="L9" s="32">
        <f t="shared" si="2"/>
        <v>1</v>
      </c>
      <c r="M9" s="32"/>
    </row>
    <row r="10" spans="1:13" ht="14.25" customHeight="1" x14ac:dyDescent="0.3">
      <c r="A10" s="32" t="s">
        <v>213</v>
      </c>
      <c r="B10" s="37" t="s">
        <v>214</v>
      </c>
      <c r="C10" s="32" t="s">
        <v>199</v>
      </c>
      <c r="D10" s="33"/>
      <c r="E10" s="32"/>
      <c r="F10" s="32"/>
      <c r="G10" s="34">
        <v>37000</v>
      </c>
      <c r="H10" s="34">
        <v>75000</v>
      </c>
      <c r="I10" s="35">
        <f t="shared" si="1"/>
        <v>0.50666666666666671</v>
      </c>
      <c r="J10" s="36">
        <v>6</v>
      </c>
      <c r="K10" s="36">
        <f>J10-COUNTIF(Ventas!$B$2:$B$1002,A10)</f>
        <v>-2</v>
      </c>
      <c r="L10" s="32">
        <f t="shared" si="2"/>
        <v>8</v>
      </c>
      <c r="M10" s="32"/>
    </row>
    <row r="11" spans="1:13" ht="14.25" customHeight="1" x14ac:dyDescent="0.3">
      <c r="A11" s="32" t="s">
        <v>215</v>
      </c>
      <c r="B11" s="37" t="s">
        <v>216</v>
      </c>
      <c r="C11" s="32" t="s">
        <v>199</v>
      </c>
      <c r="D11" s="33"/>
      <c r="E11" s="32"/>
      <c r="F11" s="32"/>
      <c r="G11" s="34">
        <v>37000</v>
      </c>
      <c r="H11" s="34">
        <v>75000</v>
      </c>
      <c r="I11" s="35">
        <f t="shared" si="1"/>
        <v>0.50666666666666671</v>
      </c>
      <c r="J11" s="36">
        <v>6</v>
      </c>
      <c r="K11" s="36">
        <f>J11-COUNTIF(Ventas!$B$2:$B$1002,A11)</f>
        <v>-1</v>
      </c>
      <c r="L11" s="32">
        <f t="shared" si="2"/>
        <v>7</v>
      </c>
      <c r="M11" s="32"/>
    </row>
    <row r="12" spans="1:13" ht="14.25" customHeight="1" x14ac:dyDescent="0.3">
      <c r="A12" s="32" t="s">
        <v>217</v>
      </c>
      <c r="B12" s="37" t="s">
        <v>218</v>
      </c>
      <c r="C12" s="32" t="s">
        <v>199</v>
      </c>
      <c r="D12" s="33"/>
      <c r="E12" s="32"/>
      <c r="F12" s="32"/>
      <c r="G12" s="34">
        <v>37000</v>
      </c>
      <c r="H12" s="34">
        <v>75000</v>
      </c>
      <c r="I12" s="35">
        <f t="shared" si="1"/>
        <v>0.50666666666666671</v>
      </c>
      <c r="J12" s="36">
        <v>6</v>
      </c>
      <c r="K12" s="36">
        <f>J12-COUNTIF(Ventas!$B$2:$B$1002,A12)</f>
        <v>3</v>
      </c>
      <c r="L12" s="32">
        <f t="shared" si="2"/>
        <v>3</v>
      </c>
      <c r="M12" s="32"/>
    </row>
    <row r="13" spans="1:13" ht="14.25" customHeight="1" x14ac:dyDescent="0.3">
      <c r="A13" s="32" t="s">
        <v>219</v>
      </c>
      <c r="B13" s="37" t="s">
        <v>220</v>
      </c>
      <c r="C13" s="32" t="s">
        <v>199</v>
      </c>
      <c r="D13" s="33"/>
      <c r="E13" s="32"/>
      <c r="F13" s="32"/>
      <c r="G13" s="34">
        <v>37000</v>
      </c>
      <c r="H13" s="34">
        <v>75000</v>
      </c>
      <c r="I13" s="35">
        <f t="shared" si="1"/>
        <v>0.50666666666666671</v>
      </c>
      <c r="J13" s="36">
        <v>2</v>
      </c>
      <c r="K13" s="36">
        <f>J13-COUNTIF(Ventas!$B$2:$B$1002,A13)</f>
        <v>2</v>
      </c>
      <c r="L13" s="32">
        <f t="shared" si="2"/>
        <v>0</v>
      </c>
      <c r="M13" s="32"/>
    </row>
    <row r="14" spans="1:13" ht="14.25" customHeight="1" x14ac:dyDescent="0.3">
      <c r="A14" s="32" t="s">
        <v>221</v>
      </c>
      <c r="B14" s="37" t="s">
        <v>222</v>
      </c>
      <c r="C14" s="32" t="s">
        <v>199</v>
      </c>
      <c r="D14" s="33"/>
      <c r="E14" s="32"/>
      <c r="F14" s="32"/>
      <c r="G14" s="34">
        <v>37000</v>
      </c>
      <c r="H14" s="34">
        <v>75000</v>
      </c>
      <c r="I14" s="35">
        <f t="shared" si="1"/>
        <v>0.50666666666666671</v>
      </c>
      <c r="J14" s="36">
        <v>6</v>
      </c>
      <c r="K14" s="36">
        <f>J14-COUNTIF(Ventas!$B$2:$B$1002,A14)</f>
        <v>3</v>
      </c>
      <c r="L14" s="32">
        <f t="shared" si="2"/>
        <v>3</v>
      </c>
      <c r="M14" s="32"/>
    </row>
    <row r="15" spans="1:13" ht="14.25" customHeight="1" x14ac:dyDescent="0.3">
      <c r="A15" s="32" t="s">
        <v>223</v>
      </c>
      <c r="B15" s="37" t="s">
        <v>224</v>
      </c>
      <c r="C15" s="32" t="s">
        <v>199</v>
      </c>
      <c r="D15" s="33"/>
      <c r="E15" s="32"/>
      <c r="F15" s="32"/>
      <c r="G15" s="34">
        <v>37000</v>
      </c>
      <c r="H15" s="34">
        <v>75000</v>
      </c>
      <c r="I15" s="35">
        <f t="shared" si="1"/>
        <v>0.50666666666666671</v>
      </c>
      <c r="J15" s="36">
        <v>6</v>
      </c>
      <c r="K15" s="36">
        <f>J15-COUNTIF(Ventas!$B$2:$B$1002,A15)</f>
        <v>4</v>
      </c>
      <c r="L15" s="32">
        <f t="shared" si="2"/>
        <v>2</v>
      </c>
      <c r="M15" s="32"/>
    </row>
    <row r="16" spans="1:13" ht="14.25" customHeight="1" x14ac:dyDescent="0.3">
      <c r="A16" s="32" t="s">
        <v>225</v>
      </c>
      <c r="B16" s="37" t="s">
        <v>226</v>
      </c>
      <c r="C16" s="32" t="s">
        <v>199</v>
      </c>
      <c r="D16" s="33"/>
      <c r="E16" s="32"/>
      <c r="F16" s="32"/>
      <c r="G16" s="34">
        <v>37000</v>
      </c>
      <c r="H16" s="34">
        <v>75000</v>
      </c>
      <c r="I16" s="35">
        <f t="shared" si="1"/>
        <v>0.50666666666666671</v>
      </c>
      <c r="J16" s="36">
        <v>6</v>
      </c>
      <c r="K16" s="36">
        <f>J16-COUNTIF(Ventas!$B$2:$B$1002,A16)</f>
        <v>3</v>
      </c>
      <c r="L16" s="32">
        <f t="shared" si="2"/>
        <v>3</v>
      </c>
      <c r="M16" s="32"/>
    </row>
    <row r="17" spans="1:13" ht="14.25" customHeight="1" x14ac:dyDescent="0.3">
      <c r="A17" s="32" t="s">
        <v>227</v>
      </c>
      <c r="B17" s="37" t="s">
        <v>228</v>
      </c>
      <c r="C17" s="32" t="s">
        <v>199</v>
      </c>
      <c r="D17" s="33"/>
      <c r="E17" s="32"/>
      <c r="F17" s="32"/>
      <c r="G17" s="34">
        <v>37000</v>
      </c>
      <c r="H17" s="34">
        <v>75000</v>
      </c>
      <c r="I17" s="35">
        <f t="shared" si="1"/>
        <v>0.50666666666666671</v>
      </c>
      <c r="J17" s="36">
        <v>0</v>
      </c>
      <c r="K17" s="36">
        <f>J17-COUNTIF(Ventas!$B$2:$B$1002,A17)</f>
        <v>0</v>
      </c>
      <c r="L17" s="32">
        <f t="shared" si="2"/>
        <v>0</v>
      </c>
      <c r="M17" s="32"/>
    </row>
    <row r="18" spans="1:13" ht="14.25" customHeight="1" x14ac:dyDescent="0.3">
      <c r="A18" s="32" t="s">
        <v>229</v>
      </c>
      <c r="B18" s="37" t="s">
        <v>230</v>
      </c>
      <c r="C18" s="32" t="s">
        <v>199</v>
      </c>
      <c r="D18" s="33"/>
      <c r="E18" s="32"/>
      <c r="F18" s="32"/>
      <c r="G18" s="34">
        <v>37000</v>
      </c>
      <c r="H18" s="34">
        <v>75000</v>
      </c>
      <c r="I18" s="35">
        <f t="shared" si="1"/>
        <v>0.50666666666666671</v>
      </c>
      <c r="J18" s="36">
        <v>0</v>
      </c>
      <c r="K18" s="36">
        <f>J18-COUNTIF(Ventas!$B$2:$B$1002,A18)</f>
        <v>0</v>
      </c>
      <c r="L18" s="32">
        <f t="shared" si="2"/>
        <v>0</v>
      </c>
      <c r="M18" s="32"/>
    </row>
    <row r="19" spans="1:13" ht="14.25" customHeight="1" x14ac:dyDescent="0.3">
      <c r="A19" s="32" t="s">
        <v>231</v>
      </c>
      <c r="B19" s="37" t="s">
        <v>232</v>
      </c>
      <c r="C19" s="32" t="s">
        <v>199</v>
      </c>
      <c r="D19" s="33"/>
      <c r="E19" s="32"/>
      <c r="F19" s="32"/>
      <c r="G19" s="34">
        <v>37000</v>
      </c>
      <c r="H19" s="34">
        <v>75000</v>
      </c>
      <c r="I19" s="35">
        <f t="shared" si="1"/>
        <v>0.50666666666666671</v>
      </c>
      <c r="J19" s="36">
        <v>0</v>
      </c>
      <c r="K19" s="36">
        <f>J19-COUNTIF(Ventas!$B$2:$B$1002,A19)</f>
        <v>0</v>
      </c>
      <c r="L19" s="32">
        <f t="shared" si="2"/>
        <v>0</v>
      </c>
      <c r="M19" s="32"/>
    </row>
    <row r="20" spans="1:13" ht="14.25" customHeight="1" x14ac:dyDescent="0.3">
      <c r="A20" s="32" t="s">
        <v>233</v>
      </c>
      <c r="B20" s="37" t="s">
        <v>234</v>
      </c>
      <c r="C20" s="32" t="s">
        <v>199</v>
      </c>
      <c r="D20" s="33"/>
      <c r="E20" s="32"/>
      <c r="F20" s="32"/>
      <c r="G20" s="34">
        <v>37000</v>
      </c>
      <c r="H20" s="34">
        <v>75000</v>
      </c>
      <c r="I20" s="35">
        <f t="shared" si="1"/>
        <v>0.50666666666666671</v>
      </c>
      <c r="J20" s="36">
        <v>0</v>
      </c>
      <c r="K20" s="36">
        <f>J20-COUNTIF(Ventas!$B$2:$B$1002,A20)</f>
        <v>0</v>
      </c>
      <c r="L20" s="32">
        <f t="shared" si="2"/>
        <v>0</v>
      </c>
      <c r="M20" s="32"/>
    </row>
    <row r="21" spans="1:13" ht="14.25" customHeight="1" x14ac:dyDescent="0.3">
      <c r="A21" s="32" t="s">
        <v>235</v>
      </c>
      <c r="B21" s="37" t="s">
        <v>236</v>
      </c>
      <c r="C21" s="32" t="s">
        <v>199</v>
      </c>
      <c r="D21" s="33"/>
      <c r="E21" s="32"/>
      <c r="F21" s="32"/>
      <c r="G21" s="34">
        <v>37000</v>
      </c>
      <c r="H21" s="34">
        <v>75000</v>
      </c>
      <c r="I21" s="35">
        <f t="shared" si="1"/>
        <v>0.50666666666666671</v>
      </c>
      <c r="J21" s="36">
        <v>0</v>
      </c>
      <c r="K21" s="36">
        <f>J21-COUNTIF(Ventas!$B$2:$B$1002,A21)</f>
        <v>0</v>
      </c>
      <c r="L21" s="32">
        <f t="shared" si="2"/>
        <v>0</v>
      </c>
      <c r="M21" s="32"/>
    </row>
    <row r="22" spans="1:13" ht="14.25" customHeight="1" x14ac:dyDescent="0.3">
      <c r="A22" s="32" t="s">
        <v>237</v>
      </c>
      <c r="B22" s="37" t="s">
        <v>238</v>
      </c>
      <c r="C22" s="32" t="s">
        <v>199</v>
      </c>
      <c r="D22" s="33"/>
      <c r="E22" s="32"/>
      <c r="F22" s="32"/>
      <c r="G22" s="34">
        <v>37000</v>
      </c>
      <c r="H22" s="34">
        <v>75000</v>
      </c>
      <c r="I22" s="35">
        <f t="shared" si="1"/>
        <v>0.50666666666666671</v>
      </c>
      <c r="J22" s="36">
        <v>0</v>
      </c>
      <c r="K22" s="36">
        <f>J22-COUNTIF(Ventas!$B$2:$B$1002,A22)</f>
        <v>0</v>
      </c>
      <c r="L22" s="32">
        <f t="shared" si="2"/>
        <v>0</v>
      </c>
      <c r="M22" s="32"/>
    </row>
    <row r="23" spans="1:13" ht="14.25" customHeight="1" x14ac:dyDescent="0.3">
      <c r="A23" s="32" t="s">
        <v>239</v>
      </c>
      <c r="B23" s="37" t="s">
        <v>240</v>
      </c>
      <c r="C23" s="32" t="s">
        <v>199</v>
      </c>
      <c r="D23" s="33"/>
      <c r="E23" s="32"/>
      <c r="F23" s="32"/>
      <c r="G23" s="34">
        <v>37000</v>
      </c>
      <c r="H23" s="34">
        <v>75000</v>
      </c>
      <c r="I23" s="35">
        <f t="shared" si="1"/>
        <v>0.50666666666666671</v>
      </c>
      <c r="J23" s="36">
        <v>0</v>
      </c>
      <c r="K23" s="36">
        <f>J23-COUNTIF(Ventas!$B$2:$B$1002,A23)</f>
        <v>0</v>
      </c>
      <c r="L23" s="32">
        <f t="shared" si="2"/>
        <v>0</v>
      </c>
      <c r="M23" s="32"/>
    </row>
    <row r="24" spans="1:13" ht="14.25" customHeight="1" x14ac:dyDescent="0.3">
      <c r="A24" s="32" t="s">
        <v>241</v>
      </c>
      <c r="B24" s="37" t="s">
        <v>242</v>
      </c>
      <c r="C24" s="32" t="s">
        <v>199</v>
      </c>
      <c r="D24" s="33"/>
      <c r="E24" s="32"/>
      <c r="F24" s="32"/>
      <c r="G24" s="34">
        <v>37000</v>
      </c>
      <c r="H24" s="34">
        <v>75000</v>
      </c>
      <c r="I24" s="35">
        <f t="shared" si="1"/>
        <v>0.50666666666666671</v>
      </c>
      <c r="J24" s="36">
        <v>0</v>
      </c>
      <c r="K24" s="36">
        <f>J24-COUNTIF(Ventas!$B$2:$B$1002,A24)</f>
        <v>0</v>
      </c>
      <c r="L24" s="32">
        <f t="shared" si="2"/>
        <v>0</v>
      </c>
      <c r="M24" s="32"/>
    </row>
    <row r="25" spans="1:13" ht="14.25" customHeight="1" x14ac:dyDescent="0.3">
      <c r="A25" s="32" t="s">
        <v>243</v>
      </c>
      <c r="B25" s="37" t="s">
        <v>244</v>
      </c>
      <c r="C25" s="32" t="s">
        <v>199</v>
      </c>
      <c r="D25" s="33"/>
      <c r="E25" s="32"/>
      <c r="F25" s="32"/>
      <c r="G25" s="34">
        <v>37000</v>
      </c>
      <c r="H25" s="34">
        <v>75000</v>
      </c>
      <c r="I25" s="35">
        <f t="shared" si="1"/>
        <v>0.50666666666666671</v>
      </c>
      <c r="J25" s="36">
        <v>0</v>
      </c>
      <c r="K25" s="36">
        <f>J25-COUNTIF(Ventas!$B$2:$B$1002,A25)</f>
        <v>0</v>
      </c>
      <c r="L25" s="32">
        <f t="shared" si="2"/>
        <v>0</v>
      </c>
      <c r="M25" s="32"/>
    </row>
    <row r="26" spans="1:13" ht="14.25" customHeight="1" x14ac:dyDescent="0.3">
      <c r="A26" s="32" t="s">
        <v>245</v>
      </c>
      <c r="B26" s="37" t="s">
        <v>246</v>
      </c>
      <c r="C26" s="32" t="s">
        <v>199</v>
      </c>
      <c r="D26" s="33"/>
      <c r="E26" s="32"/>
      <c r="F26" s="32"/>
      <c r="G26" s="34">
        <v>37000</v>
      </c>
      <c r="H26" s="34">
        <v>75000</v>
      </c>
      <c r="I26" s="35">
        <f t="shared" si="1"/>
        <v>0.50666666666666671</v>
      </c>
      <c r="J26" s="36">
        <v>0</v>
      </c>
      <c r="K26" s="36">
        <f>J26-COUNTIF(Ventas!$B$2:$B$1002,A26)</f>
        <v>0</v>
      </c>
      <c r="L26" s="32">
        <f t="shared" si="2"/>
        <v>0</v>
      </c>
      <c r="M26" s="32"/>
    </row>
    <row r="27" spans="1:13" ht="14.25" customHeight="1" x14ac:dyDescent="0.3">
      <c r="A27" s="32" t="s">
        <v>247</v>
      </c>
      <c r="B27" s="37" t="s">
        <v>248</v>
      </c>
      <c r="C27" s="32" t="s">
        <v>199</v>
      </c>
      <c r="D27" s="33"/>
      <c r="E27" s="32"/>
      <c r="F27" s="32"/>
      <c r="G27" s="34">
        <v>37000</v>
      </c>
      <c r="H27" s="34">
        <v>75000</v>
      </c>
      <c r="I27" s="35">
        <f t="shared" si="1"/>
        <v>0.50666666666666671</v>
      </c>
      <c r="J27" s="36">
        <v>0</v>
      </c>
      <c r="K27" s="36">
        <f>J27-COUNTIF(Ventas!$B$2:$B$1002,A27)</f>
        <v>0</v>
      </c>
      <c r="L27" s="32">
        <f t="shared" si="2"/>
        <v>0</v>
      </c>
      <c r="M27" s="32"/>
    </row>
    <row r="28" spans="1:13" ht="14.25" customHeight="1" x14ac:dyDescent="0.3">
      <c r="A28" s="32" t="s">
        <v>249</v>
      </c>
      <c r="B28" s="37" t="s">
        <v>250</v>
      </c>
      <c r="C28" s="32" t="s">
        <v>199</v>
      </c>
      <c r="D28" s="33"/>
      <c r="E28" s="32"/>
      <c r="F28" s="32"/>
      <c r="G28" s="34">
        <v>37000</v>
      </c>
      <c r="H28" s="34">
        <v>75000</v>
      </c>
      <c r="I28" s="35">
        <f t="shared" si="1"/>
        <v>0.50666666666666671</v>
      </c>
      <c r="J28" s="36">
        <v>0</v>
      </c>
      <c r="K28" s="36">
        <f>J28-COUNTIF(Ventas!$B$2:$B$1002,A28)</f>
        <v>0</v>
      </c>
      <c r="L28" s="32">
        <f t="shared" si="2"/>
        <v>0</v>
      </c>
      <c r="M28" s="32"/>
    </row>
    <row r="29" spans="1:13" ht="14.25" customHeight="1" x14ac:dyDescent="0.3">
      <c r="A29" s="32" t="s">
        <v>251</v>
      </c>
      <c r="B29" s="37" t="s">
        <v>252</v>
      </c>
      <c r="C29" s="32" t="s">
        <v>253</v>
      </c>
      <c r="D29" s="33"/>
      <c r="E29" s="32"/>
      <c r="F29" s="32"/>
      <c r="G29" s="34">
        <v>36000</v>
      </c>
      <c r="H29" s="34">
        <v>85000</v>
      </c>
      <c r="I29" s="35">
        <f t="shared" si="1"/>
        <v>0.57647058823529407</v>
      </c>
      <c r="J29" s="36">
        <v>2</v>
      </c>
      <c r="K29" s="36">
        <f>J29-COUNTIF(Ventas!$B$2:$B$1002,A29)</f>
        <v>2</v>
      </c>
      <c r="L29" s="32">
        <f t="shared" si="2"/>
        <v>0</v>
      </c>
      <c r="M29" s="32"/>
    </row>
    <row r="30" spans="1:13" ht="14.25" customHeight="1" x14ac:dyDescent="0.3">
      <c r="A30" s="32" t="s">
        <v>254</v>
      </c>
      <c r="B30" s="37" t="s">
        <v>255</v>
      </c>
      <c r="C30" s="32" t="s">
        <v>253</v>
      </c>
      <c r="D30" s="33"/>
      <c r="E30" s="32"/>
      <c r="F30" s="32"/>
      <c r="G30" s="34">
        <v>36000</v>
      </c>
      <c r="H30" s="34">
        <v>85000</v>
      </c>
      <c r="I30" s="35">
        <f t="shared" si="1"/>
        <v>0.57647058823529407</v>
      </c>
      <c r="J30" s="36">
        <v>3</v>
      </c>
      <c r="K30" s="36">
        <f>J30-COUNTIF(Ventas!$B$2:$B$1002,A30)</f>
        <v>2</v>
      </c>
      <c r="L30" s="32">
        <f t="shared" si="2"/>
        <v>1</v>
      </c>
      <c r="M30" s="32"/>
    </row>
    <row r="31" spans="1:13" ht="14.25" customHeight="1" x14ac:dyDescent="0.3">
      <c r="A31" s="32" t="s">
        <v>256</v>
      </c>
      <c r="B31" s="37" t="s">
        <v>257</v>
      </c>
      <c r="C31" s="32" t="s">
        <v>253</v>
      </c>
      <c r="D31" s="33"/>
      <c r="E31" s="32"/>
      <c r="F31" s="32"/>
      <c r="G31" s="34">
        <v>36000</v>
      </c>
      <c r="H31" s="34">
        <v>85000</v>
      </c>
      <c r="I31" s="35">
        <f t="shared" si="1"/>
        <v>0.57647058823529407</v>
      </c>
      <c r="J31" s="36">
        <v>3</v>
      </c>
      <c r="K31" s="36">
        <f>J31-COUNTIF(Ventas!$B$2:$B$1002,A31)</f>
        <v>3</v>
      </c>
      <c r="L31" s="32">
        <f t="shared" si="2"/>
        <v>0</v>
      </c>
      <c r="M31" s="32"/>
    </row>
    <row r="32" spans="1:13" ht="14.25" customHeight="1" x14ac:dyDescent="0.3">
      <c r="A32" s="32" t="s">
        <v>258</v>
      </c>
      <c r="B32" s="37" t="s">
        <v>259</v>
      </c>
      <c r="C32" s="32" t="s">
        <v>253</v>
      </c>
      <c r="D32" s="33"/>
      <c r="E32" s="32"/>
      <c r="F32" s="32"/>
      <c r="G32" s="34">
        <v>36000</v>
      </c>
      <c r="H32" s="34">
        <v>85000</v>
      </c>
      <c r="I32" s="35">
        <f t="shared" si="1"/>
        <v>0.57647058823529407</v>
      </c>
      <c r="J32" s="36">
        <v>2</v>
      </c>
      <c r="K32" s="36">
        <f>J32-COUNTIF(Ventas!$B$2:$B$1002,A32)</f>
        <v>2</v>
      </c>
      <c r="L32" s="32">
        <f t="shared" si="2"/>
        <v>0</v>
      </c>
      <c r="M32" s="32"/>
    </row>
    <row r="33" spans="1:13" ht="14.25" customHeight="1" x14ac:dyDescent="0.3">
      <c r="A33" s="32" t="s">
        <v>260</v>
      </c>
      <c r="B33" s="37" t="s">
        <v>261</v>
      </c>
      <c r="C33" s="32" t="s">
        <v>262</v>
      </c>
      <c r="D33" s="33"/>
      <c r="E33" s="32"/>
      <c r="F33" s="32"/>
      <c r="G33" s="34">
        <v>30000</v>
      </c>
      <c r="H33" s="34">
        <v>65000</v>
      </c>
      <c r="I33" s="35">
        <f t="shared" si="1"/>
        <v>0.53846153846153844</v>
      </c>
      <c r="J33" s="36">
        <v>1</v>
      </c>
      <c r="K33" s="36">
        <f>J33-COUNTIF(Ventas!$B$2:$B$1002,A33)</f>
        <v>1</v>
      </c>
      <c r="L33" s="32">
        <f t="shared" si="2"/>
        <v>0</v>
      </c>
      <c r="M33" s="32"/>
    </row>
    <row r="34" spans="1:13" ht="14.25" customHeight="1" x14ac:dyDescent="0.3">
      <c r="A34" s="32" t="s">
        <v>263</v>
      </c>
      <c r="B34" s="37" t="s">
        <v>264</v>
      </c>
      <c r="C34" s="32" t="s">
        <v>262</v>
      </c>
      <c r="D34" s="33"/>
      <c r="E34" s="32"/>
      <c r="F34" s="32"/>
      <c r="G34" s="34">
        <v>30000</v>
      </c>
      <c r="H34" s="34">
        <v>65000</v>
      </c>
      <c r="I34" s="35">
        <f t="shared" si="1"/>
        <v>0.53846153846153844</v>
      </c>
      <c r="J34" s="36">
        <v>1</v>
      </c>
      <c r="K34" s="36">
        <f>J34-COUNTIF(Ventas!$B$2:$B$1002,A34)</f>
        <v>1</v>
      </c>
      <c r="L34" s="32">
        <f t="shared" si="2"/>
        <v>0</v>
      </c>
      <c r="M34" s="32"/>
    </row>
    <row r="35" spans="1:13" ht="14.25" customHeight="1" x14ac:dyDescent="0.3">
      <c r="A35" s="32" t="s">
        <v>265</v>
      </c>
      <c r="B35" s="37" t="s">
        <v>266</v>
      </c>
      <c r="C35" s="32" t="s">
        <v>262</v>
      </c>
      <c r="D35" s="33"/>
      <c r="E35" s="32"/>
      <c r="F35" s="32"/>
      <c r="G35" s="34">
        <v>37000</v>
      </c>
      <c r="H35" s="34">
        <v>75000</v>
      </c>
      <c r="I35" s="35">
        <f t="shared" si="1"/>
        <v>0.50666666666666671</v>
      </c>
      <c r="J35" s="36">
        <v>2</v>
      </c>
      <c r="K35" s="36">
        <f>J35-COUNTIF(Ventas!$B$2:$B$1002,A35)</f>
        <v>2</v>
      </c>
      <c r="L35" s="32">
        <f t="shared" si="2"/>
        <v>0</v>
      </c>
      <c r="M35" s="32"/>
    </row>
    <row r="36" spans="1:13" ht="14.25" customHeight="1" x14ac:dyDescent="0.3">
      <c r="A36" s="32" t="s">
        <v>267</v>
      </c>
      <c r="B36" s="37" t="s">
        <v>268</v>
      </c>
      <c r="C36" s="32" t="s">
        <v>262</v>
      </c>
      <c r="D36" s="33"/>
      <c r="E36" s="32"/>
      <c r="F36" s="32"/>
      <c r="G36" s="34">
        <v>37000</v>
      </c>
      <c r="H36" s="34">
        <v>75000</v>
      </c>
      <c r="I36" s="35">
        <f t="shared" si="1"/>
        <v>0.50666666666666671</v>
      </c>
      <c r="J36" s="36">
        <v>4</v>
      </c>
      <c r="K36" s="36">
        <f>J36-COUNTIF(Ventas!$B$2:$B$1002,A36)</f>
        <v>2</v>
      </c>
      <c r="L36" s="32">
        <f t="shared" si="2"/>
        <v>2</v>
      </c>
      <c r="M36" s="32"/>
    </row>
    <row r="37" spans="1:13" ht="14.25" customHeight="1" x14ac:dyDescent="0.3">
      <c r="A37" s="32" t="s">
        <v>269</v>
      </c>
      <c r="B37" s="37" t="s">
        <v>270</v>
      </c>
      <c r="C37" s="32" t="s">
        <v>262</v>
      </c>
      <c r="D37" s="33"/>
      <c r="E37" s="32"/>
      <c r="F37" s="32"/>
      <c r="G37" s="34">
        <v>37000</v>
      </c>
      <c r="H37" s="34">
        <v>75000</v>
      </c>
      <c r="I37" s="35">
        <f t="shared" si="1"/>
        <v>0.50666666666666671</v>
      </c>
      <c r="J37" s="36">
        <v>4</v>
      </c>
      <c r="K37" s="36">
        <f>J37-COUNTIF(Ventas!$B$2:$B$1002,A37)</f>
        <v>3</v>
      </c>
      <c r="L37" s="32">
        <f t="shared" si="2"/>
        <v>1</v>
      </c>
      <c r="M37" s="32"/>
    </row>
    <row r="38" spans="1:13" ht="14.25" customHeight="1" x14ac:dyDescent="0.3">
      <c r="A38" s="32" t="s">
        <v>271</v>
      </c>
      <c r="B38" s="37" t="s">
        <v>272</v>
      </c>
      <c r="C38" s="32" t="s">
        <v>262</v>
      </c>
      <c r="D38" s="33"/>
      <c r="E38" s="32"/>
      <c r="F38" s="32"/>
      <c r="G38" s="34">
        <v>37000</v>
      </c>
      <c r="H38" s="34">
        <v>75000</v>
      </c>
      <c r="I38" s="35">
        <f t="shared" si="1"/>
        <v>0.50666666666666671</v>
      </c>
      <c r="J38" s="36">
        <v>2</v>
      </c>
      <c r="K38" s="36">
        <f>J38-COUNTIF(Ventas!$B$2:$B$1002,A38)</f>
        <v>2</v>
      </c>
      <c r="L38" s="32">
        <f t="shared" si="2"/>
        <v>0</v>
      </c>
      <c r="M38" s="32"/>
    </row>
    <row r="39" spans="1:13" ht="14.25" customHeight="1" x14ac:dyDescent="0.3">
      <c r="A39" s="32" t="s">
        <v>273</v>
      </c>
      <c r="B39" s="37" t="s">
        <v>274</v>
      </c>
      <c r="C39" s="32" t="s">
        <v>262</v>
      </c>
      <c r="D39" s="33"/>
      <c r="E39" s="32"/>
      <c r="F39" s="32"/>
      <c r="G39" s="34">
        <v>37000</v>
      </c>
      <c r="H39" s="34">
        <v>75000</v>
      </c>
      <c r="I39" s="35">
        <f t="shared" si="1"/>
        <v>0.50666666666666671</v>
      </c>
      <c r="J39" s="36">
        <v>4</v>
      </c>
      <c r="K39" s="36">
        <f>J39-COUNTIF(Ventas!$B$2:$B$1002,A39)</f>
        <v>2</v>
      </c>
      <c r="L39" s="32">
        <f t="shared" si="2"/>
        <v>2</v>
      </c>
      <c r="M39" s="32"/>
    </row>
    <row r="40" spans="1:13" ht="14.25" customHeight="1" x14ac:dyDescent="0.3">
      <c r="A40" s="32" t="s">
        <v>275</v>
      </c>
      <c r="B40" s="37" t="s">
        <v>276</v>
      </c>
      <c r="C40" s="32" t="s">
        <v>262</v>
      </c>
      <c r="D40" s="33"/>
      <c r="E40" s="32"/>
      <c r="F40" s="32"/>
      <c r="G40" s="34">
        <v>37000</v>
      </c>
      <c r="H40" s="34">
        <v>75000</v>
      </c>
      <c r="I40" s="35">
        <f t="shared" si="1"/>
        <v>0.50666666666666671</v>
      </c>
      <c r="J40" s="36">
        <v>4</v>
      </c>
      <c r="K40" s="36">
        <f>J40-COUNTIF(Ventas!$B$2:$B$1002,A40)</f>
        <v>2</v>
      </c>
      <c r="L40" s="32">
        <f t="shared" si="2"/>
        <v>2</v>
      </c>
      <c r="M40" s="32"/>
    </row>
    <row r="41" spans="1:13" ht="14.25" customHeight="1" x14ac:dyDescent="0.3">
      <c r="A41" s="32" t="s">
        <v>277</v>
      </c>
      <c r="B41" s="37" t="s">
        <v>278</v>
      </c>
      <c r="C41" s="32" t="s">
        <v>262</v>
      </c>
      <c r="D41" s="33"/>
      <c r="E41" s="32"/>
      <c r="F41" s="32"/>
      <c r="G41" s="34">
        <v>37000</v>
      </c>
      <c r="H41" s="34">
        <v>75000</v>
      </c>
      <c r="I41" s="35">
        <f t="shared" si="1"/>
        <v>0.50666666666666671</v>
      </c>
      <c r="J41" s="36">
        <v>2</v>
      </c>
      <c r="K41" s="36">
        <f>J41-COUNTIF(Ventas!$B$2:$B$1002,A41)</f>
        <v>2</v>
      </c>
      <c r="L41" s="32">
        <f t="shared" si="2"/>
        <v>0</v>
      </c>
      <c r="M41" s="32"/>
    </row>
    <row r="42" spans="1:13" ht="14.25" customHeight="1" x14ac:dyDescent="0.3">
      <c r="A42" s="32" t="s">
        <v>279</v>
      </c>
      <c r="B42" s="37" t="s">
        <v>280</v>
      </c>
      <c r="C42" s="32" t="s">
        <v>262</v>
      </c>
      <c r="D42" s="33"/>
      <c r="E42" s="32"/>
      <c r="F42" s="32"/>
      <c r="G42" s="34">
        <v>37000</v>
      </c>
      <c r="H42" s="34">
        <v>75000</v>
      </c>
      <c r="I42" s="35">
        <f t="shared" si="1"/>
        <v>0.50666666666666671</v>
      </c>
      <c r="J42" s="36">
        <v>4</v>
      </c>
      <c r="K42" s="36">
        <f>J42-COUNTIF(Ventas!$B$2:$B$1002,A42)</f>
        <v>4</v>
      </c>
      <c r="L42" s="32">
        <f t="shared" si="2"/>
        <v>0</v>
      </c>
      <c r="M42" s="32"/>
    </row>
    <row r="43" spans="1:13" ht="14.25" customHeight="1" x14ac:dyDescent="0.3">
      <c r="A43" s="32" t="s">
        <v>281</v>
      </c>
      <c r="B43" s="37" t="s">
        <v>282</v>
      </c>
      <c r="C43" s="32" t="s">
        <v>262</v>
      </c>
      <c r="D43" s="33"/>
      <c r="E43" s="32"/>
      <c r="F43" s="32"/>
      <c r="G43" s="34">
        <v>37000</v>
      </c>
      <c r="H43" s="34">
        <v>75000</v>
      </c>
      <c r="I43" s="35">
        <f t="shared" si="1"/>
        <v>0.50666666666666671</v>
      </c>
      <c r="J43" s="36">
        <v>4</v>
      </c>
      <c r="K43" s="36">
        <f>J43-COUNTIF(Ventas!$B$2:$B$1002,A43)</f>
        <v>4</v>
      </c>
      <c r="L43" s="32">
        <f t="shared" si="2"/>
        <v>0</v>
      </c>
      <c r="M43" s="32"/>
    </row>
    <row r="44" spans="1:13" ht="14.25" customHeight="1" x14ac:dyDescent="0.3">
      <c r="A44" s="32" t="s">
        <v>283</v>
      </c>
      <c r="B44" s="37" t="s">
        <v>284</v>
      </c>
      <c r="C44" s="32" t="s">
        <v>285</v>
      </c>
      <c r="D44" s="33"/>
      <c r="E44" s="32"/>
      <c r="F44" s="32"/>
      <c r="G44" s="34">
        <v>120000</v>
      </c>
      <c r="H44" s="34">
        <v>190000</v>
      </c>
      <c r="I44" s="35">
        <f t="shared" si="1"/>
        <v>0.36842105263157893</v>
      </c>
      <c r="J44" s="36">
        <v>12</v>
      </c>
      <c r="K44" s="36">
        <f>J44-COUNTIF(Ventas!$B$2:$B$1002,A44)</f>
        <v>0</v>
      </c>
      <c r="L44" s="32">
        <f t="shared" si="2"/>
        <v>12</v>
      </c>
      <c r="M44" s="32"/>
    </row>
    <row r="45" spans="1:13" ht="14.25" customHeight="1" x14ac:dyDescent="0.3">
      <c r="A45" s="32" t="s">
        <v>286</v>
      </c>
      <c r="B45" s="37" t="s">
        <v>287</v>
      </c>
      <c r="C45" s="32" t="s">
        <v>288</v>
      </c>
      <c r="D45" s="33"/>
      <c r="E45" s="32"/>
      <c r="F45" s="32"/>
      <c r="G45" s="34">
        <f>'Pedidos Proveedores'!$E$3</f>
        <v>90000</v>
      </c>
      <c r="H45" s="34">
        <v>180000</v>
      </c>
      <c r="I45" s="35">
        <f t="shared" si="1"/>
        <v>0.5</v>
      </c>
      <c r="J45" s="36">
        <v>0</v>
      </c>
      <c r="K45" s="36">
        <f>J45-COUNTIF(Ventas!$B$2:$B$1002,A45)</f>
        <v>0</v>
      </c>
      <c r="L45" s="32">
        <f t="shared" si="2"/>
        <v>0</v>
      </c>
      <c r="M45" s="32"/>
    </row>
    <row r="46" spans="1:13" ht="14.25" customHeight="1" x14ac:dyDescent="0.3">
      <c r="A46" s="32" t="s">
        <v>289</v>
      </c>
      <c r="B46" s="37" t="s">
        <v>290</v>
      </c>
      <c r="C46" s="32" t="s">
        <v>288</v>
      </c>
      <c r="D46" s="33"/>
      <c r="E46" s="32"/>
      <c r="F46" s="32"/>
      <c r="G46" s="34">
        <f>'Pedidos Proveedores'!$E$3</f>
        <v>90000</v>
      </c>
      <c r="H46" s="34">
        <v>180000</v>
      </c>
      <c r="I46" s="35">
        <f t="shared" si="1"/>
        <v>0.5</v>
      </c>
      <c r="J46" s="36">
        <v>3</v>
      </c>
      <c r="K46" s="36">
        <f>J46-COUNTIF(Ventas!$B$2:$B$1002,A46)</f>
        <v>3</v>
      </c>
      <c r="L46" s="32">
        <f t="shared" si="2"/>
        <v>0</v>
      </c>
      <c r="M46" s="32"/>
    </row>
    <row r="47" spans="1:13" ht="14.25" customHeight="1" x14ac:dyDescent="0.3">
      <c r="A47" s="32" t="s">
        <v>291</v>
      </c>
      <c r="B47" s="37" t="s">
        <v>292</v>
      </c>
      <c r="C47" s="32" t="s">
        <v>288</v>
      </c>
      <c r="D47" s="33"/>
      <c r="E47" s="32"/>
      <c r="F47" s="32"/>
      <c r="G47" s="34">
        <f>'Pedidos Proveedores'!$E$3</f>
        <v>90000</v>
      </c>
      <c r="H47" s="34">
        <v>180000</v>
      </c>
      <c r="I47" s="35">
        <f t="shared" si="1"/>
        <v>0.5</v>
      </c>
      <c r="J47" s="36">
        <v>3</v>
      </c>
      <c r="K47" s="36">
        <f>J47-COUNTIF(Ventas!$B$2:$B$1002,A47)</f>
        <v>1</v>
      </c>
      <c r="L47" s="32">
        <f t="shared" si="2"/>
        <v>2</v>
      </c>
      <c r="M47" s="32"/>
    </row>
    <row r="48" spans="1:13" ht="14.25" customHeight="1" x14ac:dyDescent="0.3">
      <c r="A48" s="32" t="s">
        <v>293</v>
      </c>
      <c r="B48" s="37" t="s">
        <v>294</v>
      </c>
      <c r="C48" s="32" t="s">
        <v>288</v>
      </c>
      <c r="D48" s="33"/>
      <c r="E48" s="32"/>
      <c r="F48" s="32"/>
      <c r="G48" s="34">
        <f>'Pedidos Proveedores'!$E$3</f>
        <v>90000</v>
      </c>
      <c r="H48" s="34">
        <v>180000</v>
      </c>
      <c r="I48" s="35">
        <f t="shared" si="1"/>
        <v>0.5</v>
      </c>
      <c r="J48" s="36">
        <v>0</v>
      </c>
      <c r="K48" s="36">
        <f>J48-COUNTIF(Ventas!$B$2:$B$1002,A48)</f>
        <v>0</v>
      </c>
      <c r="L48" s="32">
        <f t="shared" si="2"/>
        <v>0</v>
      </c>
      <c r="M48" s="32"/>
    </row>
    <row r="49" spans="1:13" ht="14.25" customHeight="1" x14ac:dyDescent="0.3">
      <c r="A49" s="32" t="s">
        <v>295</v>
      </c>
      <c r="B49" s="37" t="s">
        <v>296</v>
      </c>
      <c r="C49" s="32" t="s">
        <v>288</v>
      </c>
      <c r="D49" s="33"/>
      <c r="E49" s="32"/>
      <c r="F49" s="32"/>
      <c r="G49" s="34">
        <f>'Pedidos Proveedores'!$E$3</f>
        <v>90000</v>
      </c>
      <c r="H49" s="34">
        <v>180000</v>
      </c>
      <c r="I49" s="35">
        <f t="shared" si="1"/>
        <v>0.5</v>
      </c>
      <c r="J49" s="36">
        <v>0</v>
      </c>
      <c r="K49" s="36">
        <f>J49-COUNTIF(Ventas!$B$2:$B$1002,A49)</f>
        <v>0</v>
      </c>
      <c r="L49" s="32">
        <f t="shared" si="2"/>
        <v>0</v>
      </c>
      <c r="M49" s="32"/>
    </row>
    <row r="50" spans="1:13" ht="14.25" customHeight="1" x14ac:dyDescent="0.3">
      <c r="A50" s="32" t="s">
        <v>297</v>
      </c>
      <c r="B50" s="37" t="s">
        <v>298</v>
      </c>
      <c r="C50" s="32" t="s">
        <v>288</v>
      </c>
      <c r="D50" s="33"/>
      <c r="E50" s="32"/>
      <c r="F50" s="32"/>
      <c r="G50" s="34">
        <f>'Pedidos Proveedores'!$E$3</f>
        <v>90000</v>
      </c>
      <c r="H50" s="34">
        <v>180000</v>
      </c>
      <c r="I50" s="35">
        <f t="shared" si="1"/>
        <v>0.5</v>
      </c>
      <c r="J50" s="36">
        <v>3</v>
      </c>
      <c r="K50" s="36">
        <f>J50-COUNTIF(Ventas!$B$2:$B$1002,A50)</f>
        <v>3</v>
      </c>
      <c r="L50" s="32">
        <f t="shared" si="2"/>
        <v>0</v>
      </c>
      <c r="M50" s="32"/>
    </row>
    <row r="51" spans="1:13" ht="14.25" customHeight="1" x14ac:dyDescent="0.3">
      <c r="A51" s="32" t="s">
        <v>299</v>
      </c>
      <c r="B51" s="37" t="s">
        <v>300</v>
      </c>
      <c r="C51" s="32" t="s">
        <v>288</v>
      </c>
      <c r="D51" s="33"/>
      <c r="E51" s="32"/>
      <c r="F51" s="32"/>
      <c r="G51" s="34">
        <f>'Pedidos Proveedores'!$E$3</f>
        <v>90000</v>
      </c>
      <c r="H51" s="34">
        <v>180000</v>
      </c>
      <c r="I51" s="35">
        <f t="shared" si="1"/>
        <v>0.5</v>
      </c>
      <c r="J51" s="36">
        <v>0</v>
      </c>
      <c r="K51" s="36">
        <f>J51-COUNTIF(Ventas!$B$2:$B$1002,A51)</f>
        <v>0</v>
      </c>
      <c r="L51" s="32">
        <f t="shared" si="2"/>
        <v>0</v>
      </c>
      <c r="M51" s="32"/>
    </row>
    <row r="52" spans="1:13" ht="14.25" customHeight="1" x14ac:dyDescent="0.3">
      <c r="A52" s="32" t="s">
        <v>301</v>
      </c>
      <c r="B52" s="37" t="s">
        <v>302</v>
      </c>
      <c r="C52" s="32" t="s">
        <v>288</v>
      </c>
      <c r="D52" s="33"/>
      <c r="E52" s="32"/>
      <c r="F52" s="32"/>
      <c r="G52" s="34">
        <f>'Pedidos Proveedores'!$E$3</f>
        <v>90000</v>
      </c>
      <c r="H52" s="34">
        <v>180000</v>
      </c>
      <c r="I52" s="35">
        <f t="shared" si="1"/>
        <v>0.5</v>
      </c>
      <c r="J52" s="36">
        <v>0</v>
      </c>
      <c r="K52" s="36">
        <f>J52-COUNTIF(Ventas!$B$2:$B$1002,A52)</f>
        <v>0</v>
      </c>
      <c r="L52" s="32">
        <f t="shared" si="2"/>
        <v>0</v>
      </c>
      <c r="M52" s="32"/>
    </row>
    <row r="53" spans="1:13" ht="14.25" customHeight="1" x14ac:dyDescent="0.3">
      <c r="A53" s="32" t="s">
        <v>303</v>
      </c>
      <c r="B53" s="37" t="s">
        <v>304</v>
      </c>
      <c r="C53" s="32" t="s">
        <v>288</v>
      </c>
      <c r="D53" s="33"/>
      <c r="E53" s="32"/>
      <c r="F53" s="32"/>
      <c r="G53" s="34">
        <f>'Pedidos Proveedores'!$E$3</f>
        <v>90000</v>
      </c>
      <c r="H53" s="34">
        <v>180000</v>
      </c>
      <c r="I53" s="35">
        <f t="shared" si="1"/>
        <v>0.5</v>
      </c>
      <c r="J53" s="36">
        <v>0</v>
      </c>
      <c r="K53" s="36">
        <f>J53-COUNTIF(Ventas!$B$2:$B$1002,A53)</f>
        <v>0</v>
      </c>
      <c r="L53" s="32">
        <f t="shared" si="2"/>
        <v>0</v>
      </c>
      <c r="M53" s="32"/>
    </row>
    <row r="54" spans="1:13" ht="14.25" customHeight="1" x14ac:dyDescent="0.3">
      <c r="A54" s="32" t="s">
        <v>305</v>
      </c>
      <c r="B54" s="37" t="s">
        <v>306</v>
      </c>
      <c r="C54" s="32" t="s">
        <v>288</v>
      </c>
      <c r="D54" s="33"/>
      <c r="E54" s="32"/>
      <c r="F54" s="32"/>
      <c r="G54" s="34">
        <f>'Pedidos Proveedores'!$E$3</f>
        <v>90000</v>
      </c>
      <c r="H54" s="34">
        <v>180000</v>
      </c>
      <c r="I54" s="35">
        <f t="shared" si="1"/>
        <v>0.5</v>
      </c>
      <c r="J54" s="36">
        <v>0</v>
      </c>
      <c r="K54" s="36">
        <f>J54-COUNTIF(Ventas!$B$2:$B$1002,A54)</f>
        <v>0</v>
      </c>
      <c r="L54" s="32">
        <f t="shared" si="2"/>
        <v>0</v>
      </c>
      <c r="M54" s="32"/>
    </row>
    <row r="55" spans="1:13" ht="14.25" customHeight="1" x14ac:dyDescent="0.3">
      <c r="A55" s="32" t="s">
        <v>307</v>
      </c>
      <c r="B55" s="37" t="s">
        <v>308</v>
      </c>
      <c r="C55" s="32" t="s">
        <v>288</v>
      </c>
      <c r="D55" s="33"/>
      <c r="E55" s="32"/>
      <c r="F55" s="32"/>
      <c r="G55" s="34">
        <f>'Pedidos Proveedores'!$E$3</f>
        <v>90000</v>
      </c>
      <c r="H55" s="34">
        <v>180000</v>
      </c>
      <c r="I55" s="35">
        <f t="shared" si="1"/>
        <v>0.5</v>
      </c>
      <c r="J55" s="36">
        <v>0</v>
      </c>
      <c r="K55" s="36">
        <f>J55-COUNTIF(Ventas!$B$2:$B$1002,A55)</f>
        <v>0</v>
      </c>
      <c r="L55" s="32">
        <f t="shared" si="2"/>
        <v>0</v>
      </c>
      <c r="M55" s="32"/>
    </row>
    <row r="56" spans="1:13" ht="14.25" customHeight="1" x14ac:dyDescent="0.3">
      <c r="A56" s="32" t="s">
        <v>309</v>
      </c>
      <c r="B56" s="37" t="s">
        <v>310</v>
      </c>
      <c r="C56" s="32" t="s">
        <v>288</v>
      </c>
      <c r="D56" s="33"/>
      <c r="E56" s="32"/>
      <c r="F56" s="32"/>
      <c r="G56" s="34">
        <f>'Pedidos Proveedores'!$E$3</f>
        <v>90000</v>
      </c>
      <c r="H56" s="34">
        <v>180000</v>
      </c>
      <c r="I56" s="35">
        <f t="shared" si="1"/>
        <v>0.5</v>
      </c>
      <c r="J56" s="36">
        <v>0</v>
      </c>
      <c r="K56" s="36">
        <f>J56-COUNTIF(Ventas!$B$2:$B$1002,A56)</f>
        <v>0</v>
      </c>
      <c r="L56" s="32">
        <f t="shared" si="2"/>
        <v>0</v>
      </c>
      <c r="M56" s="32"/>
    </row>
    <row r="57" spans="1:13" ht="14.25" customHeight="1" x14ac:dyDescent="0.3">
      <c r="A57" s="32" t="s">
        <v>311</v>
      </c>
      <c r="B57" s="37" t="s">
        <v>312</v>
      </c>
      <c r="C57" s="32" t="s">
        <v>313</v>
      </c>
      <c r="D57" s="33"/>
      <c r="E57" s="32"/>
      <c r="F57" s="32"/>
      <c r="G57" s="34">
        <v>55000</v>
      </c>
      <c r="H57" s="34">
        <v>120000</v>
      </c>
      <c r="I57" s="35">
        <f t="shared" si="1"/>
        <v>0.54166666666666663</v>
      </c>
      <c r="J57" s="36">
        <v>2</v>
      </c>
      <c r="K57" s="36">
        <f>J57-COUNTIF(Ventas!$B$2:$B$1002,A57)</f>
        <v>1</v>
      </c>
      <c r="L57" s="32">
        <f t="shared" si="2"/>
        <v>1</v>
      </c>
      <c r="M57" s="32"/>
    </row>
    <row r="58" spans="1:13" ht="14.25" customHeight="1" x14ac:dyDescent="0.3">
      <c r="A58" s="32" t="s">
        <v>314</v>
      </c>
      <c r="B58" s="37" t="s">
        <v>315</v>
      </c>
      <c r="C58" s="32" t="s">
        <v>313</v>
      </c>
      <c r="D58" s="33"/>
      <c r="E58" s="32"/>
      <c r="F58" s="32"/>
      <c r="G58" s="34">
        <v>55000</v>
      </c>
      <c r="H58" s="34">
        <v>120000</v>
      </c>
      <c r="I58" s="35">
        <f t="shared" si="1"/>
        <v>0.54166666666666663</v>
      </c>
      <c r="J58" s="36">
        <v>4</v>
      </c>
      <c r="K58" s="36">
        <f>J58-COUNTIF(Ventas!$B$2:$B$1002,A58)</f>
        <v>2</v>
      </c>
      <c r="L58" s="32">
        <f t="shared" si="2"/>
        <v>2</v>
      </c>
      <c r="M58" s="32"/>
    </row>
    <row r="59" spans="1:13" ht="14.25" customHeight="1" x14ac:dyDescent="0.3">
      <c r="A59" s="32" t="s">
        <v>316</v>
      </c>
      <c r="B59" s="37" t="s">
        <v>317</v>
      </c>
      <c r="C59" s="32" t="s">
        <v>313</v>
      </c>
      <c r="D59" s="33"/>
      <c r="E59" s="32"/>
      <c r="F59" s="32"/>
      <c r="G59" s="34">
        <v>55000</v>
      </c>
      <c r="H59" s="34">
        <v>120000</v>
      </c>
      <c r="I59" s="35">
        <f t="shared" si="1"/>
        <v>0.54166666666666663</v>
      </c>
      <c r="J59" s="36">
        <v>4</v>
      </c>
      <c r="K59" s="36">
        <f>J59-COUNTIF(Ventas!$B$2:$B$1002,A59)</f>
        <v>2</v>
      </c>
      <c r="L59" s="32">
        <f t="shared" si="2"/>
        <v>2</v>
      </c>
      <c r="M59" s="32"/>
    </row>
    <row r="60" spans="1:13" ht="14.25" customHeight="1" x14ac:dyDescent="0.3">
      <c r="A60" s="32" t="s">
        <v>318</v>
      </c>
      <c r="B60" s="37" t="s">
        <v>319</v>
      </c>
      <c r="C60" s="32" t="s">
        <v>313</v>
      </c>
      <c r="D60" s="33"/>
      <c r="E60" s="32"/>
      <c r="F60" s="32"/>
      <c r="G60" s="34">
        <v>55000</v>
      </c>
      <c r="H60" s="34">
        <v>120000</v>
      </c>
      <c r="I60" s="35">
        <f t="shared" si="1"/>
        <v>0.54166666666666663</v>
      </c>
      <c r="J60" s="36">
        <v>2</v>
      </c>
      <c r="K60" s="36">
        <f>J60-COUNTIF(Ventas!$B$2:$B$1002,A60)</f>
        <v>2</v>
      </c>
      <c r="L60" s="32">
        <f t="shared" si="2"/>
        <v>0</v>
      </c>
      <c r="M60" s="32"/>
    </row>
    <row r="61" spans="1:13" ht="14.25" customHeight="1" x14ac:dyDescent="0.3">
      <c r="A61" s="32" t="s">
        <v>320</v>
      </c>
      <c r="B61" s="37" t="s">
        <v>321</v>
      </c>
      <c r="C61" s="32" t="s">
        <v>313</v>
      </c>
      <c r="D61" s="33"/>
      <c r="E61" s="32"/>
      <c r="F61" s="32"/>
      <c r="G61" s="34">
        <v>55000</v>
      </c>
      <c r="H61" s="34">
        <v>120000</v>
      </c>
      <c r="I61" s="35">
        <f t="shared" si="1"/>
        <v>0.54166666666666663</v>
      </c>
      <c r="J61" s="36">
        <v>2</v>
      </c>
      <c r="K61" s="36">
        <f>J61-COUNTIF(Ventas!$B$2:$B$1002,A61)</f>
        <v>1</v>
      </c>
      <c r="L61" s="32">
        <f t="shared" si="2"/>
        <v>1</v>
      </c>
      <c r="M61" s="32"/>
    </row>
    <row r="62" spans="1:13" ht="14.25" customHeight="1" x14ac:dyDescent="0.3">
      <c r="A62" s="32" t="s">
        <v>322</v>
      </c>
      <c r="B62" s="37" t="s">
        <v>323</v>
      </c>
      <c r="C62" s="32" t="s">
        <v>313</v>
      </c>
      <c r="D62" s="33"/>
      <c r="E62" s="32"/>
      <c r="F62" s="32"/>
      <c r="G62" s="34">
        <v>55000</v>
      </c>
      <c r="H62" s="34">
        <v>120000</v>
      </c>
      <c r="I62" s="35">
        <f t="shared" si="1"/>
        <v>0.54166666666666663</v>
      </c>
      <c r="J62" s="36">
        <v>2</v>
      </c>
      <c r="K62" s="36">
        <f>J62-COUNTIF(Ventas!$B$2:$B$1002,A62)</f>
        <v>2</v>
      </c>
      <c r="L62" s="32">
        <f t="shared" si="2"/>
        <v>0</v>
      </c>
      <c r="M62" s="32"/>
    </row>
    <row r="63" spans="1:13" ht="14.25" customHeight="1" x14ac:dyDescent="0.3">
      <c r="A63" s="32" t="s">
        <v>324</v>
      </c>
      <c r="B63" s="37" t="s">
        <v>325</v>
      </c>
      <c r="C63" s="32" t="s">
        <v>313</v>
      </c>
      <c r="D63" s="33"/>
      <c r="E63" s="32"/>
      <c r="F63" s="32"/>
      <c r="G63" s="34">
        <v>55000</v>
      </c>
      <c r="H63" s="34">
        <v>120000</v>
      </c>
      <c r="I63" s="35">
        <f t="shared" si="1"/>
        <v>0.54166666666666663</v>
      </c>
      <c r="J63" s="36">
        <v>2</v>
      </c>
      <c r="K63" s="36">
        <f>J63-COUNTIF(Ventas!$B$2:$B$1002,A63)</f>
        <v>2</v>
      </c>
      <c r="L63" s="32">
        <f t="shared" si="2"/>
        <v>0</v>
      </c>
      <c r="M63" s="32"/>
    </row>
    <row r="64" spans="1:13" ht="14.25" customHeight="1" x14ac:dyDescent="0.3">
      <c r="A64" s="32" t="s">
        <v>326</v>
      </c>
      <c r="B64" s="37" t="s">
        <v>327</v>
      </c>
      <c r="C64" s="32" t="s">
        <v>313</v>
      </c>
      <c r="D64" s="33"/>
      <c r="E64" s="32"/>
      <c r="F64" s="32"/>
      <c r="G64" s="34">
        <v>55000</v>
      </c>
      <c r="H64" s="34">
        <v>120000</v>
      </c>
      <c r="I64" s="35">
        <f t="shared" si="1"/>
        <v>0.54166666666666663</v>
      </c>
      <c r="J64" s="36">
        <v>2</v>
      </c>
      <c r="K64" s="36">
        <f>J64-COUNTIF(Ventas!$B$2:$B$1002,A64)</f>
        <v>2</v>
      </c>
      <c r="L64" s="32">
        <f t="shared" si="2"/>
        <v>0</v>
      </c>
      <c r="M64" s="32"/>
    </row>
    <row r="65" spans="1:13" ht="14.25" customHeight="1" x14ac:dyDescent="0.3">
      <c r="A65" s="32" t="s">
        <v>328</v>
      </c>
      <c r="B65" s="37" t="s">
        <v>329</v>
      </c>
      <c r="C65" s="32" t="s">
        <v>313</v>
      </c>
      <c r="D65" s="33"/>
      <c r="E65" s="32"/>
      <c r="F65" s="32"/>
      <c r="G65" s="34">
        <v>55000</v>
      </c>
      <c r="H65" s="34">
        <v>120000</v>
      </c>
      <c r="I65" s="35">
        <f t="shared" si="1"/>
        <v>0.54166666666666663</v>
      </c>
      <c r="J65" s="36">
        <v>2</v>
      </c>
      <c r="K65" s="36">
        <f>J65-COUNTIF(Ventas!$B$2:$B$1002,A65)</f>
        <v>2</v>
      </c>
      <c r="L65" s="32">
        <f t="shared" si="2"/>
        <v>0</v>
      </c>
      <c r="M65" s="32"/>
    </row>
    <row r="66" spans="1:13" ht="14.25" customHeight="1" x14ac:dyDescent="0.3">
      <c r="A66" s="32" t="s">
        <v>330</v>
      </c>
      <c r="B66" s="37" t="s">
        <v>331</v>
      </c>
      <c r="C66" s="32" t="s">
        <v>313</v>
      </c>
      <c r="D66" s="33"/>
      <c r="E66" s="32"/>
      <c r="F66" s="32"/>
      <c r="G66" s="34">
        <v>55000</v>
      </c>
      <c r="H66" s="34">
        <v>120000</v>
      </c>
      <c r="I66" s="35">
        <f t="shared" si="1"/>
        <v>0.54166666666666663</v>
      </c>
      <c r="J66" s="36">
        <v>2</v>
      </c>
      <c r="K66" s="36">
        <f>J66-COUNTIF(Ventas!$B$2:$B$1002,A66)</f>
        <v>2</v>
      </c>
      <c r="L66" s="32">
        <f t="shared" si="2"/>
        <v>0</v>
      </c>
      <c r="M66" s="32"/>
    </row>
    <row r="67" spans="1:13" ht="14.25" customHeight="1" x14ac:dyDescent="0.3">
      <c r="A67" s="32" t="s">
        <v>332</v>
      </c>
      <c r="B67" s="37" t="s">
        <v>333</v>
      </c>
      <c r="C67" s="32" t="s">
        <v>334</v>
      </c>
      <c r="D67" s="33"/>
      <c r="E67" s="32"/>
      <c r="F67" s="32"/>
      <c r="G67" s="34">
        <v>55000</v>
      </c>
      <c r="H67" s="34">
        <v>100000</v>
      </c>
      <c r="I67" s="35">
        <f t="shared" si="1"/>
        <v>0.45</v>
      </c>
      <c r="J67" s="36">
        <v>4</v>
      </c>
      <c r="K67" s="36">
        <f>J67-COUNTIF(Ventas!$B$2:$B$1002,A67)</f>
        <v>4</v>
      </c>
      <c r="L67" s="32">
        <f t="shared" si="2"/>
        <v>0</v>
      </c>
      <c r="M67" s="32"/>
    </row>
    <row r="68" spans="1:13" ht="14.25" customHeight="1" x14ac:dyDescent="0.3">
      <c r="A68" s="32" t="s">
        <v>335</v>
      </c>
      <c r="B68" s="37" t="s">
        <v>336</v>
      </c>
      <c r="C68" s="32" t="s">
        <v>334</v>
      </c>
      <c r="D68" s="33"/>
      <c r="E68" s="32"/>
      <c r="F68" s="32"/>
      <c r="G68" s="34">
        <v>55000</v>
      </c>
      <c r="H68" s="34">
        <v>100000</v>
      </c>
      <c r="I68" s="35">
        <f t="shared" si="1"/>
        <v>0.45</v>
      </c>
      <c r="J68" s="36">
        <v>4</v>
      </c>
      <c r="K68" s="36">
        <f>J68-COUNTIF(Ventas!$B$2:$B$1002,A68)</f>
        <v>4</v>
      </c>
      <c r="L68" s="32">
        <f t="shared" si="2"/>
        <v>0</v>
      </c>
      <c r="M68" s="32"/>
    </row>
    <row r="69" spans="1:13" ht="14.25" customHeight="1" x14ac:dyDescent="0.3">
      <c r="A69" s="32" t="s">
        <v>337</v>
      </c>
      <c r="B69" s="37" t="s">
        <v>338</v>
      </c>
      <c r="C69" s="32" t="s">
        <v>334</v>
      </c>
      <c r="D69" s="33"/>
      <c r="E69" s="32"/>
      <c r="F69" s="32"/>
      <c r="G69" s="34">
        <v>55000</v>
      </c>
      <c r="H69" s="34">
        <v>100000</v>
      </c>
      <c r="I69" s="35">
        <f t="shared" si="1"/>
        <v>0.45</v>
      </c>
      <c r="J69" s="36">
        <v>4</v>
      </c>
      <c r="K69" s="36">
        <f>J69-COUNTIF(Ventas!$B$2:$B$1002,A69)</f>
        <v>4</v>
      </c>
      <c r="L69" s="32">
        <f t="shared" si="2"/>
        <v>0</v>
      </c>
      <c r="M69" s="32"/>
    </row>
    <row r="70" spans="1:13" ht="14.25" customHeight="1" x14ac:dyDescent="0.3">
      <c r="A70" s="32" t="s">
        <v>339</v>
      </c>
      <c r="B70" s="37" t="s">
        <v>340</v>
      </c>
      <c r="C70" s="32" t="s">
        <v>334</v>
      </c>
      <c r="D70" s="33"/>
      <c r="E70" s="32"/>
      <c r="F70" s="32"/>
      <c r="G70" s="34">
        <v>55000</v>
      </c>
      <c r="H70" s="34">
        <v>100000</v>
      </c>
      <c r="I70" s="35">
        <f t="shared" si="1"/>
        <v>0.45</v>
      </c>
      <c r="J70" s="36">
        <v>2</v>
      </c>
      <c r="K70" s="36">
        <f>J70-COUNTIF(Ventas!$B$2:$B$1002,A70)</f>
        <v>2</v>
      </c>
      <c r="L70" s="32">
        <f t="shared" si="2"/>
        <v>0</v>
      </c>
      <c r="M70" s="32"/>
    </row>
    <row r="71" spans="1:13" ht="14.25" customHeight="1" x14ac:dyDescent="0.3">
      <c r="A71" s="32" t="s">
        <v>341</v>
      </c>
      <c r="B71" s="37" t="s">
        <v>342</v>
      </c>
      <c r="C71" s="32" t="s">
        <v>334</v>
      </c>
      <c r="D71" s="33"/>
      <c r="E71" s="32"/>
      <c r="F71" s="32"/>
      <c r="G71" s="34">
        <v>55000</v>
      </c>
      <c r="H71" s="34">
        <v>100000</v>
      </c>
      <c r="I71" s="35">
        <f t="shared" si="1"/>
        <v>0.45</v>
      </c>
      <c r="J71" s="36">
        <v>2</v>
      </c>
      <c r="K71" s="36">
        <f>J71-COUNTIF(Ventas!$B$2:$B$1002,A71)</f>
        <v>2</v>
      </c>
      <c r="L71" s="32">
        <f t="shared" si="2"/>
        <v>0</v>
      </c>
      <c r="M71" s="32"/>
    </row>
    <row r="72" spans="1:13" ht="14.25" customHeight="1" x14ac:dyDescent="0.3">
      <c r="A72" s="32" t="s">
        <v>343</v>
      </c>
      <c r="B72" s="37" t="s">
        <v>344</v>
      </c>
      <c r="C72" s="32" t="s">
        <v>334</v>
      </c>
      <c r="D72" s="33"/>
      <c r="E72" s="32"/>
      <c r="F72" s="32"/>
      <c r="G72" s="34">
        <v>55000</v>
      </c>
      <c r="H72" s="34">
        <v>100000</v>
      </c>
      <c r="I72" s="35">
        <f t="shared" si="1"/>
        <v>0.45</v>
      </c>
      <c r="J72" s="36">
        <v>2</v>
      </c>
      <c r="K72" s="36">
        <f>J72-COUNTIF(Ventas!$B$2:$B$1002,A72)</f>
        <v>2</v>
      </c>
      <c r="L72" s="32">
        <f t="shared" si="2"/>
        <v>0</v>
      </c>
      <c r="M72" s="32"/>
    </row>
    <row r="73" spans="1:13" ht="14.25" customHeight="1" x14ac:dyDescent="0.3">
      <c r="A73" s="32" t="s">
        <v>345</v>
      </c>
      <c r="B73" s="37" t="s">
        <v>346</v>
      </c>
      <c r="C73" s="32" t="s">
        <v>334</v>
      </c>
      <c r="D73" s="33"/>
      <c r="E73" s="32"/>
      <c r="F73" s="32"/>
      <c r="G73" s="34">
        <v>55000</v>
      </c>
      <c r="H73" s="34">
        <v>100000</v>
      </c>
      <c r="I73" s="35">
        <f t="shared" si="1"/>
        <v>0.45</v>
      </c>
      <c r="J73" s="36">
        <v>2</v>
      </c>
      <c r="K73" s="36">
        <f>J73-COUNTIF(Ventas!$B$2:$B$1002,A73)</f>
        <v>2</v>
      </c>
      <c r="L73" s="32">
        <f t="shared" si="2"/>
        <v>0</v>
      </c>
      <c r="M73" s="32"/>
    </row>
    <row r="74" spans="1:13" ht="14.25" customHeight="1" x14ac:dyDescent="0.3">
      <c r="A74" s="32" t="s">
        <v>347</v>
      </c>
      <c r="B74" s="37" t="s">
        <v>348</v>
      </c>
      <c r="C74" s="32" t="s">
        <v>334</v>
      </c>
      <c r="D74" s="33"/>
      <c r="E74" s="32"/>
      <c r="F74" s="32"/>
      <c r="G74" s="34">
        <v>55000</v>
      </c>
      <c r="H74" s="34">
        <v>100000</v>
      </c>
      <c r="I74" s="35">
        <f t="shared" si="1"/>
        <v>0.45</v>
      </c>
      <c r="J74" s="36">
        <v>2</v>
      </c>
      <c r="K74" s="36">
        <f>J74-COUNTIF(Ventas!$B$2:$B$1002,A74)</f>
        <v>2</v>
      </c>
      <c r="L74" s="32">
        <f t="shared" si="2"/>
        <v>0</v>
      </c>
      <c r="M74" s="32"/>
    </row>
    <row r="75" spans="1:13" ht="14.25" customHeight="1" x14ac:dyDescent="0.3">
      <c r="A75" s="32" t="s">
        <v>349</v>
      </c>
      <c r="B75" s="37" t="s">
        <v>350</v>
      </c>
      <c r="C75" s="32" t="s">
        <v>334</v>
      </c>
      <c r="D75" s="33"/>
      <c r="E75" s="32"/>
      <c r="F75" s="32"/>
      <c r="G75" s="34">
        <v>55000</v>
      </c>
      <c r="H75" s="34">
        <v>100000</v>
      </c>
      <c r="I75" s="35">
        <f t="shared" si="1"/>
        <v>0.45</v>
      </c>
      <c r="J75" s="36">
        <v>2</v>
      </c>
      <c r="K75" s="36">
        <f>J75-COUNTIF(Ventas!$B$2:$B$1002,A75)</f>
        <v>2</v>
      </c>
      <c r="L75" s="32">
        <f t="shared" si="2"/>
        <v>0</v>
      </c>
      <c r="M75" s="32"/>
    </row>
    <row r="76" spans="1:13" ht="14.25" customHeight="1" x14ac:dyDescent="0.3">
      <c r="A76" s="32" t="s">
        <v>351</v>
      </c>
      <c r="B76" s="37" t="s">
        <v>352</v>
      </c>
      <c r="C76" s="32" t="s">
        <v>353</v>
      </c>
      <c r="D76" s="33"/>
      <c r="E76" s="32"/>
      <c r="F76" s="32"/>
      <c r="G76" s="34">
        <f>'Pedidos Proveedores'!$E$8</f>
        <v>40000</v>
      </c>
      <c r="H76" s="34">
        <v>110000</v>
      </c>
      <c r="I76" s="35">
        <f t="shared" si="1"/>
        <v>0.63636363636363635</v>
      </c>
      <c r="J76" s="36">
        <v>4</v>
      </c>
      <c r="K76" s="36">
        <f>J76-COUNTIF(Ventas!$B$2:$B$1002,A76)</f>
        <v>2</v>
      </c>
      <c r="L76" s="32">
        <f t="shared" si="2"/>
        <v>2</v>
      </c>
      <c r="M76" s="32"/>
    </row>
    <row r="77" spans="1:13" ht="14.25" customHeight="1" x14ac:dyDescent="0.3">
      <c r="A77" s="32" t="s">
        <v>354</v>
      </c>
      <c r="B77" s="37" t="s">
        <v>355</v>
      </c>
      <c r="C77" s="32" t="s">
        <v>353</v>
      </c>
      <c r="D77" s="33"/>
      <c r="E77" s="32"/>
      <c r="F77" s="32"/>
      <c r="G77" s="34">
        <f>'Pedidos Proveedores'!$E$8</f>
        <v>40000</v>
      </c>
      <c r="H77" s="34">
        <v>110000</v>
      </c>
      <c r="I77" s="35">
        <f t="shared" si="1"/>
        <v>0.63636363636363635</v>
      </c>
      <c r="J77" s="36">
        <v>4</v>
      </c>
      <c r="K77" s="36">
        <f>J77-COUNTIF(Ventas!$B$2:$B$1002,A77)</f>
        <v>4</v>
      </c>
      <c r="L77" s="32">
        <f t="shared" si="2"/>
        <v>0</v>
      </c>
      <c r="M77" s="32"/>
    </row>
    <row r="78" spans="1:13" ht="14.25" customHeight="1" x14ac:dyDescent="0.3">
      <c r="A78" s="32" t="s">
        <v>356</v>
      </c>
      <c r="B78" s="37" t="s">
        <v>357</v>
      </c>
      <c r="C78" s="32" t="s">
        <v>353</v>
      </c>
      <c r="D78" s="33"/>
      <c r="E78" s="32"/>
      <c r="F78" s="32"/>
      <c r="G78" s="34">
        <f>'Pedidos Proveedores'!$E$8</f>
        <v>40000</v>
      </c>
      <c r="H78" s="34">
        <v>110000</v>
      </c>
      <c r="I78" s="35">
        <f t="shared" si="1"/>
        <v>0.63636363636363635</v>
      </c>
      <c r="J78" s="36">
        <v>4</v>
      </c>
      <c r="K78" s="36">
        <f>J78-COUNTIF(Ventas!$B$2:$B$1002,A78)</f>
        <v>1</v>
      </c>
      <c r="L78" s="32">
        <f t="shared" si="2"/>
        <v>3</v>
      </c>
      <c r="M78" s="32"/>
    </row>
    <row r="79" spans="1:13" ht="14.25" customHeight="1" x14ac:dyDescent="0.3">
      <c r="A79" s="32" t="s">
        <v>358</v>
      </c>
      <c r="B79" s="37" t="s">
        <v>359</v>
      </c>
      <c r="C79" s="32" t="s">
        <v>353</v>
      </c>
      <c r="D79" s="33"/>
      <c r="E79" s="32"/>
      <c r="F79" s="32"/>
      <c r="G79" s="34">
        <f>'Pedidos Proveedores'!$E$8</f>
        <v>40000</v>
      </c>
      <c r="H79" s="34">
        <v>110000</v>
      </c>
      <c r="I79" s="35">
        <f t="shared" si="1"/>
        <v>0.63636363636363635</v>
      </c>
      <c r="J79" s="36">
        <v>2</v>
      </c>
      <c r="K79" s="36">
        <f>J79-COUNTIF(Ventas!$B$2:$B$1002,A79)</f>
        <v>2</v>
      </c>
      <c r="L79" s="32">
        <f t="shared" si="2"/>
        <v>0</v>
      </c>
      <c r="M79" s="32"/>
    </row>
    <row r="80" spans="1:13" ht="14.25" customHeight="1" x14ac:dyDescent="0.3">
      <c r="A80" s="32" t="s">
        <v>360</v>
      </c>
      <c r="B80" s="37" t="s">
        <v>361</v>
      </c>
      <c r="C80" s="32" t="s">
        <v>353</v>
      </c>
      <c r="D80" s="33"/>
      <c r="E80" s="32"/>
      <c r="F80" s="32"/>
      <c r="G80" s="34">
        <f>'Pedidos Proveedores'!$E$8</f>
        <v>40000</v>
      </c>
      <c r="H80" s="34">
        <v>110000</v>
      </c>
      <c r="I80" s="35">
        <f t="shared" si="1"/>
        <v>0.63636363636363635</v>
      </c>
      <c r="J80" s="36">
        <v>2</v>
      </c>
      <c r="K80" s="36">
        <f>J80-COUNTIF(Ventas!$B$2:$B$1002,A80)</f>
        <v>1</v>
      </c>
      <c r="L80" s="32">
        <f t="shared" si="2"/>
        <v>1</v>
      </c>
      <c r="M80" s="32"/>
    </row>
    <row r="81" spans="1:13" ht="14.25" customHeight="1" x14ac:dyDescent="0.3">
      <c r="A81" s="32" t="s">
        <v>362</v>
      </c>
      <c r="B81" s="37" t="s">
        <v>363</v>
      </c>
      <c r="C81" s="32" t="s">
        <v>353</v>
      </c>
      <c r="D81" s="33"/>
      <c r="E81" s="32"/>
      <c r="F81" s="32"/>
      <c r="G81" s="34">
        <f>'Pedidos Proveedores'!$E$8</f>
        <v>40000</v>
      </c>
      <c r="H81" s="34">
        <v>110000</v>
      </c>
      <c r="I81" s="35">
        <f t="shared" si="1"/>
        <v>0.63636363636363635</v>
      </c>
      <c r="J81" s="36">
        <v>2</v>
      </c>
      <c r="K81" s="36">
        <f>J81-COUNTIF(Ventas!$B$2:$B$1002,A81)</f>
        <v>2</v>
      </c>
      <c r="L81" s="32">
        <f t="shared" si="2"/>
        <v>0</v>
      </c>
      <c r="M81" s="32"/>
    </row>
    <row r="82" spans="1:13" ht="14.25" customHeight="1" x14ac:dyDescent="0.3">
      <c r="A82" s="32" t="s">
        <v>364</v>
      </c>
      <c r="B82" s="37" t="s">
        <v>365</v>
      </c>
      <c r="C82" s="32" t="s">
        <v>353</v>
      </c>
      <c r="D82" s="33"/>
      <c r="E82" s="32"/>
      <c r="F82" s="32"/>
      <c r="G82" s="34">
        <f>'Pedidos Proveedores'!$E$8</f>
        <v>40000</v>
      </c>
      <c r="H82" s="34">
        <v>110000</v>
      </c>
      <c r="I82" s="35">
        <f t="shared" si="1"/>
        <v>0.63636363636363635</v>
      </c>
      <c r="J82" s="36">
        <v>2</v>
      </c>
      <c r="K82" s="36">
        <f>J82-COUNTIF(Ventas!$B$2:$B$1002,A82)</f>
        <v>0</v>
      </c>
      <c r="L82" s="32">
        <f t="shared" si="2"/>
        <v>2</v>
      </c>
      <c r="M82" s="32"/>
    </row>
    <row r="83" spans="1:13" ht="14.25" customHeight="1" x14ac:dyDescent="0.3">
      <c r="A83" s="32" t="s">
        <v>366</v>
      </c>
      <c r="B83" s="37" t="s">
        <v>367</v>
      </c>
      <c r="C83" s="32" t="s">
        <v>353</v>
      </c>
      <c r="D83" s="33"/>
      <c r="E83" s="32"/>
      <c r="F83" s="32"/>
      <c r="G83" s="34">
        <f>'Pedidos Proveedores'!$E$8</f>
        <v>40000</v>
      </c>
      <c r="H83" s="34">
        <v>110000</v>
      </c>
      <c r="I83" s="35">
        <f t="shared" si="1"/>
        <v>0.63636363636363635</v>
      </c>
      <c r="J83" s="36">
        <v>2</v>
      </c>
      <c r="K83" s="36">
        <f>J83-COUNTIF(Ventas!$B$2:$B$1002,A83)</f>
        <v>2</v>
      </c>
      <c r="L83" s="32">
        <f t="shared" si="2"/>
        <v>0</v>
      </c>
      <c r="M83" s="32"/>
    </row>
    <row r="84" spans="1:13" ht="14.25" customHeight="1" x14ac:dyDescent="0.3">
      <c r="A84" s="32" t="s">
        <v>368</v>
      </c>
      <c r="B84" s="37" t="s">
        <v>369</v>
      </c>
      <c r="C84" s="32" t="s">
        <v>353</v>
      </c>
      <c r="D84" s="33"/>
      <c r="E84" s="32"/>
      <c r="F84" s="32"/>
      <c r="G84" s="34">
        <f>'Pedidos Proveedores'!$E$8</f>
        <v>40000</v>
      </c>
      <c r="H84" s="34">
        <v>110000</v>
      </c>
      <c r="I84" s="35">
        <f t="shared" si="1"/>
        <v>0.63636363636363635</v>
      </c>
      <c r="J84" s="36">
        <v>2</v>
      </c>
      <c r="K84" s="36">
        <f>J84-COUNTIF(Ventas!$B$2:$B$1002,A84)</f>
        <v>1</v>
      </c>
      <c r="L84" s="32">
        <f t="shared" si="2"/>
        <v>1</v>
      </c>
      <c r="M84" s="32"/>
    </row>
    <row r="85" spans="1:13" ht="14.25" customHeight="1" x14ac:dyDescent="0.3">
      <c r="A85" s="32" t="s">
        <v>370</v>
      </c>
      <c r="B85" s="37" t="s">
        <v>371</v>
      </c>
      <c r="C85" s="32" t="s">
        <v>353</v>
      </c>
      <c r="D85" s="33"/>
      <c r="E85" s="32"/>
      <c r="F85" s="32"/>
      <c r="G85" s="34">
        <f>'Pedidos Proveedores'!$E$8</f>
        <v>40000</v>
      </c>
      <c r="H85" s="34">
        <v>110000</v>
      </c>
      <c r="I85" s="35">
        <f t="shared" si="1"/>
        <v>0.63636363636363635</v>
      </c>
      <c r="J85" s="36">
        <v>2</v>
      </c>
      <c r="K85" s="36">
        <f>J85-COUNTIF(Ventas!$B$2:$B$1002,A85)</f>
        <v>1</v>
      </c>
      <c r="L85" s="32">
        <f t="shared" si="2"/>
        <v>1</v>
      </c>
      <c r="M85" s="32"/>
    </row>
    <row r="86" spans="1:13" ht="14.25" customHeight="1" x14ac:dyDescent="0.3">
      <c r="A86" s="32" t="s">
        <v>372</v>
      </c>
      <c r="B86" s="37" t="s">
        <v>373</v>
      </c>
      <c r="C86" s="32" t="s">
        <v>353</v>
      </c>
      <c r="D86" s="33"/>
      <c r="E86" s="32"/>
      <c r="F86" s="32"/>
      <c r="G86" s="34">
        <f>'Pedidos Proveedores'!$E$8</f>
        <v>40000</v>
      </c>
      <c r="H86" s="34">
        <v>110000</v>
      </c>
      <c r="I86" s="35">
        <f t="shared" si="1"/>
        <v>0.63636363636363635</v>
      </c>
      <c r="J86" s="36">
        <v>2</v>
      </c>
      <c r="K86" s="36">
        <f>J86-COUNTIF(Ventas!$B$2:$B$1002,A86)</f>
        <v>0</v>
      </c>
      <c r="L86" s="32">
        <f t="shared" si="2"/>
        <v>2</v>
      </c>
      <c r="M86" s="32"/>
    </row>
    <row r="87" spans="1:13" ht="14.25" customHeight="1" x14ac:dyDescent="0.3">
      <c r="A87" s="32" t="s">
        <v>374</v>
      </c>
      <c r="B87" s="37" t="s">
        <v>375</v>
      </c>
      <c r="C87" s="32" t="s">
        <v>353</v>
      </c>
      <c r="D87" s="33"/>
      <c r="E87" s="32"/>
      <c r="F87" s="32"/>
      <c r="G87" s="34">
        <f>'Pedidos Proveedores'!$E$8</f>
        <v>40000</v>
      </c>
      <c r="H87" s="34">
        <v>110000</v>
      </c>
      <c r="I87" s="35">
        <f t="shared" si="1"/>
        <v>0.63636363636363635</v>
      </c>
      <c r="J87" s="36">
        <v>2</v>
      </c>
      <c r="K87" s="36">
        <f>J87-COUNTIF(Ventas!$B$2:$B$1002,A87)</f>
        <v>2</v>
      </c>
      <c r="L87" s="32">
        <f t="shared" si="2"/>
        <v>0</v>
      </c>
      <c r="M87" s="32"/>
    </row>
    <row r="88" spans="1:13" ht="14.25" customHeight="1" x14ac:dyDescent="0.3">
      <c r="A88" s="32" t="s">
        <v>376</v>
      </c>
      <c r="B88" s="37" t="s">
        <v>377</v>
      </c>
      <c r="C88" s="32" t="s">
        <v>353</v>
      </c>
      <c r="D88" s="33"/>
      <c r="E88" s="32"/>
      <c r="F88" s="32"/>
      <c r="G88" s="34">
        <f>'Pedidos Proveedores'!$E$8</f>
        <v>40000</v>
      </c>
      <c r="H88" s="34">
        <v>110000</v>
      </c>
      <c r="I88" s="35">
        <f t="shared" si="1"/>
        <v>0.63636363636363635</v>
      </c>
      <c r="J88" s="36">
        <v>2</v>
      </c>
      <c r="K88" s="36">
        <f>J88-COUNTIF(Ventas!$B$2:$B$1002,A88)</f>
        <v>1</v>
      </c>
      <c r="L88" s="32">
        <f t="shared" si="2"/>
        <v>1</v>
      </c>
      <c r="M88" s="32"/>
    </row>
    <row r="89" spans="1:13" ht="14.25" customHeight="1" x14ac:dyDescent="0.3">
      <c r="A89" s="32" t="s">
        <v>378</v>
      </c>
      <c r="B89" s="37" t="s">
        <v>379</v>
      </c>
      <c r="C89" s="32" t="s">
        <v>353</v>
      </c>
      <c r="D89" s="33"/>
      <c r="E89" s="32"/>
      <c r="F89" s="32"/>
      <c r="G89" s="34">
        <f>'Pedidos Proveedores'!$E$8</f>
        <v>40000</v>
      </c>
      <c r="H89" s="34">
        <v>110000</v>
      </c>
      <c r="I89" s="35">
        <f t="shared" si="1"/>
        <v>0.63636363636363635</v>
      </c>
      <c r="J89" s="36">
        <v>2</v>
      </c>
      <c r="K89" s="36">
        <f>J89-COUNTIF(Ventas!$B$2:$B$1002,A89)</f>
        <v>1</v>
      </c>
      <c r="L89" s="32">
        <f t="shared" si="2"/>
        <v>1</v>
      </c>
      <c r="M89" s="32"/>
    </row>
    <row r="90" spans="1:13" ht="14.25" customHeight="1" x14ac:dyDescent="0.3">
      <c r="A90" s="32" t="s">
        <v>380</v>
      </c>
      <c r="B90" s="37" t="s">
        <v>381</v>
      </c>
      <c r="C90" s="32" t="s">
        <v>353</v>
      </c>
      <c r="D90" s="33"/>
      <c r="E90" s="32"/>
      <c r="F90" s="32"/>
      <c r="G90" s="34">
        <f>'Pedidos Proveedores'!$E$8</f>
        <v>40000</v>
      </c>
      <c r="H90" s="34">
        <v>110000</v>
      </c>
      <c r="I90" s="35">
        <f t="shared" si="1"/>
        <v>0.63636363636363635</v>
      </c>
      <c r="J90" s="36">
        <v>2</v>
      </c>
      <c r="K90" s="36">
        <f>J90-COUNTIF(Ventas!$B$2:$B$1002,A90)</f>
        <v>2</v>
      </c>
      <c r="L90" s="32">
        <f t="shared" si="2"/>
        <v>0</v>
      </c>
      <c r="M90" s="32"/>
    </row>
    <row r="91" spans="1:13" ht="14.25" customHeight="1" x14ac:dyDescent="0.3">
      <c r="A91" s="32" t="s">
        <v>382</v>
      </c>
      <c r="B91" s="37" t="s">
        <v>383</v>
      </c>
      <c r="C91" s="32" t="s">
        <v>384</v>
      </c>
      <c r="D91" s="33"/>
      <c r="E91" s="32"/>
      <c r="F91" s="32"/>
      <c r="G91" s="34">
        <v>55000</v>
      </c>
      <c r="H91" s="34">
        <v>100000</v>
      </c>
      <c r="I91" s="35">
        <f t="shared" si="1"/>
        <v>0.45</v>
      </c>
      <c r="J91" s="36">
        <v>2</v>
      </c>
      <c r="K91" s="36">
        <f>J91-COUNTIF(Ventas!$B$2:$B$1002,A91)</f>
        <v>2</v>
      </c>
      <c r="L91" s="32">
        <f t="shared" si="2"/>
        <v>0</v>
      </c>
      <c r="M91" s="32"/>
    </row>
    <row r="92" spans="1:13" ht="14.25" customHeight="1" x14ac:dyDescent="0.3">
      <c r="A92" s="32" t="s">
        <v>385</v>
      </c>
      <c r="B92" s="37" t="s">
        <v>386</v>
      </c>
      <c r="C92" s="32" t="s">
        <v>384</v>
      </c>
      <c r="D92" s="33"/>
      <c r="E92" s="32"/>
      <c r="F92" s="32"/>
      <c r="G92" s="34">
        <v>55000</v>
      </c>
      <c r="H92" s="34">
        <v>100000</v>
      </c>
      <c r="I92" s="35">
        <f t="shared" si="1"/>
        <v>0.45</v>
      </c>
      <c r="J92" s="36">
        <v>2</v>
      </c>
      <c r="K92" s="36">
        <f>J92-COUNTIF(Ventas!$B$2:$B$1002,A92)</f>
        <v>-1</v>
      </c>
      <c r="L92" s="32">
        <f t="shared" si="2"/>
        <v>3</v>
      </c>
      <c r="M92" s="32"/>
    </row>
    <row r="93" spans="1:13" ht="14.25" customHeight="1" x14ac:dyDescent="0.3">
      <c r="A93" s="32" t="s">
        <v>387</v>
      </c>
      <c r="B93" s="37" t="s">
        <v>388</v>
      </c>
      <c r="C93" s="32" t="s">
        <v>384</v>
      </c>
      <c r="D93" s="33"/>
      <c r="E93" s="32"/>
      <c r="F93" s="32"/>
      <c r="G93" s="34">
        <v>55000</v>
      </c>
      <c r="H93" s="34">
        <v>100000</v>
      </c>
      <c r="I93" s="35">
        <f t="shared" si="1"/>
        <v>0.45</v>
      </c>
      <c r="J93" s="36">
        <v>2</v>
      </c>
      <c r="K93" s="36">
        <f>J93-COUNTIF(Ventas!$B$2:$B$1002,A93)</f>
        <v>1</v>
      </c>
      <c r="L93" s="32">
        <f t="shared" si="2"/>
        <v>1</v>
      </c>
      <c r="M93" s="32"/>
    </row>
    <row r="94" spans="1:13" ht="14.25" customHeight="1" x14ac:dyDescent="0.3">
      <c r="A94" s="32" t="s">
        <v>389</v>
      </c>
      <c r="B94" s="37" t="s">
        <v>390</v>
      </c>
      <c r="C94" s="32" t="s">
        <v>384</v>
      </c>
      <c r="D94" s="33"/>
      <c r="E94" s="32"/>
      <c r="F94" s="32"/>
      <c r="G94" s="34">
        <v>55000</v>
      </c>
      <c r="H94" s="34">
        <v>100000</v>
      </c>
      <c r="I94" s="35">
        <f t="shared" si="1"/>
        <v>0.45</v>
      </c>
      <c r="J94" s="36">
        <v>1</v>
      </c>
      <c r="K94" s="36">
        <f>J94-COUNTIF(Ventas!$B$2:$B$1002,A94)</f>
        <v>0</v>
      </c>
      <c r="L94" s="32">
        <f t="shared" si="2"/>
        <v>1</v>
      </c>
      <c r="M94" s="32"/>
    </row>
    <row r="95" spans="1:13" ht="14.25" customHeight="1" x14ac:dyDescent="0.3">
      <c r="A95" s="32" t="s">
        <v>391</v>
      </c>
      <c r="B95" s="37" t="s">
        <v>392</v>
      </c>
      <c r="C95" s="32" t="s">
        <v>384</v>
      </c>
      <c r="D95" s="33"/>
      <c r="E95" s="32"/>
      <c r="F95" s="32"/>
      <c r="G95" s="34">
        <v>55000</v>
      </c>
      <c r="H95" s="34">
        <v>100000</v>
      </c>
      <c r="I95" s="35">
        <f t="shared" si="1"/>
        <v>0.45</v>
      </c>
      <c r="J95" s="36">
        <v>1</v>
      </c>
      <c r="K95" s="36">
        <f>J95-COUNTIF(Ventas!$B$2:$B$1002,A95)</f>
        <v>1</v>
      </c>
      <c r="L95" s="32">
        <f t="shared" si="2"/>
        <v>0</v>
      </c>
      <c r="M95" s="32"/>
    </row>
    <row r="96" spans="1:13" ht="14.25" customHeight="1" x14ac:dyDescent="0.3">
      <c r="A96" s="32" t="s">
        <v>393</v>
      </c>
      <c r="B96" s="37" t="s">
        <v>394</v>
      </c>
      <c r="C96" s="32" t="s">
        <v>384</v>
      </c>
      <c r="D96" s="33"/>
      <c r="E96" s="32"/>
      <c r="F96" s="32"/>
      <c r="G96" s="34">
        <v>55000</v>
      </c>
      <c r="H96" s="34">
        <v>100000</v>
      </c>
      <c r="I96" s="35">
        <f t="shared" si="1"/>
        <v>0.45</v>
      </c>
      <c r="J96" s="36">
        <v>2</v>
      </c>
      <c r="K96" s="36">
        <f>J96-COUNTIF(Ventas!$B$2:$B$1002,A96)</f>
        <v>2</v>
      </c>
      <c r="L96" s="32">
        <f t="shared" si="2"/>
        <v>0</v>
      </c>
      <c r="M96" s="32"/>
    </row>
    <row r="97" spans="1:13" ht="14.25" customHeight="1" x14ac:dyDescent="0.3">
      <c r="A97" s="32" t="s">
        <v>395</v>
      </c>
      <c r="B97" s="37" t="s">
        <v>396</v>
      </c>
      <c r="C97" s="32" t="s">
        <v>384</v>
      </c>
      <c r="D97" s="33"/>
      <c r="E97" s="32"/>
      <c r="F97" s="32"/>
      <c r="G97" s="34">
        <v>55000</v>
      </c>
      <c r="H97" s="34">
        <v>100000</v>
      </c>
      <c r="I97" s="35">
        <f t="shared" si="1"/>
        <v>0.45</v>
      </c>
      <c r="J97" s="36">
        <v>1</v>
      </c>
      <c r="K97" s="36">
        <f>J97-COUNTIF(Ventas!$B$2:$B$1002,A97)</f>
        <v>1</v>
      </c>
      <c r="L97" s="32">
        <f t="shared" si="2"/>
        <v>0</v>
      </c>
      <c r="M97" s="32"/>
    </row>
    <row r="98" spans="1:13" ht="14.25" customHeight="1" x14ac:dyDescent="0.3">
      <c r="A98" s="32" t="s">
        <v>397</v>
      </c>
      <c r="B98" s="37" t="s">
        <v>398</v>
      </c>
      <c r="C98" s="32" t="s">
        <v>384</v>
      </c>
      <c r="D98" s="33"/>
      <c r="E98" s="32"/>
      <c r="F98" s="32"/>
      <c r="G98" s="34">
        <v>55000</v>
      </c>
      <c r="H98" s="34">
        <v>100000</v>
      </c>
      <c r="I98" s="35">
        <f t="shared" si="1"/>
        <v>0.45</v>
      </c>
      <c r="J98" s="36">
        <v>2</v>
      </c>
      <c r="K98" s="36">
        <f>J98-COUNTIF(Ventas!$B$2:$B$1002,A98)</f>
        <v>2</v>
      </c>
      <c r="L98" s="32">
        <f t="shared" si="2"/>
        <v>0</v>
      </c>
      <c r="M98" s="32"/>
    </row>
    <row r="99" spans="1:13" ht="14.25" customHeight="1" x14ac:dyDescent="0.3">
      <c r="A99" s="32" t="s">
        <v>399</v>
      </c>
      <c r="B99" s="37" t="s">
        <v>400</v>
      </c>
      <c r="C99" s="32" t="s">
        <v>401</v>
      </c>
      <c r="D99" s="33"/>
      <c r="E99" s="32"/>
      <c r="F99" s="32"/>
      <c r="G99" s="34">
        <v>45000</v>
      </c>
      <c r="H99" s="34">
        <v>90000</v>
      </c>
      <c r="I99" s="35">
        <f t="shared" si="1"/>
        <v>0.5</v>
      </c>
      <c r="J99" s="36">
        <v>1</v>
      </c>
      <c r="K99" s="36">
        <f>J99-COUNTIF(Ventas!$B$2:$B$1002,A99)</f>
        <v>0</v>
      </c>
      <c r="L99" s="32">
        <f t="shared" si="2"/>
        <v>1</v>
      </c>
      <c r="M99" s="32"/>
    </row>
    <row r="100" spans="1:13" ht="14.25" customHeight="1" x14ac:dyDescent="0.3">
      <c r="A100" s="32" t="s">
        <v>402</v>
      </c>
      <c r="B100" s="37" t="s">
        <v>403</v>
      </c>
      <c r="C100" s="32" t="s">
        <v>401</v>
      </c>
      <c r="D100" s="33"/>
      <c r="E100" s="32"/>
      <c r="F100" s="32"/>
      <c r="G100" s="34">
        <v>45000</v>
      </c>
      <c r="H100" s="34">
        <v>90000</v>
      </c>
      <c r="I100" s="35">
        <f t="shared" si="1"/>
        <v>0.5</v>
      </c>
      <c r="J100" s="36">
        <v>1</v>
      </c>
      <c r="K100" s="36">
        <f>J100-COUNTIF(Ventas!$B$2:$B$1002,A100)</f>
        <v>0</v>
      </c>
      <c r="L100" s="32">
        <f t="shared" si="2"/>
        <v>1</v>
      </c>
      <c r="M100" s="32"/>
    </row>
    <row r="101" spans="1:13" ht="14.25" customHeight="1" x14ac:dyDescent="0.3">
      <c r="A101" s="32" t="s">
        <v>404</v>
      </c>
      <c r="B101" s="37" t="s">
        <v>405</v>
      </c>
      <c r="C101" s="32" t="s">
        <v>401</v>
      </c>
      <c r="D101" s="33"/>
      <c r="E101" s="32"/>
      <c r="F101" s="32"/>
      <c r="G101" s="34">
        <v>45000</v>
      </c>
      <c r="H101" s="34">
        <v>90000</v>
      </c>
      <c r="I101" s="35">
        <f t="shared" si="1"/>
        <v>0.5</v>
      </c>
      <c r="J101" s="36">
        <v>1</v>
      </c>
      <c r="K101" s="36">
        <f>J101-COUNTIF(Ventas!$B$2:$B$1002,A101)</f>
        <v>1</v>
      </c>
      <c r="L101" s="32">
        <f t="shared" si="2"/>
        <v>0</v>
      </c>
      <c r="M101" s="32"/>
    </row>
    <row r="102" spans="1:13" ht="14.25" customHeight="1" x14ac:dyDescent="0.3">
      <c r="A102" s="32" t="s">
        <v>406</v>
      </c>
      <c r="B102" s="37" t="s">
        <v>407</v>
      </c>
      <c r="C102" s="32" t="s">
        <v>401</v>
      </c>
      <c r="D102" s="33"/>
      <c r="E102" s="32"/>
      <c r="F102" s="32"/>
      <c r="G102" s="34">
        <v>45000</v>
      </c>
      <c r="H102" s="34">
        <v>90000</v>
      </c>
      <c r="I102" s="35">
        <f t="shared" si="1"/>
        <v>0.5</v>
      </c>
      <c r="J102" s="36">
        <v>1</v>
      </c>
      <c r="K102" s="36">
        <f>J102-COUNTIF(Ventas!$B$2:$B$1002,A102)</f>
        <v>0</v>
      </c>
      <c r="L102" s="32">
        <f t="shared" si="2"/>
        <v>1</v>
      </c>
      <c r="M102" s="32"/>
    </row>
    <row r="103" spans="1:13" ht="14.25" customHeight="1" x14ac:dyDescent="0.3">
      <c r="A103" s="32" t="s">
        <v>408</v>
      </c>
      <c r="B103" s="37" t="s">
        <v>409</v>
      </c>
      <c r="C103" s="32" t="s">
        <v>401</v>
      </c>
      <c r="D103" s="33"/>
      <c r="E103" s="32"/>
      <c r="F103" s="32"/>
      <c r="G103" s="34">
        <v>45000</v>
      </c>
      <c r="H103" s="34">
        <v>90000</v>
      </c>
      <c r="I103" s="35">
        <f t="shared" si="1"/>
        <v>0.5</v>
      </c>
      <c r="J103" s="36">
        <v>1</v>
      </c>
      <c r="K103" s="36">
        <f>J103-COUNTIF(Ventas!$B$2:$B$1002,A103)</f>
        <v>1</v>
      </c>
      <c r="L103" s="32">
        <f t="shared" si="2"/>
        <v>0</v>
      </c>
      <c r="M103" s="32"/>
    </row>
    <row r="104" spans="1:13" ht="14.25" customHeight="1" x14ac:dyDescent="0.3">
      <c r="A104" s="32" t="s">
        <v>410</v>
      </c>
      <c r="B104" s="37" t="s">
        <v>411</v>
      </c>
      <c r="C104" s="32" t="s">
        <v>401</v>
      </c>
      <c r="D104" s="33"/>
      <c r="E104" s="32"/>
      <c r="F104" s="32"/>
      <c r="G104" s="34">
        <v>45000</v>
      </c>
      <c r="H104" s="34">
        <v>90000</v>
      </c>
      <c r="I104" s="35">
        <f t="shared" si="1"/>
        <v>0.5</v>
      </c>
      <c r="J104" s="36">
        <v>1</v>
      </c>
      <c r="K104" s="36">
        <f>J104-COUNTIF(Ventas!$B$2:$B$1002,A104)</f>
        <v>1</v>
      </c>
      <c r="L104" s="32">
        <f t="shared" si="2"/>
        <v>0</v>
      </c>
      <c r="M104" s="32"/>
    </row>
    <row r="105" spans="1:13" ht="14.25" customHeight="1" x14ac:dyDescent="0.3">
      <c r="A105" s="32" t="s">
        <v>412</v>
      </c>
      <c r="B105" s="37" t="s">
        <v>413</v>
      </c>
      <c r="C105" s="32" t="s">
        <v>401</v>
      </c>
      <c r="D105" s="33"/>
      <c r="E105" s="32"/>
      <c r="F105" s="32"/>
      <c r="G105" s="34">
        <v>45000</v>
      </c>
      <c r="H105" s="34">
        <v>90000</v>
      </c>
      <c r="I105" s="35">
        <f t="shared" si="1"/>
        <v>0.5</v>
      </c>
      <c r="J105" s="36">
        <v>2</v>
      </c>
      <c r="K105" s="36">
        <f>J105-COUNTIF(Ventas!$B$2:$B$1002,A105)</f>
        <v>1</v>
      </c>
      <c r="L105" s="32">
        <f t="shared" si="2"/>
        <v>1</v>
      </c>
      <c r="M105" s="32"/>
    </row>
    <row r="106" spans="1:13" ht="14.25" customHeight="1" x14ac:dyDescent="0.3">
      <c r="A106" s="32" t="s">
        <v>414</v>
      </c>
      <c r="B106" s="37" t="s">
        <v>415</v>
      </c>
      <c r="C106" s="32" t="s">
        <v>401</v>
      </c>
      <c r="D106" s="33"/>
      <c r="E106" s="32"/>
      <c r="F106" s="32"/>
      <c r="G106" s="34">
        <v>45000</v>
      </c>
      <c r="H106" s="34">
        <v>90000</v>
      </c>
      <c r="I106" s="35">
        <f t="shared" si="1"/>
        <v>0.5</v>
      </c>
      <c r="J106" s="36">
        <v>2</v>
      </c>
      <c r="K106" s="36">
        <f>J106-COUNTIF(Ventas!$B$2:$B$1002,A106)</f>
        <v>2</v>
      </c>
      <c r="L106" s="32">
        <f t="shared" si="2"/>
        <v>0</v>
      </c>
      <c r="M106" s="32"/>
    </row>
    <row r="107" spans="1:13" ht="14.25" customHeight="1" x14ac:dyDescent="0.3">
      <c r="A107" s="32" t="s">
        <v>416</v>
      </c>
      <c r="B107" s="37" t="s">
        <v>417</v>
      </c>
      <c r="C107" s="32" t="s">
        <v>401</v>
      </c>
      <c r="D107" s="33"/>
      <c r="E107" s="32"/>
      <c r="F107" s="32"/>
      <c r="G107" s="34">
        <v>45000</v>
      </c>
      <c r="H107" s="34">
        <v>90000</v>
      </c>
      <c r="I107" s="35">
        <f t="shared" si="1"/>
        <v>0.5</v>
      </c>
      <c r="J107" s="36">
        <v>2</v>
      </c>
      <c r="K107" s="36">
        <f>J107-COUNTIF(Ventas!$B$2:$B$1002,A107)</f>
        <v>2</v>
      </c>
      <c r="L107" s="32">
        <f t="shared" si="2"/>
        <v>0</v>
      </c>
      <c r="M107" s="32"/>
    </row>
    <row r="108" spans="1:13" ht="14.25" customHeight="1" x14ac:dyDescent="0.3">
      <c r="A108" s="32" t="s">
        <v>418</v>
      </c>
      <c r="B108" s="37" t="s">
        <v>419</v>
      </c>
      <c r="C108" s="37" t="s">
        <v>419</v>
      </c>
      <c r="D108" s="33"/>
      <c r="E108" s="32"/>
      <c r="F108" s="32"/>
      <c r="G108" s="34">
        <v>60000</v>
      </c>
      <c r="H108" s="34">
        <v>75000</v>
      </c>
      <c r="I108" s="35">
        <f t="shared" si="1"/>
        <v>0.2</v>
      </c>
      <c r="J108" s="36">
        <v>8</v>
      </c>
      <c r="K108" s="36">
        <f>J108-COUNTIF(Ventas!$B$2:$B$1002,A108)</f>
        <v>6</v>
      </c>
      <c r="L108" s="32">
        <f t="shared" si="2"/>
        <v>2</v>
      </c>
      <c r="M108" s="32"/>
    </row>
    <row r="109" spans="1:13" ht="14.25" customHeight="1" x14ac:dyDescent="0.3">
      <c r="A109" s="32" t="s">
        <v>420</v>
      </c>
      <c r="B109" s="37" t="s">
        <v>421</v>
      </c>
      <c r="C109" s="37" t="s">
        <v>421</v>
      </c>
      <c r="D109" s="33"/>
      <c r="E109" s="32"/>
      <c r="F109" s="32"/>
      <c r="G109" s="34">
        <v>54000</v>
      </c>
      <c r="H109" s="34">
        <v>75000</v>
      </c>
      <c r="I109" s="35">
        <f t="shared" si="1"/>
        <v>0.28000000000000003</v>
      </c>
      <c r="J109" s="36">
        <v>22</v>
      </c>
      <c r="K109" s="36">
        <f>J109-COUNTIF(Ventas!$B$2:$B$1002,A109)</f>
        <v>1</v>
      </c>
      <c r="L109" s="32">
        <f t="shared" si="2"/>
        <v>21</v>
      </c>
      <c r="M109" s="32"/>
    </row>
    <row r="110" spans="1:13" ht="14.25" customHeight="1" x14ac:dyDescent="0.3">
      <c r="A110" s="38"/>
      <c r="B110" s="38"/>
      <c r="C110" s="39"/>
      <c r="D110" s="40"/>
      <c r="E110" s="39"/>
      <c r="F110" s="39"/>
      <c r="G110" s="39"/>
      <c r="H110" s="39"/>
      <c r="I110" s="38"/>
      <c r="J110" s="38"/>
      <c r="K110" s="38"/>
      <c r="L110" s="38"/>
      <c r="M110" s="38"/>
    </row>
    <row r="111" spans="1:13" ht="14.25" customHeight="1" x14ac:dyDescent="0.3">
      <c r="A111" s="25"/>
      <c r="B111" s="25"/>
      <c r="C111" s="26"/>
      <c r="D111" s="27"/>
      <c r="E111" s="26"/>
      <c r="F111" s="26"/>
      <c r="G111" s="26"/>
      <c r="H111" s="26"/>
      <c r="I111" s="25"/>
      <c r="J111" s="25"/>
      <c r="K111" s="25"/>
      <c r="L111" s="25"/>
      <c r="M111" s="25"/>
    </row>
    <row r="112" spans="1:13" ht="14.25" customHeight="1" x14ac:dyDescent="0.3">
      <c r="A112" s="25"/>
      <c r="B112" s="25"/>
      <c r="C112" s="26"/>
      <c r="D112" s="27"/>
      <c r="E112" s="26"/>
      <c r="F112" s="26"/>
      <c r="G112" s="26"/>
      <c r="H112" s="26"/>
      <c r="I112" s="25"/>
      <c r="J112" s="25"/>
      <c r="K112" s="25"/>
      <c r="L112" s="25"/>
      <c r="M112" s="25"/>
    </row>
    <row r="113" spans="1:13" ht="14.25" customHeight="1" x14ac:dyDescent="0.3">
      <c r="A113" s="25"/>
      <c r="B113" s="25"/>
      <c r="C113" s="26"/>
      <c r="D113" s="27"/>
      <c r="E113" s="26"/>
      <c r="F113" s="26"/>
      <c r="G113" s="26"/>
      <c r="H113" s="26"/>
      <c r="I113" s="25"/>
      <c r="J113" s="25"/>
      <c r="K113" s="25"/>
      <c r="L113" s="25"/>
      <c r="M113" s="25"/>
    </row>
    <row r="114" spans="1:13" ht="14.25" customHeight="1" x14ac:dyDescent="0.3">
      <c r="A114" s="25"/>
      <c r="B114" s="25"/>
      <c r="C114" s="26"/>
      <c r="D114" s="27"/>
      <c r="E114" s="26"/>
      <c r="F114" s="26"/>
      <c r="G114" s="26"/>
      <c r="H114" s="26"/>
      <c r="I114" s="25"/>
      <c r="J114" s="25"/>
      <c r="K114" s="25"/>
      <c r="L114" s="25"/>
      <c r="M114" s="25"/>
    </row>
    <row r="115" spans="1:13" ht="14.25" customHeight="1" x14ac:dyDescent="0.3">
      <c r="A115" s="25"/>
      <c r="B115" s="25"/>
      <c r="C115" s="26"/>
      <c r="D115" s="27"/>
      <c r="E115" s="26"/>
      <c r="F115" s="26"/>
      <c r="G115" s="26"/>
      <c r="H115" s="26"/>
      <c r="I115" s="25"/>
      <c r="J115" s="25"/>
      <c r="K115" s="25"/>
      <c r="L115" s="25"/>
      <c r="M115" s="25"/>
    </row>
    <row r="116" spans="1:13" ht="14.25" customHeight="1" x14ac:dyDescent="0.3">
      <c r="A116" s="25"/>
      <c r="B116" s="25"/>
      <c r="C116" s="26"/>
      <c r="D116" s="27"/>
      <c r="E116" s="26"/>
      <c r="F116" s="26"/>
      <c r="G116" s="26"/>
      <c r="H116" s="26"/>
      <c r="I116" s="25"/>
      <c r="J116" s="25"/>
      <c r="K116" s="25"/>
      <c r="L116" s="25"/>
      <c r="M116" s="25"/>
    </row>
    <row r="117" spans="1:13" ht="14.25" customHeight="1" x14ac:dyDescent="0.3">
      <c r="A117" s="25"/>
      <c r="B117" s="25"/>
      <c r="C117" s="26"/>
      <c r="D117" s="27"/>
      <c r="E117" s="26"/>
      <c r="F117" s="26"/>
      <c r="G117" s="26"/>
      <c r="H117" s="26"/>
      <c r="I117" s="25"/>
      <c r="J117" s="25"/>
      <c r="K117" s="25"/>
      <c r="L117" s="25"/>
      <c r="M117" s="25"/>
    </row>
    <row r="118" spans="1:13" ht="14.25" customHeight="1" x14ac:dyDescent="0.3">
      <c r="A118" s="25"/>
      <c r="B118" s="25"/>
      <c r="C118" s="26"/>
      <c r="D118" s="27"/>
      <c r="E118" s="26"/>
      <c r="F118" s="26"/>
      <c r="G118" s="26"/>
      <c r="H118" s="26"/>
      <c r="I118" s="25"/>
      <c r="J118" s="25"/>
      <c r="K118" s="25"/>
      <c r="L118" s="25"/>
      <c r="M118" s="25"/>
    </row>
    <row r="119" spans="1:13" ht="14.25" customHeight="1" x14ac:dyDescent="0.3">
      <c r="A119" s="25"/>
      <c r="B119" s="25"/>
      <c r="C119" s="26"/>
      <c r="D119" s="27"/>
      <c r="E119" s="26"/>
      <c r="F119" s="26"/>
      <c r="G119" s="26"/>
      <c r="H119" s="26"/>
      <c r="I119" s="25"/>
      <c r="J119" s="25"/>
      <c r="K119" s="25"/>
      <c r="L119" s="25"/>
      <c r="M119" s="25"/>
    </row>
    <row r="120" spans="1:13" ht="14.25" customHeight="1" x14ac:dyDescent="0.3">
      <c r="A120" s="25"/>
      <c r="B120" s="25"/>
      <c r="C120" s="26"/>
      <c r="D120" s="27"/>
      <c r="E120" s="26"/>
      <c r="F120" s="26"/>
      <c r="G120" s="26"/>
      <c r="H120" s="26"/>
      <c r="I120" s="25"/>
      <c r="J120" s="25"/>
      <c r="K120" s="25"/>
      <c r="L120" s="25"/>
      <c r="M120" s="25"/>
    </row>
    <row r="121" spans="1:13" ht="14.25" customHeight="1" x14ac:dyDescent="0.3">
      <c r="A121" s="25"/>
      <c r="B121" s="25"/>
      <c r="C121" s="26"/>
      <c r="D121" s="27"/>
      <c r="E121" s="26"/>
      <c r="F121" s="26"/>
      <c r="G121" s="26"/>
      <c r="H121" s="26"/>
      <c r="I121" s="25"/>
      <c r="J121" s="25"/>
      <c r="K121" s="25"/>
      <c r="L121" s="25"/>
      <c r="M121" s="25"/>
    </row>
    <row r="122" spans="1:13" ht="14.25" customHeight="1" x14ac:dyDescent="0.3">
      <c r="A122" s="25"/>
      <c r="B122" s="25"/>
      <c r="C122" s="26"/>
      <c r="D122" s="27"/>
      <c r="E122" s="26"/>
      <c r="F122" s="26"/>
      <c r="G122" s="26"/>
      <c r="H122" s="26"/>
      <c r="I122" s="25"/>
      <c r="J122" s="25"/>
      <c r="K122" s="25"/>
      <c r="L122" s="25"/>
      <c r="M122" s="25"/>
    </row>
    <row r="123" spans="1:13" ht="14.25" customHeight="1" x14ac:dyDescent="0.3">
      <c r="A123" s="25"/>
      <c r="B123" s="25"/>
      <c r="C123" s="26"/>
      <c r="D123" s="27"/>
      <c r="E123" s="26"/>
      <c r="F123" s="26"/>
      <c r="G123" s="26"/>
      <c r="H123" s="26"/>
      <c r="I123" s="25"/>
      <c r="J123" s="25"/>
      <c r="K123" s="25"/>
      <c r="L123" s="25"/>
      <c r="M123" s="25"/>
    </row>
    <row r="124" spans="1:13" ht="14.25" customHeight="1" x14ac:dyDescent="0.3">
      <c r="A124" s="25"/>
      <c r="B124" s="25"/>
      <c r="C124" s="26"/>
      <c r="D124" s="27"/>
      <c r="E124" s="26"/>
      <c r="F124" s="26"/>
      <c r="G124" s="26"/>
      <c r="H124" s="26"/>
      <c r="I124" s="25"/>
      <c r="J124" s="25"/>
      <c r="K124" s="25"/>
      <c r="L124" s="25"/>
      <c r="M124" s="25"/>
    </row>
    <row r="125" spans="1:13" ht="14.25" customHeight="1" x14ac:dyDescent="0.3">
      <c r="A125" s="25"/>
      <c r="B125" s="25"/>
      <c r="C125" s="26"/>
      <c r="D125" s="27"/>
      <c r="E125" s="26"/>
      <c r="F125" s="26"/>
      <c r="G125" s="26"/>
      <c r="H125" s="26"/>
      <c r="I125" s="25"/>
      <c r="J125" s="25"/>
      <c r="K125" s="25"/>
      <c r="L125" s="25"/>
      <c r="M125" s="25"/>
    </row>
    <row r="126" spans="1:13" ht="14.25" customHeight="1" x14ac:dyDescent="0.3">
      <c r="A126" s="25"/>
      <c r="B126" s="25"/>
      <c r="C126" s="26"/>
      <c r="D126" s="27"/>
      <c r="E126" s="26"/>
      <c r="F126" s="26"/>
      <c r="G126" s="26"/>
      <c r="H126" s="26"/>
      <c r="I126" s="25"/>
      <c r="J126" s="25"/>
      <c r="K126" s="25"/>
      <c r="L126" s="25"/>
      <c r="M126" s="25"/>
    </row>
    <row r="127" spans="1:13" ht="14.25" customHeight="1" x14ac:dyDescent="0.3">
      <c r="A127" s="25"/>
      <c r="B127" s="25"/>
      <c r="C127" s="26"/>
      <c r="D127" s="27"/>
      <c r="E127" s="26"/>
      <c r="F127" s="26"/>
      <c r="G127" s="26"/>
      <c r="H127" s="26"/>
      <c r="I127" s="25"/>
      <c r="J127" s="25"/>
      <c r="K127" s="25"/>
      <c r="L127" s="25"/>
      <c r="M127" s="25"/>
    </row>
    <row r="128" spans="1:13" ht="14.25" customHeight="1" x14ac:dyDescent="0.3">
      <c r="A128" s="25"/>
      <c r="B128" s="25"/>
      <c r="C128" s="26"/>
      <c r="D128" s="27"/>
      <c r="E128" s="26"/>
      <c r="F128" s="26"/>
      <c r="G128" s="26"/>
      <c r="H128" s="26"/>
      <c r="I128" s="25"/>
      <c r="J128" s="25"/>
      <c r="K128" s="25"/>
      <c r="L128" s="25"/>
      <c r="M128" s="25"/>
    </row>
    <row r="129" spans="1:13" ht="14.25" customHeight="1" x14ac:dyDescent="0.3">
      <c r="A129" s="25"/>
      <c r="B129" s="25"/>
      <c r="C129" s="26"/>
      <c r="D129" s="27"/>
      <c r="E129" s="26"/>
      <c r="F129" s="26"/>
      <c r="G129" s="26"/>
      <c r="H129" s="26"/>
      <c r="I129" s="25"/>
      <c r="J129" s="25"/>
      <c r="K129" s="25"/>
      <c r="L129" s="25"/>
      <c r="M129" s="25"/>
    </row>
    <row r="130" spans="1:13" ht="14.25" customHeight="1" x14ac:dyDescent="0.3">
      <c r="A130" s="25"/>
      <c r="B130" s="25"/>
      <c r="C130" s="26"/>
      <c r="D130" s="27"/>
      <c r="E130" s="26"/>
      <c r="F130" s="26"/>
      <c r="G130" s="26"/>
      <c r="H130" s="26"/>
      <c r="I130" s="25"/>
      <c r="J130" s="25"/>
      <c r="K130" s="25"/>
      <c r="L130" s="25"/>
      <c r="M130" s="25"/>
    </row>
    <row r="131" spans="1:13" ht="14.25" customHeight="1" x14ac:dyDescent="0.3">
      <c r="A131" s="25"/>
      <c r="B131" s="25"/>
      <c r="C131" s="26"/>
      <c r="D131" s="27"/>
      <c r="E131" s="26"/>
      <c r="F131" s="26"/>
      <c r="G131" s="26"/>
      <c r="H131" s="26"/>
      <c r="I131" s="25"/>
      <c r="J131" s="25"/>
      <c r="K131" s="25"/>
      <c r="L131" s="25"/>
      <c r="M131" s="25"/>
    </row>
    <row r="132" spans="1:13" ht="14.25" customHeight="1" x14ac:dyDescent="0.3">
      <c r="A132" s="25"/>
      <c r="B132" s="25"/>
      <c r="C132" s="26"/>
      <c r="D132" s="27"/>
      <c r="E132" s="26"/>
      <c r="F132" s="26"/>
      <c r="G132" s="26"/>
      <c r="H132" s="26"/>
      <c r="I132" s="25"/>
      <c r="J132" s="25"/>
      <c r="K132" s="25"/>
      <c r="L132" s="25"/>
      <c r="M132" s="25"/>
    </row>
    <row r="133" spans="1:13" ht="14.25" customHeight="1" x14ac:dyDescent="0.3">
      <c r="A133" s="25"/>
      <c r="B133" s="25"/>
      <c r="C133" s="26"/>
      <c r="D133" s="27"/>
      <c r="E133" s="26"/>
      <c r="F133" s="26"/>
      <c r="G133" s="26"/>
      <c r="H133" s="26"/>
      <c r="I133" s="25"/>
      <c r="J133" s="25"/>
      <c r="K133" s="25"/>
      <c r="L133" s="25"/>
      <c r="M133" s="25"/>
    </row>
    <row r="134" spans="1:13" ht="14.25" customHeight="1" x14ac:dyDescent="0.3">
      <c r="A134" s="25"/>
      <c r="B134" s="25"/>
      <c r="C134" s="26"/>
      <c r="D134" s="27"/>
      <c r="E134" s="26"/>
      <c r="F134" s="26"/>
      <c r="G134" s="26"/>
      <c r="H134" s="26"/>
      <c r="I134" s="25"/>
      <c r="J134" s="25"/>
      <c r="K134" s="25"/>
      <c r="L134" s="25"/>
      <c r="M134" s="25"/>
    </row>
    <row r="135" spans="1:13" ht="14.25" customHeight="1" x14ac:dyDescent="0.3">
      <c r="A135" s="25"/>
      <c r="B135" s="25"/>
      <c r="C135" s="26"/>
      <c r="D135" s="27"/>
      <c r="E135" s="26"/>
      <c r="F135" s="26"/>
      <c r="G135" s="26"/>
      <c r="H135" s="26"/>
      <c r="I135" s="25"/>
      <c r="J135" s="25"/>
      <c r="K135" s="25"/>
      <c r="L135" s="25"/>
      <c r="M135" s="25"/>
    </row>
    <row r="136" spans="1:13" ht="14.25" customHeight="1" x14ac:dyDescent="0.3">
      <c r="A136" s="25"/>
      <c r="B136" s="25"/>
      <c r="C136" s="26"/>
      <c r="D136" s="27"/>
      <c r="E136" s="26"/>
      <c r="F136" s="26"/>
      <c r="G136" s="26"/>
      <c r="H136" s="26"/>
      <c r="I136" s="25"/>
      <c r="J136" s="25"/>
      <c r="K136" s="25"/>
      <c r="L136" s="25"/>
      <c r="M136" s="25"/>
    </row>
    <row r="137" spans="1:13" ht="14.25" customHeight="1" x14ac:dyDescent="0.3">
      <c r="A137" s="25"/>
      <c r="B137" s="25"/>
      <c r="C137" s="26"/>
      <c r="D137" s="27"/>
      <c r="E137" s="26"/>
      <c r="F137" s="26"/>
      <c r="G137" s="26"/>
      <c r="H137" s="26"/>
      <c r="I137" s="25"/>
      <c r="J137" s="25"/>
      <c r="K137" s="25"/>
      <c r="L137" s="25"/>
      <c r="M137" s="25"/>
    </row>
    <row r="138" spans="1:13" ht="14.25" customHeight="1" x14ac:dyDescent="0.3">
      <c r="A138" s="25"/>
      <c r="B138" s="25"/>
      <c r="C138" s="26"/>
      <c r="D138" s="27"/>
      <c r="E138" s="26"/>
      <c r="F138" s="26"/>
      <c r="G138" s="26"/>
      <c r="H138" s="26"/>
      <c r="I138" s="25"/>
      <c r="J138" s="25"/>
      <c r="K138" s="25"/>
      <c r="L138" s="25"/>
      <c r="M138" s="25"/>
    </row>
    <row r="139" spans="1:13" ht="14.25" customHeight="1" x14ac:dyDescent="0.3">
      <c r="A139" s="25"/>
      <c r="B139" s="25"/>
      <c r="C139" s="26"/>
      <c r="D139" s="27"/>
      <c r="E139" s="26"/>
      <c r="F139" s="26"/>
      <c r="G139" s="26"/>
      <c r="H139" s="26"/>
      <c r="I139" s="25"/>
      <c r="J139" s="25"/>
      <c r="K139" s="25"/>
      <c r="L139" s="25"/>
      <c r="M139" s="25"/>
    </row>
    <row r="140" spans="1:13" ht="14.25" customHeight="1" x14ac:dyDescent="0.3">
      <c r="A140" s="25"/>
      <c r="B140" s="25"/>
      <c r="C140" s="26"/>
      <c r="D140" s="27"/>
      <c r="E140" s="26"/>
      <c r="F140" s="26"/>
      <c r="G140" s="26"/>
      <c r="H140" s="26"/>
      <c r="I140" s="25"/>
      <c r="J140" s="25"/>
      <c r="K140" s="25"/>
      <c r="L140" s="25"/>
      <c r="M140" s="25"/>
    </row>
    <row r="141" spans="1:13" ht="14.25" customHeight="1" x14ac:dyDescent="0.3">
      <c r="A141" s="25"/>
      <c r="B141" s="25"/>
      <c r="C141" s="26"/>
      <c r="D141" s="27"/>
      <c r="E141" s="26"/>
      <c r="F141" s="26"/>
      <c r="G141" s="26"/>
      <c r="H141" s="26"/>
      <c r="I141" s="25"/>
      <c r="J141" s="25"/>
      <c r="K141" s="25"/>
      <c r="L141" s="25"/>
      <c r="M141" s="25"/>
    </row>
    <row r="142" spans="1:13" ht="14.25" customHeight="1" x14ac:dyDescent="0.3">
      <c r="A142" s="25"/>
      <c r="B142" s="25"/>
      <c r="C142" s="26"/>
      <c r="D142" s="27"/>
      <c r="E142" s="26"/>
      <c r="F142" s="26"/>
      <c r="G142" s="26"/>
      <c r="H142" s="26"/>
      <c r="I142" s="25"/>
      <c r="J142" s="25"/>
      <c r="K142" s="25"/>
      <c r="L142" s="25"/>
      <c r="M142" s="25"/>
    </row>
    <row r="143" spans="1:13" ht="14.25" customHeight="1" x14ac:dyDescent="0.3">
      <c r="A143" s="25"/>
      <c r="B143" s="25"/>
      <c r="C143" s="26"/>
      <c r="D143" s="27"/>
      <c r="E143" s="26"/>
      <c r="F143" s="26"/>
      <c r="G143" s="26"/>
      <c r="H143" s="26"/>
      <c r="I143" s="25"/>
      <c r="J143" s="25"/>
      <c r="K143" s="25"/>
      <c r="L143" s="25"/>
      <c r="M143" s="25"/>
    </row>
    <row r="144" spans="1:13" ht="14.25" customHeight="1" x14ac:dyDescent="0.3">
      <c r="A144" s="25"/>
      <c r="B144" s="25"/>
      <c r="C144" s="26"/>
      <c r="D144" s="27"/>
      <c r="E144" s="26"/>
      <c r="F144" s="26"/>
      <c r="G144" s="26"/>
      <c r="H144" s="26"/>
      <c r="I144" s="25"/>
      <c r="J144" s="25"/>
      <c r="K144" s="25"/>
      <c r="L144" s="25"/>
      <c r="M144" s="25"/>
    </row>
    <row r="145" spans="1:13" ht="14.25" customHeight="1" x14ac:dyDescent="0.3">
      <c r="A145" s="25"/>
      <c r="B145" s="25"/>
      <c r="C145" s="26"/>
      <c r="D145" s="27"/>
      <c r="E145" s="26"/>
      <c r="F145" s="26"/>
      <c r="G145" s="26"/>
      <c r="H145" s="26"/>
      <c r="I145" s="25"/>
      <c r="J145" s="25"/>
      <c r="K145" s="25"/>
      <c r="L145" s="25"/>
      <c r="M145" s="25"/>
    </row>
    <row r="146" spans="1:13" ht="14.25" customHeight="1" x14ac:dyDescent="0.3">
      <c r="A146" s="25"/>
      <c r="B146" s="25"/>
      <c r="C146" s="26"/>
      <c r="D146" s="27"/>
      <c r="E146" s="26"/>
      <c r="F146" s="26"/>
      <c r="G146" s="26"/>
      <c r="H146" s="26"/>
      <c r="I146" s="25"/>
      <c r="J146" s="25"/>
      <c r="K146" s="25"/>
      <c r="L146" s="25"/>
      <c r="M146" s="25"/>
    </row>
    <row r="147" spans="1:13" ht="14.25" customHeight="1" x14ac:dyDescent="0.3">
      <c r="A147" s="25"/>
      <c r="B147" s="25"/>
      <c r="C147" s="26"/>
      <c r="D147" s="27"/>
      <c r="E147" s="26"/>
      <c r="F147" s="26"/>
      <c r="G147" s="26"/>
      <c r="H147" s="26"/>
      <c r="I147" s="25"/>
      <c r="J147" s="25"/>
      <c r="K147" s="25"/>
      <c r="L147" s="25"/>
      <c r="M147" s="25"/>
    </row>
    <row r="148" spans="1:13" ht="14.25" customHeight="1" x14ac:dyDescent="0.3">
      <c r="A148" s="25"/>
      <c r="B148" s="25"/>
      <c r="C148" s="26"/>
      <c r="D148" s="27"/>
      <c r="E148" s="26"/>
      <c r="F148" s="26"/>
      <c r="G148" s="26"/>
      <c r="H148" s="26"/>
      <c r="I148" s="25"/>
      <c r="J148" s="25"/>
      <c r="K148" s="25"/>
      <c r="L148" s="25"/>
      <c r="M148" s="25"/>
    </row>
    <row r="149" spans="1:13" ht="14.25" customHeight="1" x14ac:dyDescent="0.3">
      <c r="A149" s="25"/>
      <c r="B149" s="25"/>
      <c r="C149" s="26"/>
      <c r="D149" s="27"/>
      <c r="E149" s="26"/>
      <c r="F149" s="26"/>
      <c r="G149" s="26"/>
      <c r="H149" s="26"/>
      <c r="I149" s="25"/>
      <c r="J149" s="25"/>
      <c r="K149" s="25"/>
      <c r="L149" s="25"/>
      <c r="M149" s="25"/>
    </row>
    <row r="150" spans="1:13" ht="14.25" customHeight="1" x14ac:dyDescent="0.3">
      <c r="A150" s="25"/>
      <c r="B150" s="25"/>
      <c r="C150" s="26"/>
      <c r="D150" s="27"/>
      <c r="E150" s="26"/>
      <c r="F150" s="26"/>
      <c r="G150" s="26"/>
      <c r="H150" s="26"/>
      <c r="I150" s="25"/>
      <c r="J150" s="25"/>
      <c r="K150" s="25"/>
      <c r="L150" s="25"/>
      <c r="M150" s="25"/>
    </row>
    <row r="151" spans="1:13" ht="14.25" customHeight="1" x14ac:dyDescent="0.3">
      <c r="A151" s="25"/>
      <c r="B151" s="25"/>
      <c r="C151" s="26"/>
      <c r="D151" s="27"/>
      <c r="E151" s="26"/>
      <c r="F151" s="26"/>
      <c r="G151" s="26"/>
      <c r="H151" s="26"/>
      <c r="I151" s="25"/>
      <c r="J151" s="25"/>
      <c r="K151" s="25"/>
      <c r="L151" s="25"/>
      <c r="M151" s="25"/>
    </row>
    <row r="152" spans="1:13" ht="14.25" customHeight="1" x14ac:dyDescent="0.3">
      <c r="A152" s="25"/>
      <c r="B152" s="25"/>
      <c r="C152" s="26"/>
      <c r="D152" s="27"/>
      <c r="E152" s="26"/>
      <c r="F152" s="26"/>
      <c r="G152" s="26"/>
      <c r="H152" s="26"/>
      <c r="I152" s="25"/>
      <c r="J152" s="25"/>
      <c r="K152" s="25"/>
      <c r="L152" s="25"/>
      <c r="M152" s="25"/>
    </row>
    <row r="153" spans="1:13" ht="14.25" customHeight="1" x14ac:dyDescent="0.3">
      <c r="A153" s="25"/>
      <c r="B153" s="25"/>
      <c r="C153" s="26"/>
      <c r="D153" s="27"/>
      <c r="E153" s="26"/>
      <c r="F153" s="26"/>
      <c r="G153" s="26"/>
      <c r="H153" s="26"/>
      <c r="I153" s="25"/>
      <c r="J153" s="25"/>
      <c r="K153" s="25"/>
      <c r="L153" s="25"/>
      <c r="M153" s="25"/>
    </row>
    <row r="154" spans="1:13" ht="14.25" customHeight="1" x14ac:dyDescent="0.3">
      <c r="A154" s="25"/>
      <c r="B154" s="25"/>
      <c r="C154" s="26"/>
      <c r="D154" s="27"/>
      <c r="E154" s="26"/>
      <c r="F154" s="26"/>
      <c r="G154" s="26"/>
      <c r="H154" s="26"/>
      <c r="I154" s="25"/>
      <c r="J154" s="25"/>
      <c r="K154" s="25"/>
      <c r="L154" s="25"/>
      <c r="M154" s="25"/>
    </row>
    <row r="155" spans="1:13" ht="14.25" customHeight="1" x14ac:dyDescent="0.3">
      <c r="A155" s="25"/>
      <c r="B155" s="25"/>
      <c r="C155" s="26"/>
      <c r="D155" s="27"/>
      <c r="E155" s="26"/>
      <c r="F155" s="26"/>
      <c r="G155" s="26"/>
      <c r="H155" s="26"/>
      <c r="I155" s="25"/>
      <c r="J155" s="25"/>
      <c r="K155" s="25"/>
      <c r="L155" s="25"/>
      <c r="M155" s="25"/>
    </row>
    <row r="156" spans="1:13" ht="14.25" customHeight="1" x14ac:dyDescent="0.3">
      <c r="A156" s="25"/>
      <c r="B156" s="25"/>
      <c r="C156" s="26"/>
      <c r="D156" s="27"/>
      <c r="E156" s="26"/>
      <c r="F156" s="26"/>
      <c r="G156" s="26"/>
      <c r="H156" s="26"/>
      <c r="I156" s="25"/>
      <c r="J156" s="25"/>
      <c r="K156" s="25"/>
      <c r="L156" s="25"/>
      <c r="M156" s="25"/>
    </row>
    <row r="157" spans="1:13" ht="14.25" customHeight="1" x14ac:dyDescent="0.3">
      <c r="A157" s="25"/>
      <c r="B157" s="25"/>
      <c r="C157" s="26"/>
      <c r="D157" s="27"/>
      <c r="E157" s="26"/>
      <c r="F157" s="26"/>
      <c r="G157" s="26"/>
      <c r="H157" s="26"/>
      <c r="I157" s="25"/>
      <c r="J157" s="25"/>
      <c r="K157" s="25"/>
      <c r="L157" s="25"/>
      <c r="M157" s="25"/>
    </row>
    <row r="158" spans="1:13" ht="14.25" customHeight="1" x14ac:dyDescent="0.3">
      <c r="A158" s="25"/>
      <c r="B158" s="25"/>
      <c r="C158" s="26"/>
      <c r="D158" s="27"/>
      <c r="E158" s="26"/>
      <c r="F158" s="26"/>
      <c r="G158" s="26"/>
      <c r="H158" s="26"/>
      <c r="I158" s="25"/>
      <c r="J158" s="25"/>
      <c r="K158" s="25"/>
      <c r="L158" s="25"/>
      <c r="M158" s="25"/>
    </row>
    <row r="159" spans="1:13" ht="14.25" customHeight="1" x14ac:dyDescent="0.3">
      <c r="A159" s="25"/>
      <c r="B159" s="25"/>
      <c r="C159" s="26"/>
      <c r="D159" s="27"/>
      <c r="E159" s="26"/>
      <c r="F159" s="26"/>
      <c r="G159" s="26"/>
      <c r="H159" s="26"/>
      <c r="I159" s="25"/>
      <c r="J159" s="25"/>
      <c r="K159" s="25"/>
      <c r="L159" s="25"/>
      <c r="M159" s="25"/>
    </row>
    <row r="160" spans="1:13" ht="14.25" customHeight="1" x14ac:dyDescent="0.3">
      <c r="A160" s="25"/>
      <c r="B160" s="25"/>
      <c r="C160" s="26"/>
      <c r="D160" s="27"/>
      <c r="E160" s="26"/>
      <c r="F160" s="26"/>
      <c r="G160" s="26"/>
      <c r="H160" s="26"/>
      <c r="I160" s="25"/>
      <c r="J160" s="25"/>
      <c r="K160" s="25"/>
      <c r="L160" s="25"/>
      <c r="M160" s="25"/>
    </row>
    <row r="161" spans="1:13" ht="14.25" customHeight="1" x14ac:dyDescent="0.3">
      <c r="A161" s="25"/>
      <c r="B161" s="25"/>
      <c r="C161" s="26"/>
      <c r="D161" s="27"/>
      <c r="E161" s="26"/>
      <c r="F161" s="26"/>
      <c r="G161" s="26"/>
      <c r="H161" s="26"/>
      <c r="I161" s="25"/>
      <c r="J161" s="25"/>
      <c r="K161" s="25"/>
      <c r="L161" s="25"/>
      <c r="M161" s="25"/>
    </row>
    <row r="162" spans="1:13" ht="14.25" customHeight="1" x14ac:dyDescent="0.3">
      <c r="A162" s="25"/>
      <c r="B162" s="25"/>
      <c r="C162" s="26"/>
      <c r="D162" s="27"/>
      <c r="E162" s="26"/>
      <c r="F162" s="26"/>
      <c r="G162" s="26"/>
      <c r="H162" s="26"/>
      <c r="I162" s="25"/>
      <c r="J162" s="25"/>
      <c r="K162" s="25"/>
      <c r="L162" s="25"/>
      <c r="M162" s="25"/>
    </row>
    <row r="163" spans="1:13" ht="14.25" customHeight="1" x14ac:dyDescent="0.3">
      <c r="A163" s="25"/>
      <c r="B163" s="25"/>
      <c r="C163" s="26"/>
      <c r="D163" s="27"/>
      <c r="E163" s="26"/>
      <c r="F163" s="26"/>
      <c r="G163" s="26"/>
      <c r="H163" s="26"/>
      <c r="I163" s="25"/>
      <c r="J163" s="25"/>
      <c r="K163" s="25"/>
      <c r="L163" s="25"/>
      <c r="M163" s="25"/>
    </row>
    <row r="164" spans="1:13" ht="14.25" customHeight="1" x14ac:dyDescent="0.3">
      <c r="A164" s="25"/>
      <c r="B164" s="25"/>
      <c r="C164" s="26"/>
      <c r="D164" s="27"/>
      <c r="E164" s="26"/>
      <c r="F164" s="26"/>
      <c r="G164" s="26"/>
      <c r="H164" s="26"/>
      <c r="I164" s="25"/>
      <c r="J164" s="25"/>
      <c r="K164" s="25"/>
      <c r="L164" s="25"/>
      <c r="M164" s="25"/>
    </row>
    <row r="165" spans="1:13" ht="14.25" customHeight="1" x14ac:dyDescent="0.3">
      <c r="A165" s="25"/>
      <c r="B165" s="25"/>
      <c r="C165" s="26"/>
      <c r="D165" s="27"/>
      <c r="E165" s="26"/>
      <c r="F165" s="26"/>
      <c r="G165" s="26"/>
      <c r="H165" s="26"/>
      <c r="I165" s="25"/>
      <c r="J165" s="25"/>
      <c r="K165" s="25"/>
      <c r="L165" s="25"/>
      <c r="M165" s="25"/>
    </row>
    <row r="166" spans="1:13" ht="14.25" customHeight="1" x14ac:dyDescent="0.3">
      <c r="A166" s="25"/>
      <c r="B166" s="25"/>
      <c r="C166" s="26"/>
      <c r="D166" s="27"/>
      <c r="E166" s="26"/>
      <c r="F166" s="26"/>
      <c r="G166" s="26"/>
      <c r="H166" s="26"/>
      <c r="I166" s="25"/>
      <c r="J166" s="25"/>
      <c r="K166" s="25"/>
      <c r="L166" s="25"/>
      <c r="M166" s="25"/>
    </row>
    <row r="167" spans="1:13" ht="14.25" customHeight="1" x14ac:dyDescent="0.3">
      <c r="A167" s="25"/>
      <c r="B167" s="25"/>
      <c r="C167" s="26"/>
      <c r="D167" s="27"/>
      <c r="E167" s="26"/>
      <c r="F167" s="26"/>
      <c r="G167" s="26"/>
      <c r="H167" s="26"/>
      <c r="I167" s="25"/>
      <c r="J167" s="25"/>
      <c r="K167" s="25"/>
      <c r="L167" s="25"/>
      <c r="M167" s="25"/>
    </row>
    <row r="168" spans="1:13" ht="14.25" customHeight="1" x14ac:dyDescent="0.3">
      <c r="A168" s="25"/>
      <c r="B168" s="25"/>
      <c r="C168" s="26"/>
      <c r="D168" s="27"/>
      <c r="E168" s="26"/>
      <c r="F168" s="26"/>
      <c r="G168" s="26"/>
      <c r="H168" s="26"/>
      <c r="I168" s="25"/>
      <c r="J168" s="25"/>
      <c r="K168" s="25"/>
      <c r="L168" s="25"/>
      <c r="M168" s="25"/>
    </row>
    <row r="169" spans="1:13" ht="14.25" customHeight="1" x14ac:dyDescent="0.3">
      <c r="A169" s="25"/>
      <c r="B169" s="25"/>
      <c r="C169" s="26"/>
      <c r="D169" s="27"/>
      <c r="E169" s="26"/>
      <c r="F169" s="26"/>
      <c r="G169" s="26"/>
      <c r="H169" s="26"/>
      <c r="I169" s="25"/>
      <c r="J169" s="25"/>
      <c r="K169" s="25"/>
      <c r="L169" s="25"/>
      <c r="M169" s="25"/>
    </row>
    <row r="170" spans="1:13" ht="14.25" customHeight="1" x14ac:dyDescent="0.3">
      <c r="A170" s="25"/>
      <c r="B170" s="25"/>
      <c r="C170" s="26"/>
      <c r="D170" s="27"/>
      <c r="E170" s="26"/>
      <c r="F170" s="26"/>
      <c r="G170" s="26"/>
      <c r="H170" s="26"/>
      <c r="I170" s="25"/>
      <c r="J170" s="25"/>
      <c r="K170" s="25"/>
      <c r="L170" s="25"/>
      <c r="M170" s="25"/>
    </row>
    <row r="171" spans="1:13" ht="14.25" customHeight="1" x14ac:dyDescent="0.3">
      <c r="A171" s="25"/>
      <c r="B171" s="25"/>
      <c r="C171" s="26"/>
      <c r="D171" s="27"/>
      <c r="E171" s="26"/>
      <c r="F171" s="26"/>
      <c r="G171" s="26"/>
      <c r="H171" s="26"/>
      <c r="I171" s="25"/>
      <c r="J171" s="25"/>
      <c r="K171" s="25"/>
      <c r="L171" s="25"/>
      <c r="M171" s="25"/>
    </row>
    <row r="172" spans="1:13" ht="14.25" customHeight="1" x14ac:dyDescent="0.3">
      <c r="A172" s="25"/>
      <c r="B172" s="25"/>
      <c r="C172" s="26"/>
      <c r="D172" s="27"/>
      <c r="E172" s="26"/>
      <c r="F172" s="26"/>
      <c r="G172" s="26"/>
      <c r="H172" s="26"/>
      <c r="I172" s="25"/>
      <c r="J172" s="25"/>
      <c r="K172" s="25"/>
      <c r="L172" s="25"/>
      <c r="M172" s="25"/>
    </row>
    <row r="173" spans="1:13" ht="14.25" customHeight="1" x14ac:dyDescent="0.3">
      <c r="A173" s="25"/>
      <c r="B173" s="25"/>
      <c r="C173" s="26"/>
      <c r="D173" s="27"/>
      <c r="E173" s="26"/>
      <c r="F173" s="26"/>
      <c r="G173" s="26"/>
      <c r="H173" s="26"/>
      <c r="I173" s="25"/>
      <c r="J173" s="25"/>
      <c r="K173" s="25"/>
      <c r="L173" s="25"/>
      <c r="M173" s="25"/>
    </row>
    <row r="174" spans="1:13" ht="14.25" customHeight="1" x14ac:dyDescent="0.3">
      <c r="A174" s="25"/>
      <c r="B174" s="25"/>
      <c r="C174" s="26"/>
      <c r="D174" s="27"/>
      <c r="E174" s="26"/>
      <c r="F174" s="26"/>
      <c r="G174" s="26"/>
      <c r="H174" s="26"/>
      <c r="I174" s="25"/>
      <c r="J174" s="25"/>
      <c r="K174" s="25"/>
      <c r="L174" s="25"/>
      <c r="M174" s="25"/>
    </row>
    <row r="175" spans="1:13" ht="14.25" customHeight="1" x14ac:dyDescent="0.3">
      <c r="A175" s="25"/>
      <c r="B175" s="25"/>
      <c r="C175" s="26"/>
      <c r="D175" s="27"/>
      <c r="E175" s="26"/>
      <c r="F175" s="26"/>
      <c r="G175" s="26"/>
      <c r="H175" s="26"/>
      <c r="I175" s="25"/>
      <c r="J175" s="25"/>
      <c r="K175" s="25"/>
      <c r="L175" s="25"/>
      <c r="M175" s="25"/>
    </row>
    <row r="176" spans="1:13" ht="14.25" customHeight="1" x14ac:dyDescent="0.3">
      <c r="A176" s="25"/>
      <c r="B176" s="25"/>
      <c r="C176" s="26"/>
      <c r="D176" s="27"/>
      <c r="E176" s="26"/>
      <c r="F176" s="26"/>
      <c r="G176" s="26"/>
      <c r="H176" s="26"/>
      <c r="I176" s="25"/>
      <c r="J176" s="25"/>
      <c r="K176" s="25"/>
      <c r="L176" s="25"/>
      <c r="M176" s="25"/>
    </row>
    <row r="177" spans="1:13" ht="14.25" customHeight="1" x14ac:dyDescent="0.3">
      <c r="A177" s="25"/>
      <c r="B177" s="25"/>
      <c r="C177" s="26"/>
      <c r="D177" s="27"/>
      <c r="E177" s="26"/>
      <c r="F177" s="26"/>
      <c r="G177" s="26"/>
      <c r="H177" s="26"/>
      <c r="I177" s="25"/>
      <c r="J177" s="25"/>
      <c r="K177" s="25"/>
      <c r="L177" s="25"/>
      <c r="M177" s="25"/>
    </row>
    <row r="178" spans="1:13" ht="14.25" customHeight="1" x14ac:dyDescent="0.3">
      <c r="A178" s="25"/>
      <c r="B178" s="25"/>
      <c r="C178" s="26"/>
      <c r="D178" s="27"/>
      <c r="E178" s="26"/>
      <c r="F178" s="26"/>
      <c r="G178" s="26"/>
      <c r="H178" s="26"/>
      <c r="I178" s="25"/>
      <c r="J178" s="25"/>
      <c r="K178" s="25"/>
      <c r="L178" s="25"/>
      <c r="M178" s="25"/>
    </row>
    <row r="179" spans="1:13" ht="14.25" customHeight="1" x14ac:dyDescent="0.3">
      <c r="A179" s="25"/>
      <c r="B179" s="25"/>
      <c r="C179" s="26"/>
      <c r="D179" s="27"/>
      <c r="E179" s="26"/>
      <c r="F179" s="26"/>
      <c r="G179" s="26"/>
      <c r="H179" s="26"/>
      <c r="I179" s="25"/>
      <c r="J179" s="25"/>
      <c r="K179" s="25"/>
      <c r="L179" s="25"/>
      <c r="M179" s="25"/>
    </row>
    <row r="180" spans="1:13" ht="14.25" customHeight="1" x14ac:dyDescent="0.3">
      <c r="A180" s="25"/>
      <c r="B180" s="25"/>
      <c r="C180" s="26"/>
      <c r="D180" s="27"/>
      <c r="E180" s="26"/>
      <c r="F180" s="26"/>
      <c r="G180" s="26"/>
      <c r="H180" s="26"/>
      <c r="I180" s="25"/>
      <c r="J180" s="25"/>
      <c r="K180" s="25"/>
      <c r="L180" s="25"/>
      <c r="M180" s="25"/>
    </row>
    <row r="181" spans="1:13" ht="14.25" customHeight="1" x14ac:dyDescent="0.3">
      <c r="A181" s="25"/>
      <c r="B181" s="25"/>
      <c r="C181" s="26"/>
      <c r="D181" s="27"/>
      <c r="E181" s="26"/>
      <c r="F181" s="26"/>
      <c r="G181" s="26"/>
      <c r="H181" s="26"/>
      <c r="I181" s="25"/>
      <c r="J181" s="25"/>
      <c r="K181" s="25"/>
      <c r="L181" s="25"/>
      <c r="M181" s="25"/>
    </row>
    <row r="182" spans="1:13" ht="14.25" customHeight="1" x14ac:dyDescent="0.3">
      <c r="A182" s="25"/>
      <c r="B182" s="25"/>
      <c r="C182" s="26"/>
      <c r="D182" s="27"/>
      <c r="E182" s="26"/>
      <c r="F182" s="26"/>
      <c r="G182" s="26"/>
      <c r="H182" s="26"/>
      <c r="I182" s="25"/>
      <c r="J182" s="25"/>
      <c r="K182" s="25"/>
      <c r="L182" s="25"/>
      <c r="M182" s="25"/>
    </row>
    <row r="183" spans="1:13" ht="14.25" customHeight="1" x14ac:dyDescent="0.3">
      <c r="A183" s="25"/>
      <c r="B183" s="25"/>
      <c r="C183" s="26"/>
      <c r="D183" s="27"/>
      <c r="E183" s="26"/>
      <c r="F183" s="26"/>
      <c r="G183" s="26"/>
      <c r="H183" s="26"/>
      <c r="I183" s="25"/>
      <c r="J183" s="25"/>
      <c r="K183" s="25"/>
      <c r="L183" s="25"/>
      <c r="M183" s="25"/>
    </row>
    <row r="184" spans="1:13" ht="14.25" customHeight="1" x14ac:dyDescent="0.3">
      <c r="A184" s="25"/>
      <c r="B184" s="25"/>
      <c r="C184" s="26"/>
      <c r="D184" s="27"/>
      <c r="E184" s="26"/>
      <c r="F184" s="26"/>
      <c r="G184" s="26"/>
      <c r="H184" s="26"/>
      <c r="I184" s="25"/>
      <c r="J184" s="25"/>
      <c r="K184" s="25"/>
      <c r="L184" s="25"/>
      <c r="M184" s="25"/>
    </row>
    <row r="185" spans="1:13" ht="14.25" customHeight="1" x14ac:dyDescent="0.3">
      <c r="A185" s="25"/>
      <c r="B185" s="25"/>
      <c r="C185" s="26"/>
      <c r="D185" s="27"/>
      <c r="E185" s="26"/>
      <c r="F185" s="26"/>
      <c r="G185" s="26"/>
      <c r="H185" s="26"/>
      <c r="I185" s="25"/>
      <c r="J185" s="25"/>
      <c r="K185" s="25"/>
      <c r="L185" s="25"/>
      <c r="M185" s="25"/>
    </row>
    <row r="186" spans="1:13" ht="14.25" customHeight="1" x14ac:dyDescent="0.3">
      <c r="A186" s="25"/>
      <c r="B186" s="25"/>
      <c r="C186" s="26"/>
      <c r="D186" s="27"/>
      <c r="E186" s="26"/>
      <c r="F186" s="26"/>
      <c r="G186" s="26"/>
      <c r="H186" s="26"/>
      <c r="I186" s="25"/>
      <c r="J186" s="25"/>
      <c r="K186" s="25"/>
      <c r="L186" s="25"/>
      <c r="M186" s="25"/>
    </row>
    <row r="187" spans="1:13" ht="14.25" customHeight="1" x14ac:dyDescent="0.3">
      <c r="A187" s="25"/>
      <c r="B187" s="25"/>
      <c r="C187" s="26"/>
      <c r="D187" s="27"/>
      <c r="E187" s="26"/>
      <c r="F187" s="26"/>
      <c r="G187" s="26"/>
      <c r="H187" s="26"/>
      <c r="I187" s="25"/>
      <c r="J187" s="25"/>
      <c r="K187" s="25"/>
      <c r="L187" s="25"/>
      <c r="M187" s="25"/>
    </row>
    <row r="188" spans="1:13" ht="14.25" customHeight="1" x14ac:dyDescent="0.3">
      <c r="A188" s="25"/>
      <c r="B188" s="25"/>
      <c r="C188" s="26"/>
      <c r="D188" s="27"/>
      <c r="E188" s="26"/>
      <c r="F188" s="26"/>
      <c r="G188" s="26"/>
      <c r="H188" s="26"/>
      <c r="I188" s="25"/>
      <c r="J188" s="25"/>
      <c r="K188" s="25"/>
      <c r="L188" s="25"/>
      <c r="M188" s="25"/>
    </row>
    <row r="189" spans="1:13" ht="14.25" customHeight="1" x14ac:dyDescent="0.3">
      <c r="A189" s="25"/>
      <c r="B189" s="25"/>
      <c r="C189" s="26"/>
      <c r="D189" s="27"/>
      <c r="E189" s="26"/>
      <c r="F189" s="26"/>
      <c r="G189" s="26"/>
      <c r="H189" s="26"/>
      <c r="I189" s="25"/>
      <c r="J189" s="25"/>
      <c r="K189" s="25"/>
      <c r="L189" s="25"/>
      <c r="M189" s="25"/>
    </row>
    <row r="190" spans="1:13" ht="14.25" customHeight="1" x14ac:dyDescent="0.3">
      <c r="A190" s="25"/>
      <c r="B190" s="25"/>
      <c r="C190" s="26"/>
      <c r="D190" s="27"/>
      <c r="E190" s="26"/>
      <c r="F190" s="26"/>
      <c r="G190" s="26"/>
      <c r="H190" s="26"/>
      <c r="I190" s="25"/>
      <c r="J190" s="25"/>
      <c r="K190" s="25"/>
      <c r="L190" s="25"/>
      <c r="M190" s="25"/>
    </row>
    <row r="191" spans="1:13" ht="14.25" customHeight="1" x14ac:dyDescent="0.3">
      <c r="A191" s="25"/>
      <c r="B191" s="25"/>
      <c r="C191" s="26"/>
      <c r="D191" s="27"/>
      <c r="E191" s="26"/>
      <c r="F191" s="26"/>
      <c r="G191" s="26"/>
      <c r="H191" s="26"/>
      <c r="I191" s="25"/>
      <c r="J191" s="25"/>
      <c r="K191" s="25"/>
      <c r="L191" s="25"/>
      <c r="M191" s="25"/>
    </row>
    <row r="192" spans="1:13" ht="14.25" customHeight="1" x14ac:dyDescent="0.3">
      <c r="A192" s="25"/>
      <c r="B192" s="25"/>
      <c r="C192" s="26"/>
      <c r="D192" s="27"/>
      <c r="E192" s="26"/>
      <c r="F192" s="26"/>
      <c r="G192" s="26"/>
      <c r="H192" s="26"/>
      <c r="I192" s="25"/>
      <c r="J192" s="25"/>
      <c r="K192" s="25"/>
      <c r="L192" s="25"/>
      <c r="M192" s="25"/>
    </row>
    <row r="193" spans="1:13" ht="14.25" customHeight="1" x14ac:dyDescent="0.3">
      <c r="A193" s="25"/>
      <c r="B193" s="25"/>
      <c r="C193" s="26"/>
      <c r="D193" s="27"/>
      <c r="E193" s="26"/>
      <c r="F193" s="26"/>
      <c r="G193" s="26"/>
      <c r="H193" s="26"/>
      <c r="I193" s="25"/>
      <c r="J193" s="25"/>
      <c r="K193" s="25"/>
      <c r="L193" s="25"/>
      <c r="M193" s="25"/>
    </row>
    <row r="194" spans="1:13" ht="14.25" customHeight="1" x14ac:dyDescent="0.3">
      <c r="A194" s="25"/>
      <c r="B194" s="25"/>
      <c r="C194" s="26"/>
      <c r="D194" s="27"/>
      <c r="E194" s="26"/>
      <c r="F194" s="26"/>
      <c r="G194" s="26"/>
      <c r="H194" s="26"/>
      <c r="I194" s="25"/>
      <c r="J194" s="25"/>
      <c r="K194" s="25"/>
      <c r="L194" s="25"/>
      <c r="M194" s="25"/>
    </row>
    <row r="195" spans="1:13" ht="14.25" customHeight="1" x14ac:dyDescent="0.3">
      <c r="A195" s="25"/>
      <c r="B195" s="25"/>
      <c r="C195" s="26"/>
      <c r="D195" s="27"/>
      <c r="E195" s="26"/>
      <c r="F195" s="26"/>
      <c r="G195" s="26"/>
      <c r="H195" s="26"/>
      <c r="I195" s="25"/>
      <c r="J195" s="25"/>
      <c r="K195" s="25"/>
      <c r="L195" s="25"/>
      <c r="M195" s="25"/>
    </row>
    <row r="196" spans="1:13" ht="14.25" customHeight="1" x14ac:dyDescent="0.3">
      <c r="A196" s="25"/>
      <c r="B196" s="25"/>
      <c r="C196" s="26"/>
      <c r="D196" s="27"/>
      <c r="E196" s="26"/>
      <c r="F196" s="26"/>
      <c r="G196" s="26"/>
      <c r="H196" s="26"/>
      <c r="I196" s="25"/>
      <c r="J196" s="25"/>
      <c r="K196" s="25"/>
      <c r="L196" s="25"/>
      <c r="M196" s="25"/>
    </row>
    <row r="197" spans="1:13" ht="14.25" customHeight="1" x14ac:dyDescent="0.3">
      <c r="A197" s="25"/>
      <c r="B197" s="25"/>
      <c r="C197" s="26"/>
      <c r="D197" s="27"/>
      <c r="E197" s="26"/>
      <c r="F197" s="26"/>
      <c r="G197" s="26"/>
      <c r="H197" s="26"/>
      <c r="I197" s="25"/>
      <c r="J197" s="25"/>
      <c r="K197" s="25"/>
      <c r="L197" s="25"/>
      <c r="M197" s="25"/>
    </row>
    <row r="198" spans="1:13" ht="14.25" customHeight="1" x14ac:dyDescent="0.3">
      <c r="A198" s="25"/>
      <c r="B198" s="25"/>
      <c r="C198" s="26"/>
      <c r="D198" s="27"/>
      <c r="E198" s="26"/>
      <c r="F198" s="26"/>
      <c r="G198" s="26"/>
      <c r="H198" s="26"/>
      <c r="I198" s="25"/>
      <c r="J198" s="25"/>
      <c r="K198" s="25"/>
      <c r="L198" s="25"/>
      <c r="M198" s="25"/>
    </row>
    <row r="199" spans="1:13" ht="14.25" customHeight="1" x14ac:dyDescent="0.3">
      <c r="A199" s="25"/>
      <c r="B199" s="25"/>
      <c r="C199" s="26"/>
      <c r="D199" s="27"/>
      <c r="E199" s="26"/>
      <c r="F199" s="26"/>
      <c r="G199" s="26"/>
      <c r="H199" s="26"/>
      <c r="I199" s="25"/>
      <c r="J199" s="25"/>
      <c r="K199" s="25"/>
      <c r="L199" s="25"/>
      <c r="M199" s="25"/>
    </row>
    <row r="200" spans="1:13" ht="14.25" customHeight="1" x14ac:dyDescent="0.3">
      <c r="A200" s="25"/>
      <c r="B200" s="25"/>
      <c r="C200" s="26"/>
      <c r="D200" s="27"/>
      <c r="E200" s="26"/>
      <c r="F200" s="26"/>
      <c r="G200" s="26"/>
      <c r="H200" s="26"/>
      <c r="I200" s="25"/>
      <c r="J200" s="25"/>
      <c r="K200" s="25"/>
      <c r="L200" s="25"/>
      <c r="M200" s="25"/>
    </row>
    <row r="201" spans="1:13" ht="14.25" customHeight="1" x14ac:dyDescent="0.3">
      <c r="A201" s="25"/>
      <c r="B201" s="25"/>
      <c r="C201" s="26"/>
      <c r="D201" s="27"/>
      <c r="E201" s="26"/>
      <c r="F201" s="26"/>
      <c r="G201" s="26"/>
      <c r="H201" s="26"/>
      <c r="I201" s="25"/>
      <c r="J201" s="25"/>
      <c r="K201" s="25"/>
      <c r="L201" s="25"/>
      <c r="M201" s="25"/>
    </row>
    <row r="202" spans="1:13" ht="14.25" customHeight="1" x14ac:dyDescent="0.3">
      <c r="A202" s="25"/>
      <c r="B202" s="25"/>
      <c r="C202" s="26"/>
      <c r="D202" s="27"/>
      <c r="E202" s="26"/>
      <c r="F202" s="26"/>
      <c r="G202" s="26"/>
      <c r="H202" s="26"/>
      <c r="I202" s="25"/>
      <c r="J202" s="25"/>
      <c r="K202" s="25"/>
      <c r="L202" s="25"/>
      <c r="M202" s="25"/>
    </row>
    <row r="203" spans="1:13" ht="14.25" customHeight="1" x14ac:dyDescent="0.3">
      <c r="A203" s="25"/>
      <c r="B203" s="25"/>
      <c r="C203" s="26"/>
      <c r="D203" s="27"/>
      <c r="E203" s="26"/>
      <c r="F203" s="26"/>
      <c r="G203" s="26"/>
      <c r="H203" s="26"/>
      <c r="I203" s="25"/>
      <c r="J203" s="25"/>
      <c r="K203" s="25"/>
      <c r="L203" s="25"/>
      <c r="M203" s="25"/>
    </row>
    <row r="204" spans="1:13" ht="14.25" customHeight="1" x14ac:dyDescent="0.3">
      <c r="A204" s="25"/>
      <c r="B204" s="25"/>
      <c r="C204" s="26"/>
      <c r="D204" s="27"/>
      <c r="E204" s="26"/>
      <c r="F204" s="26"/>
      <c r="G204" s="26"/>
      <c r="H204" s="26"/>
      <c r="I204" s="25"/>
      <c r="J204" s="25"/>
      <c r="K204" s="25"/>
      <c r="L204" s="25"/>
      <c r="M204" s="25"/>
    </row>
    <row r="205" spans="1:13" ht="14.25" customHeight="1" x14ac:dyDescent="0.3">
      <c r="A205" s="25"/>
      <c r="B205" s="25"/>
      <c r="C205" s="26"/>
      <c r="D205" s="27"/>
      <c r="E205" s="26"/>
      <c r="F205" s="26"/>
      <c r="G205" s="26"/>
      <c r="H205" s="26"/>
      <c r="I205" s="25"/>
      <c r="J205" s="25"/>
      <c r="K205" s="25"/>
      <c r="L205" s="25"/>
      <c r="M205" s="25"/>
    </row>
    <row r="206" spans="1:13" ht="14.25" customHeight="1" x14ac:dyDescent="0.3">
      <c r="A206" s="25"/>
      <c r="B206" s="25"/>
      <c r="C206" s="26"/>
      <c r="D206" s="27"/>
      <c r="E206" s="26"/>
      <c r="F206" s="26"/>
      <c r="G206" s="26"/>
      <c r="H206" s="26"/>
      <c r="I206" s="25"/>
      <c r="J206" s="25"/>
      <c r="K206" s="25"/>
      <c r="L206" s="25"/>
      <c r="M206" s="25"/>
    </row>
    <row r="207" spans="1:13" ht="14.25" customHeight="1" x14ac:dyDescent="0.3">
      <c r="A207" s="25"/>
      <c r="B207" s="25"/>
      <c r="C207" s="26"/>
      <c r="D207" s="27"/>
      <c r="E207" s="26"/>
      <c r="F207" s="26"/>
      <c r="G207" s="26"/>
      <c r="H207" s="26"/>
      <c r="I207" s="25"/>
      <c r="J207" s="25"/>
      <c r="K207" s="25"/>
      <c r="L207" s="25"/>
      <c r="M207" s="25"/>
    </row>
    <row r="208" spans="1:13" ht="14.25" customHeight="1" x14ac:dyDescent="0.3">
      <c r="A208" s="25"/>
      <c r="B208" s="25"/>
      <c r="C208" s="26"/>
      <c r="D208" s="27"/>
      <c r="E208" s="26"/>
      <c r="F208" s="26"/>
      <c r="G208" s="26"/>
      <c r="H208" s="26"/>
      <c r="I208" s="25"/>
      <c r="J208" s="25"/>
      <c r="K208" s="25"/>
      <c r="L208" s="25"/>
      <c r="M208" s="25"/>
    </row>
    <row r="209" spans="1:13" ht="14.25" customHeight="1" x14ac:dyDescent="0.3">
      <c r="A209" s="25"/>
      <c r="B209" s="25"/>
      <c r="C209" s="26"/>
      <c r="D209" s="27"/>
      <c r="E209" s="26"/>
      <c r="F209" s="26"/>
      <c r="G209" s="26"/>
      <c r="H209" s="26"/>
      <c r="I209" s="25"/>
      <c r="J209" s="25"/>
      <c r="K209" s="25"/>
      <c r="L209" s="25"/>
      <c r="M209" s="25"/>
    </row>
    <row r="210" spans="1:13" ht="14.25" customHeight="1" x14ac:dyDescent="0.3">
      <c r="A210" s="25"/>
      <c r="B210" s="25"/>
      <c r="C210" s="26"/>
      <c r="D210" s="27"/>
      <c r="E210" s="26"/>
      <c r="F210" s="26"/>
      <c r="G210" s="26"/>
      <c r="H210" s="26"/>
      <c r="I210" s="25"/>
      <c r="J210" s="25"/>
      <c r="K210" s="25"/>
      <c r="L210" s="25"/>
      <c r="M210" s="25"/>
    </row>
    <row r="211" spans="1:13" ht="14.25" customHeight="1" x14ac:dyDescent="0.3">
      <c r="A211" s="25"/>
      <c r="B211" s="25"/>
      <c r="C211" s="26"/>
      <c r="D211" s="27"/>
      <c r="E211" s="26"/>
      <c r="F211" s="26"/>
      <c r="G211" s="26"/>
      <c r="H211" s="26"/>
      <c r="I211" s="25"/>
      <c r="J211" s="25"/>
      <c r="K211" s="25"/>
      <c r="L211" s="25"/>
      <c r="M211" s="25"/>
    </row>
    <row r="212" spans="1:13" ht="14.25" customHeight="1" x14ac:dyDescent="0.3">
      <c r="A212" s="25"/>
      <c r="B212" s="25"/>
      <c r="C212" s="26"/>
      <c r="D212" s="27"/>
      <c r="E212" s="26"/>
      <c r="F212" s="26"/>
      <c r="G212" s="26"/>
      <c r="H212" s="26"/>
      <c r="I212" s="25"/>
      <c r="J212" s="25"/>
      <c r="K212" s="25"/>
      <c r="L212" s="25"/>
      <c r="M212" s="25"/>
    </row>
    <row r="213" spans="1:13" ht="14.25" customHeight="1" x14ac:dyDescent="0.3">
      <c r="A213" s="25"/>
      <c r="B213" s="25"/>
      <c r="C213" s="26"/>
      <c r="D213" s="27"/>
      <c r="E213" s="26"/>
      <c r="F213" s="26"/>
      <c r="G213" s="26"/>
      <c r="H213" s="26"/>
      <c r="I213" s="25"/>
      <c r="J213" s="25"/>
      <c r="K213" s="25"/>
      <c r="L213" s="25"/>
      <c r="M213" s="25"/>
    </row>
    <row r="214" spans="1:13" ht="14.25" customHeight="1" x14ac:dyDescent="0.3">
      <c r="A214" s="25"/>
      <c r="B214" s="25"/>
      <c r="C214" s="26"/>
      <c r="D214" s="27"/>
      <c r="E214" s="26"/>
      <c r="F214" s="26"/>
      <c r="G214" s="26"/>
      <c r="H214" s="26"/>
      <c r="I214" s="25"/>
      <c r="J214" s="25"/>
      <c r="K214" s="25"/>
      <c r="L214" s="25"/>
      <c r="M214" s="25"/>
    </row>
    <row r="215" spans="1:13" ht="14.25" customHeight="1" x14ac:dyDescent="0.3">
      <c r="A215" s="25"/>
      <c r="B215" s="25"/>
      <c r="C215" s="26"/>
      <c r="D215" s="27"/>
      <c r="E215" s="26"/>
      <c r="F215" s="26"/>
      <c r="G215" s="26"/>
      <c r="H215" s="26"/>
      <c r="I215" s="25"/>
      <c r="J215" s="25"/>
      <c r="K215" s="25"/>
      <c r="L215" s="25"/>
      <c r="M215" s="25"/>
    </row>
    <row r="216" spans="1:13" ht="14.25" customHeight="1" x14ac:dyDescent="0.3">
      <c r="A216" s="25"/>
      <c r="B216" s="25"/>
      <c r="C216" s="26"/>
      <c r="D216" s="27"/>
      <c r="E216" s="26"/>
      <c r="F216" s="26"/>
      <c r="G216" s="26"/>
      <c r="H216" s="26"/>
      <c r="I216" s="25"/>
      <c r="J216" s="25"/>
      <c r="K216" s="25"/>
      <c r="L216" s="25"/>
      <c r="M216" s="25"/>
    </row>
    <row r="217" spans="1:13" ht="14.25" customHeight="1" x14ac:dyDescent="0.3">
      <c r="A217" s="25"/>
      <c r="B217" s="25"/>
      <c r="C217" s="26"/>
      <c r="D217" s="27"/>
      <c r="E217" s="26"/>
      <c r="F217" s="26"/>
      <c r="G217" s="26"/>
      <c r="H217" s="26"/>
      <c r="I217" s="25"/>
      <c r="J217" s="25"/>
      <c r="K217" s="25"/>
      <c r="L217" s="25"/>
      <c r="M217" s="25"/>
    </row>
    <row r="218" spans="1:13" ht="14.25" customHeight="1" x14ac:dyDescent="0.3">
      <c r="A218" s="25"/>
      <c r="B218" s="25"/>
      <c r="C218" s="26"/>
      <c r="D218" s="27"/>
      <c r="E218" s="26"/>
      <c r="F218" s="26"/>
      <c r="G218" s="26"/>
      <c r="H218" s="26"/>
      <c r="I218" s="25"/>
      <c r="J218" s="25"/>
      <c r="K218" s="25"/>
      <c r="L218" s="25"/>
      <c r="M218" s="25"/>
    </row>
    <row r="219" spans="1:13" ht="14.25" customHeight="1" x14ac:dyDescent="0.3">
      <c r="A219" s="25"/>
      <c r="B219" s="25"/>
      <c r="C219" s="26"/>
      <c r="D219" s="27"/>
      <c r="E219" s="26"/>
      <c r="F219" s="26"/>
      <c r="G219" s="26"/>
      <c r="H219" s="26"/>
      <c r="I219" s="25"/>
      <c r="J219" s="25"/>
      <c r="K219" s="25"/>
      <c r="L219" s="25"/>
      <c r="M219" s="25"/>
    </row>
    <row r="220" spans="1:13" ht="14.25" customHeight="1" x14ac:dyDescent="0.3">
      <c r="A220" s="25"/>
      <c r="B220" s="25"/>
      <c r="C220" s="26"/>
      <c r="D220" s="27"/>
      <c r="E220" s="26"/>
      <c r="F220" s="26"/>
      <c r="G220" s="26"/>
      <c r="H220" s="26"/>
      <c r="I220" s="25"/>
      <c r="J220" s="25"/>
      <c r="K220" s="25"/>
      <c r="L220" s="25"/>
      <c r="M220" s="25"/>
    </row>
    <row r="221" spans="1:13" ht="14.25" customHeight="1" x14ac:dyDescent="0.3">
      <c r="A221" s="25"/>
      <c r="B221" s="25"/>
      <c r="C221" s="26"/>
      <c r="D221" s="27"/>
      <c r="E221" s="26"/>
      <c r="F221" s="26"/>
      <c r="G221" s="26"/>
      <c r="H221" s="26"/>
      <c r="I221" s="25"/>
      <c r="J221" s="25"/>
      <c r="K221" s="25"/>
      <c r="L221" s="25"/>
      <c r="M221" s="25"/>
    </row>
    <row r="222" spans="1:13" ht="14.25" customHeight="1" x14ac:dyDescent="0.3">
      <c r="A222" s="25"/>
      <c r="B222" s="25"/>
      <c r="C222" s="26"/>
      <c r="D222" s="27"/>
      <c r="E222" s="26"/>
      <c r="F222" s="26"/>
      <c r="G222" s="26"/>
      <c r="H222" s="26"/>
      <c r="I222" s="25"/>
      <c r="J222" s="25"/>
      <c r="K222" s="25"/>
      <c r="L222" s="25"/>
      <c r="M222" s="25"/>
    </row>
    <row r="223" spans="1:13" ht="14.25" customHeight="1" x14ac:dyDescent="0.3">
      <c r="A223" s="25"/>
      <c r="B223" s="25"/>
      <c r="C223" s="26"/>
      <c r="D223" s="27"/>
      <c r="E223" s="26"/>
      <c r="F223" s="26"/>
      <c r="G223" s="26"/>
      <c r="H223" s="26"/>
      <c r="I223" s="25"/>
      <c r="J223" s="25"/>
      <c r="K223" s="25"/>
      <c r="L223" s="25"/>
      <c r="M223" s="25"/>
    </row>
    <row r="224" spans="1:13" ht="14.25" customHeight="1" x14ac:dyDescent="0.3">
      <c r="A224" s="25"/>
      <c r="B224" s="25"/>
      <c r="C224" s="26"/>
      <c r="D224" s="27"/>
      <c r="E224" s="26"/>
      <c r="F224" s="26"/>
      <c r="G224" s="26"/>
      <c r="H224" s="26"/>
      <c r="I224" s="25"/>
      <c r="J224" s="25"/>
      <c r="K224" s="25"/>
      <c r="L224" s="25"/>
      <c r="M224" s="25"/>
    </row>
    <row r="225" spans="1:13" ht="14.25" customHeight="1" x14ac:dyDescent="0.3">
      <c r="A225" s="25"/>
      <c r="B225" s="25"/>
      <c r="C225" s="26"/>
      <c r="D225" s="27"/>
      <c r="E225" s="26"/>
      <c r="F225" s="26"/>
      <c r="G225" s="26"/>
      <c r="H225" s="26"/>
      <c r="I225" s="25"/>
      <c r="J225" s="25"/>
      <c r="K225" s="25"/>
      <c r="L225" s="25"/>
      <c r="M225" s="25"/>
    </row>
    <row r="226" spans="1:13" ht="14.25" customHeight="1" x14ac:dyDescent="0.3">
      <c r="A226" s="25"/>
      <c r="B226" s="25"/>
      <c r="C226" s="26"/>
      <c r="D226" s="27"/>
      <c r="E226" s="26"/>
      <c r="F226" s="26"/>
      <c r="G226" s="26"/>
      <c r="H226" s="26"/>
      <c r="I226" s="25"/>
      <c r="J226" s="25"/>
      <c r="K226" s="25"/>
      <c r="L226" s="25"/>
      <c r="M226" s="25"/>
    </row>
    <row r="227" spans="1:13" ht="14.25" customHeight="1" x14ac:dyDescent="0.3">
      <c r="A227" s="25"/>
      <c r="B227" s="25"/>
      <c r="C227" s="26"/>
      <c r="D227" s="27"/>
      <c r="E227" s="26"/>
      <c r="F227" s="26"/>
      <c r="G227" s="26"/>
      <c r="H227" s="26"/>
      <c r="I227" s="25"/>
      <c r="J227" s="25"/>
      <c r="K227" s="25"/>
      <c r="L227" s="25"/>
      <c r="M227" s="25"/>
    </row>
    <row r="228" spans="1:13" ht="14.25" customHeight="1" x14ac:dyDescent="0.3">
      <c r="A228" s="25"/>
      <c r="B228" s="25"/>
      <c r="C228" s="26"/>
      <c r="D228" s="27"/>
      <c r="E228" s="26"/>
      <c r="F228" s="26"/>
      <c r="G228" s="26"/>
      <c r="H228" s="26"/>
      <c r="I228" s="25"/>
      <c r="J228" s="25"/>
      <c r="K228" s="25"/>
      <c r="L228" s="25"/>
      <c r="M228" s="25"/>
    </row>
    <row r="229" spans="1:13" ht="14.25" customHeight="1" x14ac:dyDescent="0.3">
      <c r="A229" s="25"/>
      <c r="B229" s="25"/>
      <c r="C229" s="26"/>
      <c r="D229" s="27"/>
      <c r="E229" s="26"/>
      <c r="F229" s="26"/>
      <c r="G229" s="26"/>
      <c r="H229" s="26"/>
      <c r="I229" s="25"/>
      <c r="J229" s="25"/>
      <c r="K229" s="25"/>
      <c r="L229" s="25"/>
      <c r="M229" s="25"/>
    </row>
    <row r="230" spans="1:13" ht="14.25" customHeight="1" x14ac:dyDescent="0.3">
      <c r="A230" s="25"/>
      <c r="B230" s="25"/>
      <c r="C230" s="26"/>
      <c r="D230" s="27"/>
      <c r="E230" s="26"/>
      <c r="F230" s="26"/>
      <c r="G230" s="26"/>
      <c r="H230" s="26"/>
      <c r="I230" s="25"/>
      <c r="J230" s="25"/>
      <c r="K230" s="25"/>
      <c r="L230" s="25"/>
      <c r="M230" s="25"/>
    </row>
    <row r="231" spans="1:13" ht="14.25" customHeight="1" x14ac:dyDescent="0.3">
      <c r="A231" s="25"/>
      <c r="B231" s="25"/>
      <c r="C231" s="26"/>
      <c r="D231" s="27"/>
      <c r="E231" s="26"/>
      <c r="F231" s="26"/>
      <c r="G231" s="26"/>
      <c r="H231" s="26"/>
      <c r="I231" s="25"/>
      <c r="J231" s="25"/>
      <c r="K231" s="25"/>
      <c r="L231" s="25"/>
      <c r="M231" s="25"/>
    </row>
    <row r="232" spans="1:13" ht="14.25" customHeight="1" x14ac:dyDescent="0.3">
      <c r="A232" s="25"/>
      <c r="B232" s="25"/>
      <c r="C232" s="26"/>
      <c r="D232" s="27"/>
      <c r="E232" s="26"/>
      <c r="F232" s="26"/>
      <c r="G232" s="26"/>
      <c r="H232" s="26"/>
      <c r="I232" s="25"/>
      <c r="J232" s="25"/>
      <c r="K232" s="25"/>
      <c r="L232" s="25"/>
      <c r="M232" s="25"/>
    </row>
    <row r="233" spans="1:13" ht="14.25" customHeight="1" x14ac:dyDescent="0.3">
      <c r="A233" s="25"/>
      <c r="B233" s="25"/>
      <c r="C233" s="26"/>
      <c r="D233" s="27"/>
      <c r="E233" s="26"/>
      <c r="F233" s="26"/>
      <c r="G233" s="26"/>
      <c r="H233" s="26"/>
      <c r="I233" s="25"/>
      <c r="J233" s="25"/>
      <c r="K233" s="25"/>
      <c r="L233" s="25"/>
      <c r="M233" s="25"/>
    </row>
    <row r="234" spans="1:13" ht="14.25" customHeight="1" x14ac:dyDescent="0.3">
      <c r="A234" s="25"/>
      <c r="B234" s="25"/>
      <c r="C234" s="26"/>
      <c r="D234" s="27"/>
      <c r="E234" s="26"/>
      <c r="F234" s="26"/>
      <c r="G234" s="26"/>
      <c r="H234" s="26"/>
      <c r="I234" s="25"/>
      <c r="J234" s="25"/>
      <c r="K234" s="25"/>
      <c r="L234" s="25"/>
      <c r="M234" s="25"/>
    </row>
    <row r="235" spans="1:13" ht="14.25" customHeight="1" x14ac:dyDescent="0.3">
      <c r="A235" s="25"/>
      <c r="B235" s="25"/>
      <c r="C235" s="26"/>
      <c r="D235" s="27"/>
      <c r="E235" s="26"/>
      <c r="F235" s="26"/>
      <c r="G235" s="26"/>
      <c r="H235" s="26"/>
      <c r="I235" s="25"/>
      <c r="J235" s="25"/>
      <c r="K235" s="25"/>
      <c r="L235" s="25"/>
      <c r="M235" s="25"/>
    </row>
    <row r="236" spans="1:13" ht="14.25" customHeight="1" x14ac:dyDescent="0.3">
      <c r="A236" s="25"/>
      <c r="B236" s="25"/>
      <c r="C236" s="26"/>
      <c r="D236" s="27"/>
      <c r="E236" s="26"/>
      <c r="F236" s="26"/>
      <c r="G236" s="26"/>
      <c r="H236" s="26"/>
      <c r="I236" s="25"/>
      <c r="J236" s="25"/>
      <c r="K236" s="25"/>
      <c r="L236" s="25"/>
      <c r="M236" s="25"/>
    </row>
    <row r="237" spans="1:13" ht="14.25" customHeight="1" x14ac:dyDescent="0.3">
      <c r="A237" s="25"/>
      <c r="B237" s="25"/>
      <c r="C237" s="26"/>
      <c r="D237" s="27"/>
      <c r="E237" s="26"/>
      <c r="F237" s="26"/>
      <c r="G237" s="26"/>
      <c r="H237" s="26"/>
      <c r="I237" s="25"/>
      <c r="J237" s="25"/>
      <c r="K237" s="25"/>
      <c r="L237" s="25"/>
      <c r="M237" s="25"/>
    </row>
    <row r="238" spans="1:13" ht="14.25" customHeight="1" x14ac:dyDescent="0.3">
      <c r="A238" s="25"/>
      <c r="B238" s="25"/>
      <c r="C238" s="26"/>
      <c r="D238" s="27"/>
      <c r="E238" s="26"/>
      <c r="F238" s="26"/>
      <c r="G238" s="26"/>
      <c r="H238" s="26"/>
      <c r="I238" s="25"/>
      <c r="J238" s="25"/>
      <c r="K238" s="25"/>
      <c r="L238" s="25"/>
      <c r="M238" s="25"/>
    </row>
    <row r="239" spans="1:13" ht="14.25" customHeight="1" x14ac:dyDescent="0.3">
      <c r="A239" s="25"/>
      <c r="B239" s="25"/>
      <c r="C239" s="26"/>
      <c r="D239" s="27"/>
      <c r="E239" s="26"/>
      <c r="F239" s="26"/>
      <c r="G239" s="26"/>
      <c r="H239" s="26"/>
      <c r="I239" s="25"/>
      <c r="J239" s="25"/>
      <c r="K239" s="25"/>
      <c r="L239" s="25"/>
      <c r="M239" s="25"/>
    </row>
    <row r="240" spans="1:13" ht="14.25" customHeight="1" x14ac:dyDescent="0.3">
      <c r="A240" s="25"/>
      <c r="B240" s="25"/>
      <c r="C240" s="26"/>
      <c r="D240" s="27"/>
      <c r="E240" s="26"/>
      <c r="F240" s="26"/>
      <c r="G240" s="26"/>
      <c r="H240" s="26"/>
      <c r="I240" s="25"/>
      <c r="J240" s="25"/>
      <c r="K240" s="25"/>
      <c r="L240" s="25"/>
      <c r="M240" s="25"/>
    </row>
    <row r="241" spans="1:13" ht="14.25" customHeight="1" x14ac:dyDescent="0.3">
      <c r="A241" s="25"/>
      <c r="B241" s="25"/>
      <c r="C241" s="26"/>
      <c r="D241" s="27"/>
      <c r="E241" s="26"/>
      <c r="F241" s="26"/>
      <c r="G241" s="26"/>
      <c r="H241" s="26"/>
      <c r="I241" s="25"/>
      <c r="J241" s="25"/>
      <c r="K241" s="25"/>
      <c r="L241" s="25"/>
      <c r="M241" s="25"/>
    </row>
    <row r="242" spans="1:13" ht="14.25" customHeight="1" x14ac:dyDescent="0.3">
      <c r="A242" s="25"/>
      <c r="B242" s="25"/>
      <c r="C242" s="26"/>
      <c r="D242" s="27"/>
      <c r="E242" s="26"/>
      <c r="F242" s="26"/>
      <c r="G242" s="26"/>
      <c r="H242" s="26"/>
      <c r="I242" s="25"/>
      <c r="J242" s="25"/>
      <c r="K242" s="25"/>
      <c r="L242" s="25"/>
      <c r="M242" s="25"/>
    </row>
    <row r="243" spans="1:13" ht="14.25" customHeight="1" x14ac:dyDescent="0.3">
      <c r="A243" s="25"/>
      <c r="B243" s="25"/>
      <c r="C243" s="26"/>
      <c r="D243" s="27"/>
      <c r="E243" s="26"/>
      <c r="F243" s="26"/>
      <c r="G243" s="26"/>
      <c r="H243" s="26"/>
      <c r="I243" s="25"/>
      <c r="J243" s="25"/>
      <c r="K243" s="25"/>
      <c r="L243" s="25"/>
      <c r="M243" s="25"/>
    </row>
    <row r="244" spans="1:13" ht="14.25" customHeight="1" x14ac:dyDescent="0.3">
      <c r="A244" s="25"/>
      <c r="B244" s="25"/>
      <c r="C244" s="26"/>
      <c r="D244" s="27"/>
      <c r="E244" s="26"/>
      <c r="F244" s="26"/>
      <c r="G244" s="26"/>
      <c r="H244" s="26"/>
      <c r="I244" s="25"/>
      <c r="J244" s="25"/>
      <c r="K244" s="25"/>
      <c r="L244" s="25"/>
      <c r="M244" s="25"/>
    </row>
    <row r="245" spans="1:13" ht="14.25" customHeight="1" x14ac:dyDescent="0.3">
      <c r="A245" s="25"/>
      <c r="B245" s="25"/>
      <c r="C245" s="26"/>
      <c r="D245" s="27"/>
      <c r="E245" s="26"/>
      <c r="F245" s="26"/>
      <c r="G245" s="26"/>
      <c r="H245" s="26"/>
      <c r="I245" s="25"/>
      <c r="J245" s="25"/>
      <c r="K245" s="25"/>
      <c r="L245" s="25"/>
      <c r="M245" s="25"/>
    </row>
    <row r="246" spans="1:13" ht="14.25" customHeight="1" x14ac:dyDescent="0.3">
      <c r="A246" s="25"/>
      <c r="B246" s="25"/>
      <c r="C246" s="26"/>
      <c r="D246" s="27"/>
      <c r="E246" s="26"/>
      <c r="F246" s="26"/>
      <c r="G246" s="26"/>
      <c r="H246" s="26"/>
      <c r="I246" s="25"/>
      <c r="J246" s="25"/>
      <c r="K246" s="25"/>
      <c r="L246" s="25"/>
      <c r="M246" s="25"/>
    </row>
    <row r="247" spans="1:13" ht="14.25" customHeight="1" x14ac:dyDescent="0.3">
      <c r="A247" s="25"/>
      <c r="B247" s="25"/>
      <c r="C247" s="26"/>
      <c r="D247" s="27"/>
      <c r="E247" s="26"/>
      <c r="F247" s="26"/>
      <c r="G247" s="26"/>
      <c r="H247" s="26"/>
      <c r="I247" s="25"/>
      <c r="J247" s="25"/>
      <c r="K247" s="25"/>
      <c r="L247" s="25"/>
      <c r="M247" s="25"/>
    </row>
    <row r="248" spans="1:13" ht="14.25" customHeight="1" x14ac:dyDescent="0.3">
      <c r="A248" s="25"/>
      <c r="B248" s="25"/>
      <c r="C248" s="26"/>
      <c r="D248" s="27"/>
      <c r="E248" s="26"/>
      <c r="F248" s="26"/>
      <c r="G248" s="26"/>
      <c r="H248" s="26"/>
      <c r="I248" s="25"/>
      <c r="J248" s="25"/>
      <c r="K248" s="25"/>
      <c r="L248" s="25"/>
      <c r="M248" s="25"/>
    </row>
    <row r="249" spans="1:13" ht="14.25" customHeight="1" x14ac:dyDescent="0.3">
      <c r="A249" s="25"/>
      <c r="B249" s="25"/>
      <c r="C249" s="26"/>
      <c r="D249" s="27"/>
      <c r="E249" s="26"/>
      <c r="F249" s="26"/>
      <c r="G249" s="26"/>
      <c r="H249" s="26"/>
      <c r="I249" s="25"/>
      <c r="J249" s="25"/>
      <c r="K249" s="25"/>
      <c r="L249" s="25"/>
      <c r="M249" s="25"/>
    </row>
    <row r="250" spans="1:13" ht="14.25" customHeight="1" x14ac:dyDescent="0.3">
      <c r="A250" s="25"/>
      <c r="B250" s="25"/>
      <c r="C250" s="26"/>
      <c r="D250" s="27"/>
      <c r="E250" s="26"/>
      <c r="F250" s="26"/>
      <c r="G250" s="26"/>
      <c r="H250" s="26"/>
      <c r="I250" s="25"/>
      <c r="J250" s="25"/>
      <c r="K250" s="25"/>
      <c r="L250" s="25"/>
      <c r="M250" s="25"/>
    </row>
    <row r="251" spans="1:13" ht="14.25" customHeight="1" x14ac:dyDescent="0.3">
      <c r="A251" s="25"/>
      <c r="B251" s="25"/>
      <c r="C251" s="26"/>
      <c r="D251" s="27"/>
      <c r="E251" s="26"/>
      <c r="F251" s="26"/>
      <c r="G251" s="26"/>
      <c r="H251" s="26"/>
      <c r="I251" s="25"/>
      <c r="J251" s="25"/>
      <c r="K251" s="25"/>
      <c r="L251" s="25"/>
      <c r="M251" s="25"/>
    </row>
    <row r="252" spans="1:13" ht="14.25" customHeight="1" x14ac:dyDescent="0.3">
      <c r="A252" s="25"/>
      <c r="B252" s="25"/>
      <c r="C252" s="26"/>
      <c r="D252" s="27"/>
      <c r="E252" s="26"/>
      <c r="F252" s="26"/>
      <c r="G252" s="26"/>
      <c r="H252" s="26"/>
      <c r="I252" s="25"/>
      <c r="J252" s="25"/>
      <c r="K252" s="25"/>
      <c r="L252" s="25"/>
      <c r="M252" s="25"/>
    </row>
    <row r="253" spans="1:13" ht="14.25" customHeight="1" x14ac:dyDescent="0.3">
      <c r="A253" s="25"/>
      <c r="B253" s="25"/>
      <c r="C253" s="26"/>
      <c r="D253" s="27"/>
      <c r="E253" s="26"/>
      <c r="F253" s="26"/>
      <c r="G253" s="26"/>
      <c r="H253" s="26"/>
      <c r="I253" s="25"/>
      <c r="J253" s="25"/>
      <c r="K253" s="25"/>
      <c r="L253" s="25"/>
      <c r="M253" s="25"/>
    </row>
    <row r="254" spans="1:13" ht="14.25" customHeight="1" x14ac:dyDescent="0.3">
      <c r="A254" s="25"/>
      <c r="B254" s="25"/>
      <c r="C254" s="26"/>
      <c r="D254" s="27"/>
      <c r="E254" s="26"/>
      <c r="F254" s="26"/>
      <c r="G254" s="26"/>
      <c r="H254" s="26"/>
      <c r="I254" s="25"/>
      <c r="J254" s="25"/>
      <c r="K254" s="25"/>
      <c r="L254" s="25"/>
      <c r="M254" s="25"/>
    </row>
    <row r="255" spans="1:13" ht="14.25" customHeight="1" x14ac:dyDescent="0.3">
      <c r="A255" s="25"/>
      <c r="B255" s="25"/>
      <c r="C255" s="26"/>
      <c r="D255" s="27"/>
      <c r="E255" s="26"/>
      <c r="F255" s="26"/>
      <c r="G255" s="26"/>
      <c r="H255" s="26"/>
      <c r="I255" s="25"/>
      <c r="J255" s="25"/>
      <c r="K255" s="25"/>
      <c r="L255" s="25"/>
      <c r="M255" s="25"/>
    </row>
    <row r="256" spans="1:13" ht="14.25" customHeight="1" x14ac:dyDescent="0.3">
      <c r="A256" s="25"/>
      <c r="B256" s="25"/>
      <c r="C256" s="26"/>
      <c r="D256" s="27"/>
      <c r="E256" s="26"/>
      <c r="F256" s="26"/>
      <c r="G256" s="26"/>
      <c r="H256" s="26"/>
      <c r="I256" s="25"/>
      <c r="J256" s="25"/>
      <c r="K256" s="25"/>
      <c r="L256" s="25"/>
      <c r="M256" s="25"/>
    </row>
    <row r="257" spans="1:13" ht="14.25" customHeight="1" x14ac:dyDescent="0.3">
      <c r="A257" s="25"/>
      <c r="B257" s="25"/>
      <c r="C257" s="26"/>
      <c r="D257" s="27"/>
      <c r="E257" s="26"/>
      <c r="F257" s="26"/>
      <c r="G257" s="26"/>
      <c r="H257" s="26"/>
      <c r="I257" s="25"/>
      <c r="J257" s="25"/>
      <c r="K257" s="25"/>
      <c r="L257" s="25"/>
      <c r="M257" s="25"/>
    </row>
    <row r="258" spans="1:13" ht="14.25" customHeight="1" x14ac:dyDescent="0.3">
      <c r="A258" s="25"/>
      <c r="B258" s="25"/>
      <c r="C258" s="26"/>
      <c r="D258" s="27"/>
      <c r="E258" s="26"/>
      <c r="F258" s="26"/>
      <c r="G258" s="26"/>
      <c r="H258" s="26"/>
      <c r="I258" s="25"/>
      <c r="J258" s="25"/>
      <c r="K258" s="25"/>
      <c r="L258" s="25"/>
      <c r="M258" s="25"/>
    </row>
    <row r="259" spans="1:13" ht="14.25" customHeight="1" x14ac:dyDescent="0.3">
      <c r="A259" s="25"/>
      <c r="B259" s="25"/>
      <c r="C259" s="26"/>
      <c r="D259" s="27"/>
      <c r="E259" s="26"/>
      <c r="F259" s="26"/>
      <c r="G259" s="26"/>
      <c r="H259" s="26"/>
      <c r="I259" s="25"/>
      <c r="J259" s="25"/>
      <c r="K259" s="25"/>
      <c r="L259" s="25"/>
      <c r="M259" s="25"/>
    </row>
    <row r="260" spans="1:13" ht="14.25" customHeight="1" x14ac:dyDescent="0.3">
      <c r="A260" s="25"/>
      <c r="B260" s="25"/>
      <c r="C260" s="26"/>
      <c r="D260" s="27"/>
      <c r="E260" s="26"/>
      <c r="F260" s="26"/>
      <c r="G260" s="26"/>
      <c r="H260" s="26"/>
      <c r="I260" s="25"/>
      <c r="J260" s="25"/>
      <c r="K260" s="25"/>
      <c r="L260" s="25"/>
      <c r="M260" s="25"/>
    </row>
    <row r="261" spans="1:13" ht="14.25" customHeight="1" x14ac:dyDescent="0.3">
      <c r="A261" s="25"/>
      <c r="B261" s="25"/>
      <c r="C261" s="26"/>
      <c r="D261" s="27"/>
      <c r="E261" s="26"/>
      <c r="F261" s="26"/>
      <c r="G261" s="26"/>
      <c r="H261" s="26"/>
      <c r="I261" s="25"/>
      <c r="J261" s="25"/>
      <c r="K261" s="25"/>
      <c r="L261" s="25"/>
      <c r="M261" s="25"/>
    </row>
    <row r="262" spans="1:13" ht="14.25" customHeight="1" x14ac:dyDescent="0.3">
      <c r="A262" s="25"/>
      <c r="B262" s="25"/>
      <c r="C262" s="26"/>
      <c r="D262" s="27"/>
      <c r="E262" s="26"/>
      <c r="F262" s="26"/>
      <c r="G262" s="26"/>
      <c r="H262" s="26"/>
      <c r="I262" s="25"/>
      <c r="J262" s="25"/>
      <c r="K262" s="25"/>
      <c r="L262" s="25"/>
      <c r="M262" s="25"/>
    </row>
    <row r="263" spans="1:13" ht="14.25" customHeight="1" x14ac:dyDescent="0.3">
      <c r="A263" s="25"/>
      <c r="B263" s="25"/>
      <c r="C263" s="26"/>
      <c r="D263" s="27"/>
      <c r="E263" s="26"/>
      <c r="F263" s="26"/>
      <c r="G263" s="26"/>
      <c r="H263" s="26"/>
      <c r="I263" s="25"/>
      <c r="J263" s="25"/>
      <c r="K263" s="25"/>
      <c r="L263" s="25"/>
      <c r="M263" s="25"/>
    </row>
    <row r="264" spans="1:13" ht="14.25" customHeight="1" x14ac:dyDescent="0.3">
      <c r="A264" s="25"/>
      <c r="B264" s="25"/>
      <c r="C264" s="26"/>
      <c r="D264" s="27"/>
      <c r="E264" s="26"/>
      <c r="F264" s="26"/>
      <c r="G264" s="26"/>
      <c r="H264" s="26"/>
      <c r="I264" s="25"/>
      <c r="J264" s="25"/>
      <c r="K264" s="25"/>
      <c r="L264" s="25"/>
      <c r="M264" s="25"/>
    </row>
    <row r="265" spans="1:13" ht="14.25" customHeight="1" x14ac:dyDescent="0.3">
      <c r="A265" s="25"/>
      <c r="B265" s="25"/>
      <c r="C265" s="26"/>
      <c r="D265" s="27"/>
      <c r="E265" s="26"/>
      <c r="F265" s="26"/>
      <c r="G265" s="26"/>
      <c r="H265" s="26"/>
      <c r="I265" s="25"/>
      <c r="J265" s="25"/>
      <c r="K265" s="25"/>
      <c r="L265" s="25"/>
      <c r="M265" s="25"/>
    </row>
    <row r="266" spans="1:13" ht="14.25" customHeight="1" x14ac:dyDescent="0.3">
      <c r="A266" s="25"/>
      <c r="B266" s="25"/>
      <c r="C266" s="26"/>
      <c r="D266" s="27"/>
      <c r="E266" s="26"/>
      <c r="F266" s="26"/>
      <c r="G266" s="26"/>
      <c r="H266" s="26"/>
      <c r="I266" s="25"/>
      <c r="J266" s="25"/>
      <c r="K266" s="25"/>
      <c r="L266" s="25"/>
      <c r="M266" s="25"/>
    </row>
    <row r="267" spans="1:13" ht="14.25" customHeight="1" x14ac:dyDescent="0.3">
      <c r="A267" s="25"/>
      <c r="B267" s="25"/>
      <c r="C267" s="26"/>
      <c r="D267" s="27"/>
      <c r="E267" s="26"/>
      <c r="F267" s="26"/>
      <c r="G267" s="26"/>
      <c r="H267" s="26"/>
      <c r="I267" s="25"/>
      <c r="J267" s="25"/>
      <c r="K267" s="25"/>
      <c r="L267" s="25"/>
      <c r="M267" s="25"/>
    </row>
    <row r="268" spans="1:13" ht="14.25" customHeight="1" x14ac:dyDescent="0.3">
      <c r="A268" s="25"/>
      <c r="B268" s="25"/>
      <c r="C268" s="26"/>
      <c r="D268" s="27"/>
      <c r="E268" s="26"/>
      <c r="F268" s="26"/>
      <c r="G268" s="26"/>
      <c r="H268" s="26"/>
      <c r="I268" s="25"/>
      <c r="J268" s="25"/>
      <c r="K268" s="25"/>
      <c r="L268" s="25"/>
      <c r="M268" s="25"/>
    </row>
    <row r="269" spans="1:13" ht="14.25" customHeight="1" x14ac:dyDescent="0.3">
      <c r="A269" s="25"/>
      <c r="B269" s="25"/>
      <c r="C269" s="26"/>
      <c r="D269" s="27"/>
      <c r="E269" s="26"/>
      <c r="F269" s="26"/>
      <c r="G269" s="26"/>
      <c r="H269" s="26"/>
      <c r="I269" s="25"/>
      <c r="J269" s="25"/>
      <c r="K269" s="25"/>
      <c r="L269" s="25"/>
      <c r="M269" s="25"/>
    </row>
    <row r="270" spans="1:13" ht="14.25" customHeight="1" x14ac:dyDescent="0.3">
      <c r="A270" s="25"/>
      <c r="B270" s="25"/>
      <c r="C270" s="26"/>
      <c r="D270" s="27"/>
      <c r="E270" s="26"/>
      <c r="F270" s="26"/>
      <c r="G270" s="26"/>
      <c r="H270" s="26"/>
      <c r="I270" s="25"/>
      <c r="J270" s="25"/>
      <c r="K270" s="25"/>
      <c r="L270" s="25"/>
      <c r="M270" s="25"/>
    </row>
    <row r="271" spans="1:13" ht="14.25" customHeight="1" x14ac:dyDescent="0.3">
      <c r="A271" s="25"/>
      <c r="B271" s="25"/>
      <c r="C271" s="26"/>
      <c r="D271" s="27"/>
      <c r="E271" s="26"/>
      <c r="F271" s="26"/>
      <c r="G271" s="26"/>
      <c r="H271" s="26"/>
      <c r="I271" s="25"/>
      <c r="J271" s="25"/>
      <c r="K271" s="25"/>
      <c r="L271" s="25"/>
      <c r="M271" s="25"/>
    </row>
    <row r="272" spans="1:13" ht="14.25" customHeight="1" x14ac:dyDescent="0.3">
      <c r="A272" s="25"/>
      <c r="B272" s="25"/>
      <c r="C272" s="26"/>
      <c r="D272" s="27"/>
      <c r="E272" s="26"/>
      <c r="F272" s="26"/>
      <c r="G272" s="26"/>
      <c r="H272" s="26"/>
      <c r="I272" s="25"/>
      <c r="J272" s="25"/>
      <c r="K272" s="25"/>
      <c r="L272" s="25"/>
      <c r="M272" s="25"/>
    </row>
    <row r="273" spans="1:13" ht="14.25" customHeight="1" x14ac:dyDescent="0.3">
      <c r="A273" s="25"/>
      <c r="B273" s="25"/>
      <c r="C273" s="26"/>
      <c r="D273" s="27"/>
      <c r="E273" s="26"/>
      <c r="F273" s="26"/>
      <c r="G273" s="26"/>
      <c r="H273" s="26"/>
      <c r="I273" s="25"/>
      <c r="J273" s="25"/>
      <c r="K273" s="25"/>
      <c r="L273" s="25"/>
      <c r="M273" s="25"/>
    </row>
    <row r="274" spans="1:13" ht="14.25" customHeight="1" x14ac:dyDescent="0.3">
      <c r="A274" s="25"/>
      <c r="B274" s="25"/>
      <c r="C274" s="26"/>
      <c r="D274" s="27"/>
      <c r="E274" s="26"/>
      <c r="F274" s="26"/>
      <c r="G274" s="26"/>
      <c r="H274" s="26"/>
      <c r="I274" s="25"/>
      <c r="J274" s="25"/>
      <c r="K274" s="25"/>
      <c r="L274" s="25"/>
      <c r="M274" s="25"/>
    </row>
    <row r="275" spans="1:13" ht="14.25" customHeight="1" x14ac:dyDescent="0.3">
      <c r="A275" s="25"/>
      <c r="B275" s="25"/>
      <c r="C275" s="26"/>
      <c r="D275" s="27"/>
      <c r="E275" s="26"/>
      <c r="F275" s="26"/>
      <c r="G275" s="26"/>
      <c r="H275" s="26"/>
      <c r="I275" s="25"/>
      <c r="J275" s="25"/>
      <c r="K275" s="25"/>
      <c r="L275" s="25"/>
      <c r="M275" s="25"/>
    </row>
    <row r="276" spans="1:13" ht="14.25" customHeight="1" x14ac:dyDescent="0.3">
      <c r="A276" s="25"/>
      <c r="B276" s="25"/>
      <c r="C276" s="26"/>
      <c r="D276" s="27"/>
      <c r="E276" s="26"/>
      <c r="F276" s="26"/>
      <c r="G276" s="26"/>
      <c r="H276" s="26"/>
      <c r="I276" s="25"/>
      <c r="J276" s="25"/>
      <c r="K276" s="25"/>
      <c r="L276" s="25"/>
      <c r="M276" s="25"/>
    </row>
    <row r="277" spans="1:13" ht="14.25" customHeight="1" x14ac:dyDescent="0.3">
      <c r="A277" s="25"/>
      <c r="B277" s="25"/>
      <c r="C277" s="26"/>
      <c r="D277" s="27"/>
      <c r="E277" s="26"/>
      <c r="F277" s="26"/>
      <c r="G277" s="26"/>
      <c r="H277" s="26"/>
      <c r="I277" s="25"/>
      <c r="J277" s="25"/>
      <c r="K277" s="25"/>
      <c r="L277" s="25"/>
      <c r="M277" s="25"/>
    </row>
    <row r="278" spans="1:13" ht="14.25" customHeight="1" x14ac:dyDescent="0.3">
      <c r="A278" s="25"/>
      <c r="B278" s="25"/>
      <c r="C278" s="26"/>
      <c r="D278" s="27"/>
      <c r="E278" s="26"/>
      <c r="F278" s="26"/>
      <c r="G278" s="26"/>
      <c r="H278" s="26"/>
      <c r="I278" s="25"/>
      <c r="J278" s="25"/>
      <c r="K278" s="25"/>
      <c r="L278" s="25"/>
      <c r="M278" s="25"/>
    </row>
    <row r="279" spans="1:13" ht="14.25" customHeight="1" x14ac:dyDescent="0.3">
      <c r="A279" s="25"/>
      <c r="B279" s="25"/>
      <c r="C279" s="26"/>
      <c r="D279" s="27"/>
      <c r="E279" s="26"/>
      <c r="F279" s="26"/>
      <c r="G279" s="26"/>
      <c r="H279" s="26"/>
      <c r="I279" s="25"/>
      <c r="J279" s="25"/>
      <c r="K279" s="25"/>
      <c r="L279" s="25"/>
      <c r="M279" s="25"/>
    </row>
    <row r="280" spans="1:13" ht="14.25" customHeight="1" x14ac:dyDescent="0.3">
      <c r="A280" s="25"/>
      <c r="B280" s="25"/>
      <c r="C280" s="26"/>
      <c r="D280" s="27"/>
      <c r="E280" s="26"/>
      <c r="F280" s="26"/>
      <c r="G280" s="26"/>
      <c r="H280" s="26"/>
      <c r="I280" s="25"/>
      <c r="J280" s="25"/>
      <c r="K280" s="25"/>
      <c r="L280" s="25"/>
      <c r="M280" s="25"/>
    </row>
    <row r="281" spans="1:13" ht="14.25" customHeight="1" x14ac:dyDescent="0.3">
      <c r="A281" s="25"/>
      <c r="B281" s="25"/>
      <c r="C281" s="26"/>
      <c r="D281" s="27"/>
      <c r="E281" s="26"/>
      <c r="F281" s="26"/>
      <c r="G281" s="26"/>
      <c r="H281" s="26"/>
      <c r="I281" s="25"/>
      <c r="J281" s="25"/>
      <c r="K281" s="25"/>
      <c r="L281" s="25"/>
      <c r="M281" s="25"/>
    </row>
    <row r="282" spans="1:13" ht="14.25" customHeight="1" x14ac:dyDescent="0.3">
      <c r="A282" s="25"/>
      <c r="B282" s="25"/>
      <c r="C282" s="26"/>
      <c r="D282" s="27"/>
      <c r="E282" s="26"/>
      <c r="F282" s="26"/>
      <c r="G282" s="26"/>
      <c r="H282" s="26"/>
      <c r="I282" s="25"/>
      <c r="J282" s="25"/>
      <c r="K282" s="25"/>
      <c r="L282" s="25"/>
      <c r="M282" s="25"/>
    </row>
    <row r="283" spans="1:13" ht="14.25" customHeight="1" x14ac:dyDescent="0.3">
      <c r="A283" s="25"/>
      <c r="B283" s="25"/>
      <c r="C283" s="26"/>
      <c r="D283" s="27"/>
      <c r="E283" s="26"/>
      <c r="F283" s="26"/>
      <c r="G283" s="26"/>
      <c r="H283" s="26"/>
      <c r="I283" s="25"/>
      <c r="J283" s="25"/>
      <c r="K283" s="25"/>
      <c r="L283" s="25"/>
      <c r="M283" s="25"/>
    </row>
    <row r="284" spans="1:13" ht="14.25" customHeight="1" x14ac:dyDescent="0.3">
      <c r="A284" s="25"/>
      <c r="B284" s="25"/>
      <c r="C284" s="26"/>
      <c r="D284" s="27"/>
      <c r="E284" s="26"/>
      <c r="F284" s="26"/>
      <c r="G284" s="26"/>
      <c r="H284" s="26"/>
      <c r="I284" s="25"/>
      <c r="J284" s="25"/>
      <c r="K284" s="25"/>
      <c r="L284" s="25"/>
      <c r="M284" s="25"/>
    </row>
    <row r="285" spans="1:13" ht="14.25" customHeight="1" x14ac:dyDescent="0.3">
      <c r="A285" s="25"/>
      <c r="B285" s="25"/>
      <c r="C285" s="26"/>
      <c r="D285" s="27"/>
      <c r="E285" s="26"/>
      <c r="F285" s="26"/>
      <c r="G285" s="26"/>
      <c r="H285" s="26"/>
      <c r="I285" s="25"/>
      <c r="J285" s="25"/>
      <c r="K285" s="25"/>
      <c r="L285" s="25"/>
      <c r="M285" s="25"/>
    </row>
    <row r="286" spans="1:13" ht="14.25" customHeight="1" x14ac:dyDescent="0.3">
      <c r="A286" s="25"/>
      <c r="B286" s="25"/>
      <c r="C286" s="26"/>
      <c r="D286" s="27"/>
      <c r="E286" s="26"/>
      <c r="F286" s="26"/>
      <c r="G286" s="26"/>
      <c r="H286" s="26"/>
      <c r="I286" s="25"/>
      <c r="J286" s="25"/>
      <c r="K286" s="25"/>
      <c r="L286" s="25"/>
      <c r="M286" s="25"/>
    </row>
    <row r="287" spans="1:13" ht="14.25" customHeight="1" x14ac:dyDescent="0.3">
      <c r="A287" s="25"/>
      <c r="B287" s="25"/>
      <c r="C287" s="26"/>
      <c r="D287" s="27"/>
      <c r="E287" s="26"/>
      <c r="F287" s="26"/>
      <c r="G287" s="26"/>
      <c r="H287" s="26"/>
      <c r="I287" s="25"/>
      <c r="J287" s="25"/>
      <c r="K287" s="25"/>
      <c r="L287" s="25"/>
      <c r="M287" s="25"/>
    </row>
    <row r="288" spans="1:13" ht="14.25" customHeight="1" x14ac:dyDescent="0.3">
      <c r="A288" s="25"/>
      <c r="B288" s="25"/>
      <c r="C288" s="26"/>
      <c r="D288" s="27"/>
      <c r="E288" s="26"/>
      <c r="F288" s="26"/>
      <c r="G288" s="26"/>
      <c r="H288" s="26"/>
      <c r="I288" s="25"/>
      <c r="J288" s="25"/>
      <c r="K288" s="25"/>
      <c r="L288" s="25"/>
      <c r="M288" s="25"/>
    </row>
    <row r="289" spans="1:13" ht="14.25" customHeight="1" x14ac:dyDescent="0.3">
      <c r="A289" s="25"/>
      <c r="B289" s="25"/>
      <c r="C289" s="26"/>
      <c r="D289" s="27"/>
      <c r="E289" s="26"/>
      <c r="F289" s="26"/>
      <c r="G289" s="26"/>
      <c r="H289" s="26"/>
      <c r="I289" s="25"/>
      <c r="J289" s="25"/>
      <c r="K289" s="25"/>
      <c r="L289" s="25"/>
      <c r="M289" s="25"/>
    </row>
    <row r="290" spans="1:13" ht="14.25" customHeight="1" x14ac:dyDescent="0.3">
      <c r="A290" s="25"/>
      <c r="B290" s="25"/>
      <c r="C290" s="26"/>
      <c r="D290" s="27"/>
      <c r="E290" s="26"/>
      <c r="F290" s="26"/>
      <c r="G290" s="26"/>
      <c r="H290" s="26"/>
      <c r="I290" s="25"/>
      <c r="J290" s="25"/>
      <c r="K290" s="25"/>
      <c r="L290" s="25"/>
      <c r="M290" s="25"/>
    </row>
    <row r="291" spans="1:13" ht="14.25" customHeight="1" x14ac:dyDescent="0.3">
      <c r="A291" s="25"/>
      <c r="B291" s="25"/>
      <c r="C291" s="26"/>
      <c r="D291" s="27"/>
      <c r="E291" s="26"/>
      <c r="F291" s="26"/>
      <c r="G291" s="26"/>
      <c r="H291" s="26"/>
      <c r="I291" s="25"/>
      <c r="J291" s="25"/>
      <c r="K291" s="25"/>
      <c r="L291" s="25"/>
      <c r="M291" s="25"/>
    </row>
    <row r="292" spans="1:13" ht="14.25" customHeight="1" x14ac:dyDescent="0.3">
      <c r="A292" s="25"/>
      <c r="B292" s="25"/>
      <c r="C292" s="26"/>
      <c r="D292" s="27"/>
      <c r="E292" s="26"/>
      <c r="F292" s="26"/>
      <c r="G292" s="26"/>
      <c r="H292" s="26"/>
      <c r="I292" s="25"/>
      <c r="J292" s="25"/>
      <c r="K292" s="25"/>
      <c r="L292" s="25"/>
      <c r="M292" s="25"/>
    </row>
    <row r="293" spans="1:13" ht="14.25" customHeight="1" x14ac:dyDescent="0.3">
      <c r="A293" s="25"/>
      <c r="B293" s="25"/>
      <c r="C293" s="26"/>
      <c r="D293" s="27"/>
      <c r="E293" s="26"/>
      <c r="F293" s="26"/>
      <c r="G293" s="26"/>
      <c r="H293" s="26"/>
      <c r="I293" s="25"/>
      <c r="J293" s="25"/>
      <c r="K293" s="25"/>
      <c r="L293" s="25"/>
      <c r="M293" s="25"/>
    </row>
    <row r="294" spans="1:13" ht="14.25" customHeight="1" x14ac:dyDescent="0.3">
      <c r="A294" s="25"/>
      <c r="B294" s="25"/>
      <c r="C294" s="26"/>
      <c r="D294" s="27"/>
      <c r="E294" s="26"/>
      <c r="F294" s="26"/>
      <c r="G294" s="26"/>
      <c r="H294" s="26"/>
      <c r="I294" s="25"/>
      <c r="J294" s="25"/>
      <c r="K294" s="25"/>
      <c r="L294" s="25"/>
      <c r="M294" s="25"/>
    </row>
    <row r="295" spans="1:13" ht="14.25" customHeight="1" x14ac:dyDescent="0.3">
      <c r="A295" s="25"/>
      <c r="B295" s="25"/>
      <c r="C295" s="26"/>
      <c r="D295" s="27"/>
      <c r="E295" s="26"/>
      <c r="F295" s="26"/>
      <c r="G295" s="26"/>
      <c r="H295" s="26"/>
      <c r="I295" s="25"/>
      <c r="J295" s="25"/>
      <c r="K295" s="25"/>
      <c r="L295" s="25"/>
      <c r="M295" s="25"/>
    </row>
    <row r="296" spans="1:13" ht="14.25" customHeight="1" x14ac:dyDescent="0.3">
      <c r="A296" s="25"/>
      <c r="B296" s="25"/>
      <c r="C296" s="26"/>
      <c r="D296" s="27"/>
      <c r="E296" s="26"/>
      <c r="F296" s="26"/>
      <c r="G296" s="26"/>
      <c r="H296" s="26"/>
      <c r="I296" s="25"/>
      <c r="J296" s="25"/>
      <c r="K296" s="25"/>
      <c r="L296" s="25"/>
      <c r="M296" s="25"/>
    </row>
    <row r="297" spans="1:13" ht="14.25" customHeight="1" x14ac:dyDescent="0.3">
      <c r="A297" s="25"/>
      <c r="B297" s="25"/>
      <c r="C297" s="26"/>
      <c r="D297" s="27"/>
      <c r="E297" s="26"/>
      <c r="F297" s="26"/>
      <c r="G297" s="26"/>
      <c r="H297" s="26"/>
      <c r="I297" s="25"/>
      <c r="J297" s="25"/>
      <c r="K297" s="25"/>
      <c r="L297" s="25"/>
      <c r="M297" s="25"/>
    </row>
    <row r="298" spans="1:13" ht="14.25" customHeight="1" x14ac:dyDescent="0.3">
      <c r="A298" s="25"/>
      <c r="B298" s="25"/>
      <c r="C298" s="26"/>
      <c r="D298" s="27"/>
      <c r="E298" s="26"/>
      <c r="F298" s="26"/>
      <c r="G298" s="26"/>
      <c r="H298" s="26"/>
      <c r="I298" s="25"/>
      <c r="J298" s="25"/>
      <c r="K298" s="25"/>
      <c r="L298" s="25"/>
      <c r="M298" s="25"/>
    </row>
    <row r="299" spans="1:13" ht="14.25" customHeight="1" x14ac:dyDescent="0.3">
      <c r="A299" s="25"/>
      <c r="B299" s="25"/>
      <c r="C299" s="26"/>
      <c r="D299" s="27"/>
      <c r="E299" s="26"/>
      <c r="F299" s="26"/>
      <c r="G299" s="26"/>
      <c r="H299" s="26"/>
      <c r="I299" s="25"/>
      <c r="J299" s="25"/>
      <c r="K299" s="25"/>
      <c r="L299" s="25"/>
      <c r="M299" s="25"/>
    </row>
    <row r="300" spans="1:13" ht="14.25" customHeight="1" x14ac:dyDescent="0.3">
      <c r="A300" s="25"/>
      <c r="B300" s="25"/>
      <c r="C300" s="26"/>
      <c r="D300" s="27"/>
      <c r="E300" s="26"/>
      <c r="F300" s="26"/>
      <c r="G300" s="26"/>
      <c r="H300" s="26"/>
      <c r="I300" s="25"/>
      <c r="J300" s="25"/>
      <c r="K300" s="25"/>
      <c r="L300" s="25"/>
      <c r="M300" s="25"/>
    </row>
    <row r="301" spans="1:13" ht="14.25" customHeight="1" x14ac:dyDescent="0.3">
      <c r="A301" s="25"/>
      <c r="B301" s="25"/>
      <c r="C301" s="26"/>
      <c r="D301" s="27"/>
      <c r="E301" s="26"/>
      <c r="F301" s="26"/>
      <c r="G301" s="26"/>
      <c r="H301" s="26"/>
      <c r="I301" s="25"/>
      <c r="J301" s="25"/>
      <c r="K301" s="25"/>
      <c r="L301" s="25"/>
      <c r="M301" s="25"/>
    </row>
    <row r="302" spans="1:13" ht="14.25" customHeight="1" x14ac:dyDescent="0.3">
      <c r="A302" s="25"/>
      <c r="B302" s="25"/>
      <c r="C302" s="26"/>
      <c r="D302" s="27"/>
      <c r="E302" s="26"/>
      <c r="F302" s="26"/>
      <c r="G302" s="26"/>
      <c r="H302" s="26"/>
      <c r="I302" s="25"/>
      <c r="J302" s="25"/>
      <c r="K302" s="25"/>
      <c r="L302" s="25"/>
      <c r="M302" s="25"/>
    </row>
    <row r="303" spans="1:13" ht="14.25" customHeight="1" x14ac:dyDescent="0.3">
      <c r="A303" s="25"/>
      <c r="B303" s="25"/>
      <c r="C303" s="26"/>
      <c r="D303" s="27"/>
      <c r="E303" s="26"/>
      <c r="F303" s="26"/>
      <c r="G303" s="26"/>
      <c r="H303" s="26"/>
      <c r="I303" s="25"/>
      <c r="J303" s="25"/>
      <c r="K303" s="25"/>
      <c r="L303" s="25"/>
      <c r="M303" s="25"/>
    </row>
    <row r="304" spans="1:13" ht="14.25" customHeight="1" x14ac:dyDescent="0.3">
      <c r="A304" s="25"/>
      <c r="B304" s="25"/>
      <c r="C304" s="26"/>
      <c r="D304" s="27"/>
      <c r="E304" s="26"/>
      <c r="F304" s="26"/>
      <c r="G304" s="26"/>
      <c r="H304" s="26"/>
      <c r="I304" s="25"/>
      <c r="J304" s="25"/>
      <c r="K304" s="25"/>
      <c r="L304" s="25"/>
      <c r="M304" s="25"/>
    </row>
    <row r="305" spans="1:13" ht="14.25" customHeight="1" x14ac:dyDescent="0.3">
      <c r="A305" s="25"/>
      <c r="B305" s="25"/>
      <c r="C305" s="26"/>
      <c r="D305" s="27"/>
      <c r="E305" s="26"/>
      <c r="F305" s="26"/>
      <c r="G305" s="26"/>
      <c r="H305" s="26"/>
      <c r="I305" s="25"/>
      <c r="J305" s="25"/>
      <c r="K305" s="25"/>
      <c r="L305" s="25"/>
      <c r="M305" s="25"/>
    </row>
    <row r="306" spans="1:13" ht="14.25" customHeight="1" x14ac:dyDescent="0.3">
      <c r="A306" s="25"/>
      <c r="B306" s="25"/>
      <c r="C306" s="26"/>
      <c r="D306" s="27"/>
      <c r="E306" s="26"/>
      <c r="F306" s="26"/>
      <c r="G306" s="26"/>
      <c r="H306" s="26"/>
      <c r="I306" s="25"/>
      <c r="J306" s="25"/>
      <c r="K306" s="25"/>
      <c r="L306" s="25"/>
      <c r="M306" s="25"/>
    </row>
    <row r="307" spans="1:13" ht="14.25" customHeight="1" x14ac:dyDescent="0.3">
      <c r="A307" s="25"/>
      <c r="B307" s="25"/>
      <c r="C307" s="26"/>
      <c r="D307" s="27"/>
      <c r="E307" s="26"/>
      <c r="F307" s="26"/>
      <c r="G307" s="26"/>
      <c r="H307" s="26"/>
      <c r="I307" s="25"/>
      <c r="J307" s="25"/>
      <c r="K307" s="25"/>
      <c r="L307" s="25"/>
      <c r="M307" s="25"/>
    </row>
    <row r="308" spans="1:13" ht="14.25" customHeight="1" x14ac:dyDescent="0.3">
      <c r="A308" s="25"/>
      <c r="B308" s="25"/>
      <c r="C308" s="26"/>
      <c r="D308" s="27"/>
      <c r="E308" s="26"/>
      <c r="F308" s="26"/>
      <c r="G308" s="26"/>
      <c r="H308" s="26"/>
      <c r="I308" s="25"/>
      <c r="J308" s="25"/>
      <c r="K308" s="25"/>
      <c r="L308" s="25"/>
      <c r="M308" s="25"/>
    </row>
    <row r="309" spans="1:13" ht="14.25" customHeight="1" x14ac:dyDescent="0.3">
      <c r="A309" s="25"/>
      <c r="B309" s="25"/>
      <c r="C309" s="26"/>
      <c r="D309" s="27"/>
      <c r="E309" s="26"/>
      <c r="F309" s="26"/>
      <c r="G309" s="26"/>
      <c r="H309" s="26"/>
      <c r="I309" s="25"/>
      <c r="J309" s="25"/>
      <c r="K309" s="25"/>
      <c r="L309" s="25"/>
      <c r="M309" s="25"/>
    </row>
    <row r="310" spans="1:13" ht="14.25" customHeight="1" x14ac:dyDescent="0.3">
      <c r="A310" s="25"/>
      <c r="B310" s="25"/>
      <c r="C310" s="26"/>
      <c r="D310" s="27"/>
      <c r="E310" s="26"/>
      <c r="F310" s="26"/>
      <c r="G310" s="26"/>
      <c r="H310" s="26"/>
      <c r="I310" s="25"/>
      <c r="J310" s="25"/>
      <c r="K310" s="25"/>
      <c r="L310" s="25"/>
      <c r="M310" s="25"/>
    </row>
    <row r="311" spans="1:13" ht="14.25" customHeight="1" x14ac:dyDescent="0.3">
      <c r="A311" s="25"/>
      <c r="B311" s="25"/>
      <c r="C311" s="26"/>
      <c r="D311" s="27"/>
      <c r="E311" s="26"/>
      <c r="F311" s="26"/>
      <c r="G311" s="26"/>
      <c r="H311" s="26"/>
      <c r="I311" s="25"/>
      <c r="J311" s="25"/>
      <c r="K311" s="25"/>
      <c r="L311" s="25"/>
      <c r="M311" s="25"/>
    </row>
    <row r="312" spans="1:13" ht="14.25" customHeight="1" x14ac:dyDescent="0.3">
      <c r="A312" s="25"/>
      <c r="B312" s="25"/>
      <c r="C312" s="26"/>
      <c r="D312" s="27"/>
      <c r="E312" s="26"/>
      <c r="F312" s="26"/>
      <c r="G312" s="26"/>
      <c r="H312" s="26"/>
      <c r="I312" s="25"/>
      <c r="J312" s="25"/>
      <c r="K312" s="25"/>
      <c r="L312" s="25"/>
      <c r="M312" s="25"/>
    </row>
    <row r="313" spans="1:13" ht="14.25" customHeight="1" x14ac:dyDescent="0.3">
      <c r="A313" s="25"/>
      <c r="B313" s="25"/>
      <c r="C313" s="26"/>
      <c r="D313" s="27"/>
      <c r="E313" s="26"/>
      <c r="F313" s="26"/>
      <c r="G313" s="26"/>
      <c r="H313" s="26"/>
      <c r="I313" s="25"/>
      <c r="J313" s="25"/>
      <c r="K313" s="25"/>
      <c r="L313" s="25"/>
      <c r="M313" s="25"/>
    </row>
    <row r="314" spans="1:13" ht="14.25" customHeight="1" x14ac:dyDescent="0.3">
      <c r="A314" s="25"/>
      <c r="B314" s="25"/>
      <c r="C314" s="26"/>
      <c r="D314" s="27"/>
      <c r="E314" s="26"/>
      <c r="F314" s="26"/>
      <c r="G314" s="26"/>
      <c r="H314" s="26"/>
      <c r="I314" s="25"/>
      <c r="J314" s="25"/>
      <c r="K314" s="25"/>
      <c r="L314" s="25"/>
      <c r="M314" s="25"/>
    </row>
    <row r="315" spans="1:13" ht="14.25" customHeight="1" x14ac:dyDescent="0.3">
      <c r="A315" s="25"/>
      <c r="B315" s="25"/>
      <c r="C315" s="26"/>
      <c r="D315" s="27"/>
      <c r="E315" s="26"/>
      <c r="F315" s="26"/>
      <c r="G315" s="26"/>
      <c r="H315" s="26"/>
      <c r="I315" s="25"/>
      <c r="J315" s="25"/>
      <c r="K315" s="25"/>
      <c r="L315" s="25"/>
      <c r="M315" s="25"/>
    </row>
    <row r="316" spans="1:13" ht="14.25" customHeight="1" x14ac:dyDescent="0.3">
      <c r="A316" s="25"/>
      <c r="B316" s="25"/>
      <c r="C316" s="26"/>
      <c r="D316" s="27"/>
      <c r="E316" s="26"/>
      <c r="F316" s="26"/>
      <c r="G316" s="26"/>
      <c r="H316" s="26"/>
      <c r="I316" s="25"/>
      <c r="J316" s="25"/>
      <c r="K316" s="25"/>
      <c r="L316" s="25"/>
      <c r="M316" s="25"/>
    </row>
    <row r="317" spans="1:13" ht="14.25" customHeight="1" x14ac:dyDescent="0.3">
      <c r="A317" s="25"/>
      <c r="B317" s="25"/>
      <c r="C317" s="26"/>
      <c r="D317" s="27"/>
      <c r="E317" s="26"/>
      <c r="F317" s="26"/>
      <c r="G317" s="26"/>
      <c r="H317" s="26"/>
      <c r="I317" s="25"/>
      <c r="J317" s="25"/>
      <c r="K317" s="25"/>
      <c r="L317" s="25"/>
      <c r="M317" s="25"/>
    </row>
    <row r="318" spans="1:13" ht="14.25" customHeight="1" x14ac:dyDescent="0.3">
      <c r="A318" s="25"/>
      <c r="B318" s="25"/>
      <c r="C318" s="26"/>
      <c r="D318" s="27"/>
      <c r="E318" s="26"/>
      <c r="F318" s="26"/>
      <c r="G318" s="26"/>
      <c r="H318" s="26"/>
      <c r="I318" s="25"/>
      <c r="J318" s="25"/>
      <c r="K318" s="25"/>
      <c r="L318" s="25"/>
      <c r="M318" s="25"/>
    </row>
    <row r="319" spans="1:13" ht="14.25" customHeight="1" x14ac:dyDescent="0.3">
      <c r="A319" s="25"/>
      <c r="B319" s="25"/>
      <c r="C319" s="26"/>
      <c r="D319" s="27"/>
      <c r="E319" s="26"/>
      <c r="F319" s="26"/>
      <c r="G319" s="26"/>
      <c r="H319" s="26"/>
      <c r="I319" s="25"/>
      <c r="J319" s="25"/>
      <c r="K319" s="25"/>
      <c r="L319" s="25"/>
      <c r="M319" s="25"/>
    </row>
    <row r="320" spans="1:13" ht="14.25" customHeight="1" x14ac:dyDescent="0.3">
      <c r="A320" s="25"/>
      <c r="B320" s="25"/>
      <c r="C320" s="26"/>
      <c r="D320" s="27"/>
      <c r="E320" s="26"/>
      <c r="F320" s="26"/>
      <c r="G320" s="26"/>
      <c r="H320" s="26"/>
      <c r="I320" s="25"/>
      <c r="J320" s="25"/>
      <c r="K320" s="25"/>
      <c r="L320" s="25"/>
      <c r="M320" s="25"/>
    </row>
    <row r="321" spans="1:13" ht="14.25" customHeight="1" x14ac:dyDescent="0.3">
      <c r="A321" s="25"/>
      <c r="B321" s="25"/>
      <c r="C321" s="26"/>
      <c r="D321" s="27"/>
      <c r="E321" s="26"/>
      <c r="F321" s="26"/>
      <c r="G321" s="26"/>
      <c r="H321" s="26"/>
      <c r="I321" s="25"/>
      <c r="J321" s="25"/>
      <c r="K321" s="25"/>
      <c r="L321" s="25"/>
      <c r="M321" s="25"/>
    </row>
    <row r="322" spans="1:13" ht="14.25" customHeight="1" x14ac:dyDescent="0.3">
      <c r="A322" s="25"/>
      <c r="B322" s="25"/>
      <c r="C322" s="26"/>
      <c r="D322" s="27"/>
      <c r="E322" s="26"/>
      <c r="F322" s="26"/>
      <c r="G322" s="26"/>
      <c r="H322" s="26"/>
      <c r="I322" s="25"/>
      <c r="J322" s="25"/>
      <c r="K322" s="25"/>
      <c r="L322" s="25"/>
      <c r="M322" s="25"/>
    </row>
    <row r="323" spans="1:13" ht="14.25" customHeight="1" x14ac:dyDescent="0.3">
      <c r="A323" s="25"/>
      <c r="B323" s="25"/>
      <c r="C323" s="26"/>
      <c r="D323" s="27"/>
      <c r="E323" s="26"/>
      <c r="F323" s="26"/>
      <c r="G323" s="26"/>
      <c r="H323" s="26"/>
      <c r="I323" s="25"/>
      <c r="J323" s="25"/>
      <c r="K323" s="25"/>
      <c r="L323" s="25"/>
      <c r="M323" s="25"/>
    </row>
    <row r="324" spans="1:13" ht="14.25" customHeight="1" x14ac:dyDescent="0.3">
      <c r="A324" s="25"/>
      <c r="B324" s="25"/>
      <c r="C324" s="26"/>
      <c r="D324" s="27"/>
      <c r="E324" s="26"/>
      <c r="F324" s="26"/>
      <c r="G324" s="26"/>
      <c r="H324" s="26"/>
      <c r="I324" s="25"/>
      <c r="J324" s="25"/>
      <c r="K324" s="25"/>
      <c r="L324" s="25"/>
      <c r="M324" s="25"/>
    </row>
    <row r="325" spans="1:13" ht="14.25" customHeight="1" x14ac:dyDescent="0.3">
      <c r="A325" s="25"/>
      <c r="B325" s="25"/>
      <c r="C325" s="26"/>
      <c r="D325" s="27"/>
      <c r="E325" s="26"/>
      <c r="F325" s="26"/>
      <c r="G325" s="26"/>
      <c r="H325" s="26"/>
      <c r="I325" s="25"/>
      <c r="J325" s="25"/>
      <c r="K325" s="25"/>
      <c r="L325" s="25"/>
      <c r="M325" s="25"/>
    </row>
    <row r="326" spans="1:13" ht="14.25" customHeight="1" x14ac:dyDescent="0.3">
      <c r="A326" s="25"/>
      <c r="B326" s="25"/>
      <c r="C326" s="26"/>
      <c r="D326" s="27"/>
      <c r="E326" s="26"/>
      <c r="F326" s="26"/>
      <c r="G326" s="26"/>
      <c r="H326" s="26"/>
      <c r="I326" s="25"/>
      <c r="J326" s="25"/>
      <c r="K326" s="25"/>
      <c r="L326" s="25"/>
      <c r="M326" s="25"/>
    </row>
    <row r="327" spans="1:13" ht="14.25" customHeight="1" x14ac:dyDescent="0.3">
      <c r="A327" s="25"/>
      <c r="B327" s="25"/>
      <c r="C327" s="26"/>
      <c r="D327" s="27"/>
      <c r="E327" s="26"/>
      <c r="F327" s="26"/>
      <c r="G327" s="26"/>
      <c r="H327" s="26"/>
      <c r="I327" s="25"/>
      <c r="J327" s="25"/>
      <c r="K327" s="25"/>
      <c r="L327" s="25"/>
      <c r="M327" s="25"/>
    </row>
    <row r="328" spans="1:13" ht="14.25" customHeight="1" x14ac:dyDescent="0.3">
      <c r="A328" s="25"/>
      <c r="B328" s="25"/>
      <c r="C328" s="26"/>
      <c r="D328" s="27"/>
      <c r="E328" s="26"/>
      <c r="F328" s="26"/>
      <c r="G328" s="26"/>
      <c r="H328" s="26"/>
      <c r="I328" s="25"/>
      <c r="J328" s="25"/>
      <c r="K328" s="25"/>
      <c r="L328" s="25"/>
      <c r="M328" s="25"/>
    </row>
    <row r="329" spans="1:13" ht="14.25" customHeight="1" x14ac:dyDescent="0.3">
      <c r="A329" s="25"/>
      <c r="B329" s="25"/>
      <c r="C329" s="26"/>
      <c r="D329" s="27"/>
      <c r="E329" s="26"/>
      <c r="F329" s="26"/>
      <c r="G329" s="26"/>
      <c r="H329" s="26"/>
      <c r="I329" s="25"/>
      <c r="J329" s="25"/>
      <c r="K329" s="25"/>
      <c r="L329" s="25"/>
      <c r="M329" s="25"/>
    </row>
    <row r="330" spans="1:13" ht="14.25" customHeight="1" x14ac:dyDescent="0.3">
      <c r="A330" s="25"/>
      <c r="B330" s="25"/>
      <c r="C330" s="26"/>
      <c r="D330" s="27"/>
      <c r="E330" s="26"/>
      <c r="F330" s="26"/>
      <c r="G330" s="26"/>
      <c r="H330" s="26"/>
      <c r="I330" s="25"/>
      <c r="J330" s="25"/>
      <c r="K330" s="25"/>
      <c r="L330" s="25"/>
      <c r="M330" s="25"/>
    </row>
    <row r="331" spans="1:13" ht="14.25" customHeight="1" x14ac:dyDescent="0.3">
      <c r="A331" s="25"/>
      <c r="B331" s="25"/>
      <c r="C331" s="26"/>
      <c r="D331" s="27"/>
      <c r="E331" s="26"/>
      <c r="F331" s="26"/>
      <c r="G331" s="26"/>
      <c r="H331" s="26"/>
      <c r="I331" s="25"/>
      <c r="J331" s="25"/>
      <c r="K331" s="25"/>
      <c r="L331" s="25"/>
      <c r="M331" s="25"/>
    </row>
    <row r="332" spans="1:13" ht="14.25" customHeight="1" x14ac:dyDescent="0.3">
      <c r="A332" s="25"/>
      <c r="B332" s="25"/>
      <c r="C332" s="26"/>
      <c r="D332" s="27"/>
      <c r="E332" s="26"/>
      <c r="F332" s="26"/>
      <c r="G332" s="26"/>
      <c r="H332" s="26"/>
      <c r="I332" s="25"/>
      <c r="J332" s="25"/>
      <c r="K332" s="25"/>
      <c r="L332" s="25"/>
      <c r="M332" s="25"/>
    </row>
    <row r="333" spans="1:13" ht="14.25" customHeight="1" x14ac:dyDescent="0.3">
      <c r="A333" s="25"/>
      <c r="B333" s="25"/>
      <c r="C333" s="26"/>
      <c r="D333" s="27"/>
      <c r="E333" s="26"/>
      <c r="F333" s="26"/>
      <c r="G333" s="26"/>
      <c r="H333" s="26"/>
      <c r="I333" s="25"/>
      <c r="J333" s="25"/>
      <c r="K333" s="25"/>
      <c r="L333" s="25"/>
      <c r="M333" s="25"/>
    </row>
    <row r="334" spans="1:13" ht="14.25" customHeight="1" x14ac:dyDescent="0.3">
      <c r="A334" s="25"/>
      <c r="B334" s="25"/>
      <c r="C334" s="26"/>
      <c r="D334" s="27"/>
      <c r="E334" s="26"/>
      <c r="F334" s="26"/>
      <c r="G334" s="26"/>
      <c r="H334" s="26"/>
      <c r="I334" s="25"/>
      <c r="J334" s="25"/>
      <c r="K334" s="25"/>
      <c r="L334" s="25"/>
      <c r="M334" s="25"/>
    </row>
    <row r="335" spans="1:13" ht="14.25" customHeight="1" x14ac:dyDescent="0.3">
      <c r="A335" s="25"/>
      <c r="B335" s="25"/>
      <c r="C335" s="26"/>
      <c r="D335" s="27"/>
      <c r="E335" s="26"/>
      <c r="F335" s="26"/>
      <c r="G335" s="26"/>
      <c r="H335" s="26"/>
      <c r="I335" s="25"/>
      <c r="J335" s="25"/>
      <c r="K335" s="25"/>
      <c r="L335" s="25"/>
      <c r="M335" s="25"/>
    </row>
    <row r="336" spans="1:13" ht="14.25" customHeight="1" x14ac:dyDescent="0.3">
      <c r="A336" s="25"/>
      <c r="B336" s="25"/>
      <c r="C336" s="26"/>
      <c r="D336" s="27"/>
      <c r="E336" s="26"/>
      <c r="F336" s="26"/>
      <c r="G336" s="26"/>
      <c r="H336" s="26"/>
      <c r="I336" s="25"/>
      <c r="J336" s="25"/>
      <c r="K336" s="25"/>
      <c r="L336" s="25"/>
      <c r="M336" s="25"/>
    </row>
    <row r="337" spans="1:13" ht="14.25" customHeight="1" x14ac:dyDescent="0.3">
      <c r="A337" s="25"/>
      <c r="B337" s="25"/>
      <c r="C337" s="26"/>
      <c r="D337" s="27"/>
      <c r="E337" s="26"/>
      <c r="F337" s="26"/>
      <c r="G337" s="26"/>
      <c r="H337" s="26"/>
      <c r="I337" s="25"/>
      <c r="J337" s="25"/>
      <c r="K337" s="25"/>
      <c r="L337" s="25"/>
      <c r="M337" s="25"/>
    </row>
    <row r="338" spans="1:13" ht="14.25" customHeight="1" x14ac:dyDescent="0.3">
      <c r="A338" s="25"/>
      <c r="B338" s="25"/>
      <c r="C338" s="26"/>
      <c r="D338" s="27"/>
      <c r="E338" s="26"/>
      <c r="F338" s="26"/>
      <c r="G338" s="26"/>
      <c r="H338" s="26"/>
      <c r="I338" s="25"/>
      <c r="J338" s="25"/>
      <c r="K338" s="25"/>
      <c r="L338" s="25"/>
      <c r="M338" s="25"/>
    </row>
    <row r="339" spans="1:13" ht="14.25" customHeight="1" x14ac:dyDescent="0.3">
      <c r="A339" s="25"/>
      <c r="B339" s="25"/>
      <c r="C339" s="26"/>
      <c r="D339" s="27"/>
      <c r="E339" s="26"/>
      <c r="F339" s="26"/>
      <c r="G339" s="26"/>
      <c r="H339" s="26"/>
      <c r="I339" s="25"/>
      <c r="J339" s="25"/>
      <c r="K339" s="25"/>
      <c r="L339" s="25"/>
      <c r="M339" s="25"/>
    </row>
    <row r="340" spans="1:13" ht="14.25" customHeight="1" x14ac:dyDescent="0.3">
      <c r="A340" s="25"/>
      <c r="B340" s="25"/>
      <c r="C340" s="26"/>
      <c r="D340" s="27"/>
      <c r="E340" s="26"/>
      <c r="F340" s="26"/>
      <c r="G340" s="26"/>
      <c r="H340" s="26"/>
      <c r="I340" s="25"/>
      <c r="J340" s="25"/>
      <c r="K340" s="25"/>
      <c r="L340" s="25"/>
      <c r="M340" s="25"/>
    </row>
    <row r="341" spans="1:13" ht="14.25" customHeight="1" x14ac:dyDescent="0.3">
      <c r="A341" s="25"/>
      <c r="B341" s="25"/>
      <c r="C341" s="26"/>
      <c r="D341" s="27"/>
      <c r="E341" s="26"/>
      <c r="F341" s="26"/>
      <c r="G341" s="26"/>
      <c r="H341" s="26"/>
      <c r="I341" s="25"/>
      <c r="J341" s="25"/>
      <c r="K341" s="25"/>
      <c r="L341" s="25"/>
      <c r="M341" s="25"/>
    </row>
    <row r="342" spans="1:13" ht="14.25" customHeight="1" x14ac:dyDescent="0.3">
      <c r="A342" s="25"/>
      <c r="B342" s="25"/>
      <c r="C342" s="26"/>
      <c r="D342" s="27"/>
      <c r="E342" s="26"/>
      <c r="F342" s="26"/>
      <c r="G342" s="26"/>
      <c r="H342" s="26"/>
      <c r="I342" s="25"/>
      <c r="J342" s="25"/>
      <c r="K342" s="25"/>
      <c r="L342" s="25"/>
      <c r="M342" s="25"/>
    </row>
    <row r="343" spans="1:13" ht="14.25" customHeight="1" x14ac:dyDescent="0.3">
      <c r="A343" s="25"/>
      <c r="B343" s="25"/>
      <c r="C343" s="26"/>
      <c r="D343" s="27"/>
      <c r="E343" s="26"/>
      <c r="F343" s="26"/>
      <c r="G343" s="26"/>
      <c r="H343" s="26"/>
      <c r="I343" s="25"/>
      <c r="J343" s="25"/>
      <c r="K343" s="25"/>
      <c r="L343" s="25"/>
      <c r="M343" s="25"/>
    </row>
    <row r="344" spans="1:13" ht="14.25" customHeight="1" x14ac:dyDescent="0.3">
      <c r="A344" s="25"/>
      <c r="B344" s="25"/>
      <c r="C344" s="26"/>
      <c r="D344" s="27"/>
      <c r="E344" s="26"/>
      <c r="F344" s="26"/>
      <c r="G344" s="26"/>
      <c r="H344" s="26"/>
      <c r="I344" s="25"/>
      <c r="J344" s="25"/>
      <c r="K344" s="25"/>
      <c r="L344" s="25"/>
      <c r="M344" s="25"/>
    </row>
    <row r="345" spans="1:13" ht="14.25" customHeight="1" x14ac:dyDescent="0.3">
      <c r="A345" s="25"/>
      <c r="B345" s="25"/>
      <c r="C345" s="26"/>
      <c r="D345" s="27"/>
      <c r="E345" s="26"/>
      <c r="F345" s="26"/>
      <c r="G345" s="26"/>
      <c r="H345" s="26"/>
      <c r="I345" s="25"/>
      <c r="J345" s="25"/>
      <c r="K345" s="25"/>
      <c r="L345" s="25"/>
      <c r="M345" s="25"/>
    </row>
    <row r="346" spans="1:13" ht="14.25" customHeight="1" x14ac:dyDescent="0.3">
      <c r="A346" s="25"/>
      <c r="B346" s="25"/>
      <c r="C346" s="26"/>
      <c r="D346" s="27"/>
      <c r="E346" s="26"/>
      <c r="F346" s="26"/>
      <c r="G346" s="26"/>
      <c r="H346" s="26"/>
      <c r="I346" s="25"/>
      <c r="J346" s="25"/>
      <c r="K346" s="25"/>
      <c r="L346" s="25"/>
      <c r="M346" s="25"/>
    </row>
    <row r="347" spans="1:13" ht="14.25" customHeight="1" x14ac:dyDescent="0.3">
      <c r="A347" s="25"/>
      <c r="B347" s="25"/>
      <c r="C347" s="26"/>
      <c r="D347" s="27"/>
      <c r="E347" s="26"/>
      <c r="F347" s="26"/>
      <c r="G347" s="26"/>
      <c r="H347" s="26"/>
      <c r="I347" s="25"/>
      <c r="J347" s="25"/>
      <c r="K347" s="25"/>
      <c r="L347" s="25"/>
      <c r="M347" s="25"/>
    </row>
    <row r="348" spans="1:13" ht="14.25" customHeight="1" x14ac:dyDescent="0.3">
      <c r="A348" s="25"/>
      <c r="B348" s="25"/>
      <c r="C348" s="26"/>
      <c r="D348" s="27"/>
      <c r="E348" s="26"/>
      <c r="F348" s="26"/>
      <c r="G348" s="26"/>
      <c r="H348" s="26"/>
      <c r="I348" s="25"/>
      <c r="J348" s="25"/>
      <c r="K348" s="25"/>
      <c r="L348" s="25"/>
      <c r="M348" s="25"/>
    </row>
    <row r="349" spans="1:13" ht="14.25" customHeight="1" x14ac:dyDescent="0.3">
      <c r="A349" s="25"/>
      <c r="B349" s="25"/>
      <c r="C349" s="26"/>
      <c r="D349" s="27"/>
      <c r="E349" s="26"/>
      <c r="F349" s="26"/>
      <c r="G349" s="26"/>
      <c r="H349" s="26"/>
      <c r="I349" s="25"/>
      <c r="J349" s="25"/>
      <c r="K349" s="25"/>
      <c r="L349" s="25"/>
      <c r="M349" s="25"/>
    </row>
    <row r="350" spans="1:13" ht="14.25" customHeight="1" x14ac:dyDescent="0.3">
      <c r="A350" s="25"/>
      <c r="B350" s="25"/>
      <c r="C350" s="26"/>
      <c r="D350" s="27"/>
      <c r="E350" s="26"/>
      <c r="F350" s="26"/>
      <c r="G350" s="26"/>
      <c r="H350" s="26"/>
      <c r="I350" s="25"/>
      <c r="J350" s="25"/>
      <c r="K350" s="25"/>
      <c r="L350" s="25"/>
      <c r="M350" s="25"/>
    </row>
    <row r="351" spans="1:13" ht="14.25" customHeight="1" x14ac:dyDescent="0.3">
      <c r="A351" s="25"/>
      <c r="B351" s="25"/>
      <c r="C351" s="26"/>
      <c r="D351" s="27"/>
      <c r="E351" s="26"/>
      <c r="F351" s="26"/>
      <c r="G351" s="26"/>
      <c r="H351" s="26"/>
      <c r="I351" s="25"/>
      <c r="J351" s="25"/>
      <c r="K351" s="25"/>
      <c r="L351" s="25"/>
      <c r="M351" s="25"/>
    </row>
    <row r="352" spans="1:13" ht="14.25" customHeight="1" x14ac:dyDescent="0.3">
      <c r="A352" s="25"/>
      <c r="B352" s="25"/>
      <c r="C352" s="26"/>
      <c r="D352" s="27"/>
      <c r="E352" s="26"/>
      <c r="F352" s="26"/>
      <c r="G352" s="26"/>
      <c r="H352" s="26"/>
      <c r="I352" s="25"/>
      <c r="J352" s="25"/>
      <c r="K352" s="25"/>
      <c r="L352" s="25"/>
      <c r="M352" s="25"/>
    </row>
    <row r="353" spans="1:13" ht="14.25" customHeight="1" x14ac:dyDescent="0.3">
      <c r="A353" s="25"/>
      <c r="B353" s="25"/>
      <c r="C353" s="26"/>
      <c r="D353" s="27"/>
      <c r="E353" s="26"/>
      <c r="F353" s="26"/>
      <c r="G353" s="26"/>
      <c r="H353" s="26"/>
      <c r="I353" s="25"/>
      <c r="J353" s="25"/>
      <c r="K353" s="25"/>
      <c r="L353" s="25"/>
      <c r="M353" s="25"/>
    </row>
    <row r="354" spans="1:13" ht="14.25" customHeight="1" x14ac:dyDescent="0.3">
      <c r="A354" s="25"/>
      <c r="B354" s="25"/>
      <c r="C354" s="26"/>
      <c r="D354" s="27"/>
      <c r="E354" s="26"/>
      <c r="F354" s="26"/>
      <c r="G354" s="26"/>
      <c r="H354" s="26"/>
      <c r="I354" s="25"/>
      <c r="J354" s="25"/>
      <c r="K354" s="25"/>
      <c r="L354" s="25"/>
      <c r="M354" s="25"/>
    </row>
    <row r="355" spans="1:13" ht="14.25" customHeight="1" x14ac:dyDescent="0.3">
      <c r="A355" s="25"/>
      <c r="B355" s="25"/>
      <c r="C355" s="26"/>
      <c r="D355" s="27"/>
      <c r="E355" s="26"/>
      <c r="F355" s="26"/>
      <c r="G355" s="26"/>
      <c r="H355" s="26"/>
      <c r="I355" s="25"/>
      <c r="J355" s="25"/>
      <c r="K355" s="25"/>
      <c r="L355" s="25"/>
      <c r="M355" s="25"/>
    </row>
    <row r="356" spans="1:13" ht="14.25" customHeight="1" x14ac:dyDescent="0.3">
      <c r="A356" s="25"/>
      <c r="B356" s="25"/>
      <c r="C356" s="26"/>
      <c r="D356" s="27"/>
      <c r="E356" s="26"/>
      <c r="F356" s="26"/>
      <c r="G356" s="26"/>
      <c r="H356" s="26"/>
      <c r="I356" s="25"/>
      <c r="J356" s="25"/>
      <c r="K356" s="25"/>
      <c r="L356" s="25"/>
      <c r="M356" s="25"/>
    </row>
    <row r="357" spans="1:13" ht="14.25" customHeight="1" x14ac:dyDescent="0.3">
      <c r="A357" s="25"/>
      <c r="B357" s="25"/>
      <c r="C357" s="26"/>
      <c r="D357" s="27"/>
      <c r="E357" s="26"/>
      <c r="F357" s="26"/>
      <c r="G357" s="26"/>
      <c r="H357" s="26"/>
      <c r="I357" s="25"/>
      <c r="J357" s="25"/>
      <c r="K357" s="25"/>
      <c r="L357" s="25"/>
      <c r="M357" s="25"/>
    </row>
    <row r="358" spans="1:13" ht="14.25" customHeight="1" x14ac:dyDescent="0.3">
      <c r="A358" s="25"/>
      <c r="B358" s="25"/>
      <c r="C358" s="26"/>
      <c r="D358" s="27"/>
      <c r="E358" s="26"/>
      <c r="F358" s="26"/>
      <c r="G358" s="26"/>
      <c r="H358" s="26"/>
      <c r="I358" s="25"/>
      <c r="J358" s="25"/>
      <c r="K358" s="25"/>
      <c r="L358" s="25"/>
      <c r="M358" s="25"/>
    </row>
    <row r="359" spans="1:13" ht="14.25" customHeight="1" x14ac:dyDescent="0.3">
      <c r="A359" s="25"/>
      <c r="B359" s="25"/>
      <c r="C359" s="26"/>
      <c r="D359" s="27"/>
      <c r="E359" s="26"/>
      <c r="F359" s="26"/>
      <c r="G359" s="26"/>
      <c r="H359" s="26"/>
      <c r="I359" s="25"/>
      <c r="J359" s="25"/>
      <c r="K359" s="25"/>
      <c r="L359" s="25"/>
      <c r="M359" s="25"/>
    </row>
    <row r="360" spans="1:13" ht="14.25" customHeight="1" x14ac:dyDescent="0.3">
      <c r="A360" s="25"/>
      <c r="B360" s="25"/>
      <c r="C360" s="26"/>
      <c r="D360" s="27"/>
      <c r="E360" s="26"/>
      <c r="F360" s="26"/>
      <c r="G360" s="26"/>
      <c r="H360" s="26"/>
      <c r="I360" s="25"/>
      <c r="J360" s="25"/>
      <c r="K360" s="25"/>
      <c r="L360" s="25"/>
      <c r="M360" s="25"/>
    </row>
    <row r="361" spans="1:13" ht="14.25" customHeight="1" x14ac:dyDescent="0.3">
      <c r="A361" s="25"/>
      <c r="B361" s="25"/>
      <c r="C361" s="26"/>
      <c r="D361" s="27"/>
      <c r="E361" s="26"/>
      <c r="F361" s="26"/>
      <c r="G361" s="26"/>
      <c r="H361" s="26"/>
      <c r="I361" s="25"/>
      <c r="J361" s="25"/>
      <c r="K361" s="25"/>
      <c r="L361" s="25"/>
      <c r="M361" s="25"/>
    </row>
    <row r="362" spans="1:13" ht="14.25" customHeight="1" x14ac:dyDescent="0.3">
      <c r="A362" s="25"/>
      <c r="B362" s="25"/>
      <c r="C362" s="26"/>
      <c r="D362" s="27"/>
      <c r="E362" s="26"/>
      <c r="F362" s="26"/>
      <c r="G362" s="26"/>
      <c r="H362" s="26"/>
      <c r="I362" s="25"/>
      <c r="J362" s="25"/>
      <c r="K362" s="25"/>
      <c r="L362" s="25"/>
      <c r="M362" s="25"/>
    </row>
    <row r="363" spans="1:13" ht="14.25" customHeight="1" x14ac:dyDescent="0.3">
      <c r="A363" s="25"/>
      <c r="B363" s="25"/>
      <c r="C363" s="26"/>
      <c r="D363" s="27"/>
      <c r="E363" s="26"/>
      <c r="F363" s="26"/>
      <c r="G363" s="26"/>
      <c r="H363" s="26"/>
      <c r="I363" s="25"/>
      <c r="J363" s="25"/>
      <c r="K363" s="25"/>
      <c r="L363" s="25"/>
      <c r="M363" s="25"/>
    </row>
    <row r="364" spans="1:13" ht="14.25" customHeight="1" x14ac:dyDescent="0.3">
      <c r="A364" s="25"/>
      <c r="B364" s="25"/>
      <c r="C364" s="26"/>
      <c r="D364" s="27"/>
      <c r="E364" s="26"/>
      <c r="F364" s="26"/>
      <c r="G364" s="26"/>
      <c r="H364" s="26"/>
      <c r="I364" s="25"/>
      <c r="J364" s="25"/>
      <c r="K364" s="25"/>
      <c r="L364" s="25"/>
      <c r="M364" s="25"/>
    </row>
    <row r="365" spans="1:13" ht="14.25" customHeight="1" x14ac:dyDescent="0.3">
      <c r="A365" s="25"/>
      <c r="B365" s="25"/>
      <c r="C365" s="26"/>
      <c r="D365" s="27"/>
      <c r="E365" s="26"/>
      <c r="F365" s="26"/>
      <c r="G365" s="26"/>
      <c r="H365" s="26"/>
      <c r="I365" s="25"/>
      <c r="J365" s="25"/>
      <c r="K365" s="25"/>
      <c r="L365" s="25"/>
      <c r="M365" s="25"/>
    </row>
    <row r="366" spans="1:13" ht="14.25" customHeight="1" x14ac:dyDescent="0.3">
      <c r="A366" s="25"/>
      <c r="B366" s="25"/>
      <c r="C366" s="26"/>
      <c r="D366" s="27"/>
      <c r="E366" s="26"/>
      <c r="F366" s="26"/>
      <c r="G366" s="26"/>
      <c r="H366" s="26"/>
      <c r="I366" s="25"/>
      <c r="J366" s="25"/>
      <c r="K366" s="25"/>
      <c r="L366" s="25"/>
      <c r="M366" s="25"/>
    </row>
    <row r="367" spans="1:13" ht="14.25" customHeight="1" x14ac:dyDescent="0.3">
      <c r="A367" s="25"/>
      <c r="B367" s="25"/>
      <c r="C367" s="26"/>
      <c r="D367" s="27"/>
      <c r="E367" s="26"/>
      <c r="F367" s="26"/>
      <c r="G367" s="26"/>
      <c r="H367" s="26"/>
      <c r="I367" s="25"/>
      <c r="J367" s="25"/>
      <c r="K367" s="25"/>
      <c r="L367" s="25"/>
      <c r="M367" s="25"/>
    </row>
    <row r="368" spans="1:13" ht="14.25" customHeight="1" x14ac:dyDescent="0.3">
      <c r="A368" s="25"/>
      <c r="B368" s="25"/>
      <c r="C368" s="26"/>
      <c r="D368" s="27"/>
      <c r="E368" s="26"/>
      <c r="F368" s="26"/>
      <c r="G368" s="26"/>
      <c r="H368" s="26"/>
      <c r="I368" s="25"/>
      <c r="J368" s="25"/>
      <c r="K368" s="25"/>
      <c r="L368" s="25"/>
      <c r="M368" s="25"/>
    </row>
    <row r="369" spans="1:13" ht="14.25" customHeight="1" x14ac:dyDescent="0.3">
      <c r="A369" s="25"/>
      <c r="B369" s="25"/>
      <c r="C369" s="26"/>
      <c r="D369" s="27"/>
      <c r="E369" s="26"/>
      <c r="F369" s="26"/>
      <c r="G369" s="26"/>
      <c r="H369" s="26"/>
      <c r="I369" s="25"/>
      <c r="J369" s="25"/>
      <c r="K369" s="25"/>
      <c r="L369" s="25"/>
      <c r="M369" s="25"/>
    </row>
    <row r="370" spans="1:13" ht="14.25" customHeight="1" x14ac:dyDescent="0.3">
      <c r="A370" s="25"/>
      <c r="B370" s="25"/>
      <c r="C370" s="26"/>
      <c r="D370" s="27"/>
      <c r="E370" s="26"/>
      <c r="F370" s="26"/>
      <c r="G370" s="26"/>
      <c r="H370" s="26"/>
      <c r="I370" s="25"/>
      <c r="J370" s="25"/>
      <c r="K370" s="25"/>
      <c r="L370" s="25"/>
      <c r="M370" s="25"/>
    </row>
    <row r="371" spans="1:13" ht="14.25" customHeight="1" x14ac:dyDescent="0.3">
      <c r="A371" s="25"/>
      <c r="B371" s="25"/>
      <c r="C371" s="26"/>
      <c r="D371" s="27"/>
      <c r="E371" s="26"/>
      <c r="F371" s="26"/>
      <c r="G371" s="26"/>
      <c r="H371" s="26"/>
      <c r="I371" s="25"/>
      <c r="J371" s="25"/>
      <c r="K371" s="25"/>
      <c r="L371" s="25"/>
      <c r="M371" s="25"/>
    </row>
    <row r="372" spans="1:13" ht="14.25" customHeight="1" x14ac:dyDescent="0.3">
      <c r="A372" s="25"/>
      <c r="B372" s="25"/>
      <c r="C372" s="26"/>
      <c r="D372" s="27"/>
      <c r="E372" s="26"/>
      <c r="F372" s="26"/>
      <c r="G372" s="26"/>
      <c r="H372" s="26"/>
      <c r="I372" s="25"/>
      <c r="J372" s="25"/>
      <c r="K372" s="25"/>
      <c r="L372" s="25"/>
      <c r="M372" s="25"/>
    </row>
    <row r="373" spans="1:13" ht="14.25" customHeight="1" x14ac:dyDescent="0.3">
      <c r="A373" s="25"/>
      <c r="B373" s="25"/>
      <c r="C373" s="26"/>
      <c r="D373" s="27"/>
      <c r="E373" s="26"/>
      <c r="F373" s="26"/>
      <c r="G373" s="26"/>
      <c r="H373" s="26"/>
      <c r="I373" s="25"/>
      <c r="J373" s="25"/>
      <c r="K373" s="25"/>
      <c r="L373" s="25"/>
      <c r="M373" s="25"/>
    </row>
    <row r="374" spans="1:13" ht="14.25" customHeight="1" x14ac:dyDescent="0.3">
      <c r="A374" s="25"/>
      <c r="B374" s="25"/>
      <c r="C374" s="26"/>
      <c r="D374" s="27"/>
      <c r="E374" s="26"/>
      <c r="F374" s="26"/>
      <c r="G374" s="26"/>
      <c r="H374" s="26"/>
      <c r="I374" s="25"/>
      <c r="J374" s="25"/>
      <c r="K374" s="25"/>
      <c r="L374" s="25"/>
      <c r="M374" s="25"/>
    </row>
    <row r="375" spans="1:13" ht="14.25" customHeight="1" x14ac:dyDescent="0.3">
      <c r="A375" s="25"/>
      <c r="B375" s="25"/>
      <c r="C375" s="26"/>
      <c r="D375" s="27"/>
      <c r="E375" s="26"/>
      <c r="F375" s="26"/>
      <c r="G375" s="26"/>
      <c r="H375" s="26"/>
      <c r="I375" s="25"/>
      <c r="J375" s="25"/>
      <c r="K375" s="25"/>
      <c r="L375" s="25"/>
      <c r="M375" s="25"/>
    </row>
    <row r="376" spans="1:13" ht="14.25" customHeight="1" x14ac:dyDescent="0.3">
      <c r="A376" s="25"/>
      <c r="B376" s="25"/>
      <c r="C376" s="26"/>
      <c r="D376" s="27"/>
      <c r="E376" s="26"/>
      <c r="F376" s="26"/>
      <c r="G376" s="26"/>
      <c r="H376" s="26"/>
      <c r="I376" s="25"/>
      <c r="J376" s="25"/>
      <c r="K376" s="25"/>
      <c r="L376" s="25"/>
      <c r="M376" s="25"/>
    </row>
    <row r="377" spans="1:13" ht="14.25" customHeight="1" x14ac:dyDescent="0.3">
      <c r="A377" s="25"/>
      <c r="B377" s="25"/>
      <c r="C377" s="26"/>
      <c r="D377" s="27"/>
      <c r="E377" s="26"/>
      <c r="F377" s="26"/>
      <c r="G377" s="26"/>
      <c r="H377" s="26"/>
      <c r="I377" s="25"/>
      <c r="J377" s="25"/>
      <c r="K377" s="25"/>
      <c r="L377" s="25"/>
      <c r="M377" s="25"/>
    </row>
    <row r="378" spans="1:13" ht="14.25" customHeight="1" x14ac:dyDescent="0.3">
      <c r="A378" s="25"/>
      <c r="B378" s="25"/>
      <c r="C378" s="26"/>
      <c r="D378" s="27"/>
      <c r="E378" s="26"/>
      <c r="F378" s="26"/>
      <c r="G378" s="26"/>
      <c r="H378" s="26"/>
      <c r="I378" s="25"/>
      <c r="J378" s="25"/>
      <c r="K378" s="25"/>
      <c r="L378" s="25"/>
      <c r="M378" s="25"/>
    </row>
    <row r="379" spans="1:13" ht="14.25" customHeight="1" x14ac:dyDescent="0.3">
      <c r="A379" s="25"/>
      <c r="B379" s="25"/>
      <c r="C379" s="26"/>
      <c r="D379" s="27"/>
      <c r="E379" s="26"/>
      <c r="F379" s="26"/>
      <c r="G379" s="26"/>
      <c r="H379" s="26"/>
      <c r="I379" s="25"/>
      <c r="J379" s="25"/>
      <c r="K379" s="25"/>
      <c r="L379" s="25"/>
      <c r="M379" s="25"/>
    </row>
    <row r="380" spans="1:13" ht="14.25" customHeight="1" x14ac:dyDescent="0.3">
      <c r="A380" s="25"/>
      <c r="B380" s="25"/>
      <c r="C380" s="26"/>
      <c r="D380" s="27"/>
      <c r="E380" s="26"/>
      <c r="F380" s="26"/>
      <c r="G380" s="26"/>
      <c r="H380" s="26"/>
      <c r="I380" s="25"/>
      <c r="J380" s="25"/>
      <c r="K380" s="25"/>
      <c r="L380" s="25"/>
      <c r="M380" s="25"/>
    </row>
    <row r="381" spans="1:13" ht="14.25" customHeight="1" x14ac:dyDescent="0.3">
      <c r="A381" s="25"/>
      <c r="B381" s="25"/>
      <c r="C381" s="26"/>
      <c r="D381" s="27"/>
      <c r="E381" s="26"/>
      <c r="F381" s="26"/>
      <c r="G381" s="26"/>
      <c r="H381" s="26"/>
      <c r="I381" s="25"/>
      <c r="J381" s="25"/>
      <c r="K381" s="25"/>
      <c r="L381" s="25"/>
      <c r="M381" s="25"/>
    </row>
    <row r="382" spans="1:13" ht="14.25" customHeight="1" x14ac:dyDescent="0.3">
      <c r="A382" s="25"/>
      <c r="B382" s="25"/>
      <c r="C382" s="26"/>
      <c r="D382" s="27"/>
      <c r="E382" s="26"/>
      <c r="F382" s="26"/>
      <c r="G382" s="26"/>
      <c r="H382" s="26"/>
      <c r="I382" s="25"/>
      <c r="J382" s="25"/>
      <c r="K382" s="25"/>
      <c r="L382" s="25"/>
      <c r="M382" s="25"/>
    </row>
    <row r="383" spans="1:13" ht="14.25" customHeight="1" x14ac:dyDescent="0.3">
      <c r="A383" s="25"/>
      <c r="B383" s="25"/>
      <c r="C383" s="26"/>
      <c r="D383" s="27"/>
      <c r="E383" s="26"/>
      <c r="F383" s="26"/>
      <c r="G383" s="26"/>
      <c r="H383" s="26"/>
      <c r="I383" s="25"/>
      <c r="J383" s="25"/>
      <c r="K383" s="25"/>
      <c r="L383" s="25"/>
      <c r="M383" s="25"/>
    </row>
    <row r="384" spans="1:13" ht="14.25" customHeight="1" x14ac:dyDescent="0.3">
      <c r="A384" s="25"/>
      <c r="B384" s="25"/>
      <c r="C384" s="26"/>
      <c r="D384" s="27"/>
      <c r="E384" s="26"/>
      <c r="F384" s="26"/>
      <c r="G384" s="26"/>
      <c r="H384" s="26"/>
      <c r="I384" s="25"/>
      <c r="J384" s="25"/>
      <c r="K384" s="25"/>
      <c r="L384" s="25"/>
      <c r="M384" s="25"/>
    </row>
    <row r="385" spans="1:13" ht="14.25" customHeight="1" x14ac:dyDescent="0.3">
      <c r="A385" s="25"/>
      <c r="B385" s="25"/>
      <c r="C385" s="26"/>
      <c r="D385" s="27"/>
      <c r="E385" s="26"/>
      <c r="F385" s="26"/>
      <c r="G385" s="26"/>
      <c r="H385" s="26"/>
      <c r="I385" s="25"/>
      <c r="J385" s="25"/>
      <c r="K385" s="25"/>
      <c r="L385" s="25"/>
      <c r="M385" s="25"/>
    </row>
    <row r="386" spans="1:13" ht="14.25" customHeight="1" x14ac:dyDescent="0.3">
      <c r="A386" s="25"/>
      <c r="B386" s="25"/>
      <c r="C386" s="26"/>
      <c r="D386" s="27"/>
      <c r="E386" s="26"/>
      <c r="F386" s="26"/>
      <c r="G386" s="26"/>
      <c r="H386" s="26"/>
      <c r="I386" s="25"/>
      <c r="J386" s="25"/>
      <c r="K386" s="25"/>
      <c r="L386" s="25"/>
      <c r="M386" s="25"/>
    </row>
    <row r="387" spans="1:13" ht="14.25" customHeight="1" x14ac:dyDescent="0.3">
      <c r="A387" s="25"/>
      <c r="B387" s="25"/>
      <c r="C387" s="26"/>
      <c r="D387" s="27"/>
      <c r="E387" s="26"/>
      <c r="F387" s="26"/>
      <c r="G387" s="26"/>
      <c r="H387" s="26"/>
      <c r="I387" s="25"/>
      <c r="J387" s="25"/>
      <c r="K387" s="25"/>
      <c r="L387" s="25"/>
      <c r="M387" s="25"/>
    </row>
    <row r="388" spans="1:13" ht="14.25" customHeight="1" x14ac:dyDescent="0.3">
      <c r="A388" s="25"/>
      <c r="B388" s="25"/>
      <c r="C388" s="26"/>
      <c r="D388" s="27"/>
      <c r="E388" s="26"/>
      <c r="F388" s="26"/>
      <c r="G388" s="26"/>
      <c r="H388" s="26"/>
      <c r="I388" s="25"/>
      <c r="J388" s="25"/>
      <c r="K388" s="25"/>
      <c r="L388" s="25"/>
      <c r="M388" s="25"/>
    </row>
    <row r="389" spans="1:13" ht="14.25" customHeight="1" x14ac:dyDescent="0.3">
      <c r="A389" s="25"/>
      <c r="B389" s="25"/>
      <c r="C389" s="26"/>
      <c r="D389" s="27"/>
      <c r="E389" s="26"/>
      <c r="F389" s="26"/>
      <c r="G389" s="26"/>
      <c r="H389" s="26"/>
      <c r="I389" s="25"/>
      <c r="J389" s="25"/>
      <c r="K389" s="25"/>
      <c r="L389" s="25"/>
      <c r="M389" s="25"/>
    </row>
    <row r="390" spans="1:13" ht="14.25" customHeight="1" x14ac:dyDescent="0.3">
      <c r="A390" s="25"/>
      <c r="B390" s="25"/>
      <c r="C390" s="26"/>
      <c r="D390" s="27"/>
      <c r="E390" s="26"/>
      <c r="F390" s="26"/>
      <c r="G390" s="26"/>
      <c r="H390" s="26"/>
      <c r="I390" s="25"/>
      <c r="J390" s="25"/>
      <c r="K390" s="25"/>
      <c r="L390" s="25"/>
      <c r="M390" s="25"/>
    </row>
    <row r="391" spans="1:13" ht="14.25" customHeight="1" x14ac:dyDescent="0.3">
      <c r="A391" s="25"/>
      <c r="B391" s="25"/>
      <c r="C391" s="26"/>
      <c r="D391" s="27"/>
      <c r="E391" s="26"/>
      <c r="F391" s="26"/>
      <c r="G391" s="26"/>
      <c r="H391" s="26"/>
      <c r="I391" s="25"/>
      <c r="J391" s="25"/>
      <c r="K391" s="25"/>
      <c r="L391" s="25"/>
      <c r="M391" s="25"/>
    </row>
    <row r="392" spans="1:13" ht="14.25" customHeight="1" x14ac:dyDescent="0.3">
      <c r="A392" s="25"/>
      <c r="B392" s="25"/>
      <c r="C392" s="26"/>
      <c r="D392" s="27"/>
      <c r="E392" s="26"/>
      <c r="F392" s="26"/>
      <c r="G392" s="26"/>
      <c r="H392" s="26"/>
      <c r="I392" s="25"/>
      <c r="J392" s="25"/>
      <c r="K392" s="25"/>
      <c r="L392" s="25"/>
      <c r="M392" s="25"/>
    </row>
    <row r="393" spans="1:13" ht="14.25" customHeight="1" x14ac:dyDescent="0.3">
      <c r="A393" s="25"/>
      <c r="B393" s="25"/>
      <c r="C393" s="26"/>
      <c r="D393" s="27"/>
      <c r="E393" s="26"/>
      <c r="F393" s="26"/>
      <c r="G393" s="26"/>
      <c r="H393" s="26"/>
      <c r="I393" s="25"/>
      <c r="J393" s="25"/>
      <c r="K393" s="25"/>
      <c r="L393" s="25"/>
      <c r="M393" s="25"/>
    </row>
    <row r="394" spans="1:13" ht="14.25" customHeight="1" x14ac:dyDescent="0.3">
      <c r="A394" s="25"/>
      <c r="B394" s="25"/>
      <c r="C394" s="26"/>
      <c r="D394" s="27"/>
      <c r="E394" s="26"/>
      <c r="F394" s="26"/>
      <c r="G394" s="26"/>
      <c r="H394" s="26"/>
      <c r="I394" s="25"/>
      <c r="J394" s="25"/>
      <c r="K394" s="25"/>
      <c r="L394" s="25"/>
      <c r="M394" s="25"/>
    </row>
    <row r="395" spans="1:13" ht="14.25" customHeight="1" x14ac:dyDescent="0.3">
      <c r="A395" s="25"/>
      <c r="B395" s="25"/>
      <c r="C395" s="26"/>
      <c r="D395" s="27"/>
      <c r="E395" s="26"/>
      <c r="F395" s="26"/>
      <c r="G395" s="26"/>
      <c r="H395" s="26"/>
      <c r="I395" s="25"/>
      <c r="J395" s="25"/>
      <c r="K395" s="25"/>
      <c r="L395" s="25"/>
      <c r="M395" s="25"/>
    </row>
    <row r="396" spans="1:13" ht="14.25" customHeight="1" x14ac:dyDescent="0.3">
      <c r="A396" s="25"/>
      <c r="B396" s="25"/>
      <c r="C396" s="26"/>
      <c r="D396" s="27"/>
      <c r="E396" s="26"/>
      <c r="F396" s="26"/>
      <c r="G396" s="26"/>
      <c r="H396" s="26"/>
      <c r="I396" s="25"/>
      <c r="J396" s="25"/>
      <c r="K396" s="25"/>
      <c r="L396" s="25"/>
      <c r="M396" s="25"/>
    </row>
    <row r="397" spans="1:13" ht="14.25" customHeight="1" x14ac:dyDescent="0.3">
      <c r="A397" s="25"/>
      <c r="B397" s="25"/>
      <c r="C397" s="26"/>
      <c r="D397" s="27"/>
      <c r="E397" s="26"/>
      <c r="F397" s="26"/>
      <c r="G397" s="26"/>
      <c r="H397" s="26"/>
      <c r="I397" s="25"/>
      <c r="J397" s="25"/>
      <c r="K397" s="25"/>
      <c r="L397" s="25"/>
      <c r="M397" s="25"/>
    </row>
    <row r="398" spans="1:13" ht="14.25" customHeight="1" x14ac:dyDescent="0.3">
      <c r="A398" s="25"/>
      <c r="B398" s="25"/>
      <c r="C398" s="26"/>
      <c r="D398" s="27"/>
      <c r="E398" s="26"/>
      <c r="F398" s="26"/>
      <c r="G398" s="26"/>
      <c r="H398" s="26"/>
      <c r="I398" s="25"/>
      <c r="J398" s="25"/>
      <c r="K398" s="25"/>
      <c r="L398" s="25"/>
      <c r="M398" s="25"/>
    </row>
    <row r="399" spans="1:13" ht="14.25" customHeight="1" x14ac:dyDescent="0.3">
      <c r="A399" s="25"/>
      <c r="B399" s="25"/>
      <c r="C399" s="26"/>
      <c r="D399" s="27"/>
      <c r="E399" s="26"/>
      <c r="F399" s="26"/>
      <c r="G399" s="26"/>
      <c r="H399" s="26"/>
      <c r="I399" s="25"/>
      <c r="J399" s="25"/>
      <c r="K399" s="25"/>
      <c r="L399" s="25"/>
      <c r="M399" s="25"/>
    </row>
    <row r="400" spans="1:13" ht="14.25" customHeight="1" x14ac:dyDescent="0.3">
      <c r="A400" s="25"/>
      <c r="B400" s="25"/>
      <c r="C400" s="26"/>
      <c r="D400" s="27"/>
      <c r="E400" s="26"/>
      <c r="F400" s="26"/>
      <c r="G400" s="26"/>
      <c r="H400" s="26"/>
      <c r="I400" s="25"/>
      <c r="J400" s="25"/>
      <c r="K400" s="25"/>
      <c r="L400" s="25"/>
      <c r="M400" s="25"/>
    </row>
    <row r="401" spans="1:13" ht="14.25" customHeight="1" x14ac:dyDescent="0.3">
      <c r="A401" s="25"/>
      <c r="B401" s="25"/>
      <c r="C401" s="26"/>
      <c r="D401" s="27"/>
      <c r="E401" s="26"/>
      <c r="F401" s="26"/>
      <c r="G401" s="26"/>
      <c r="H401" s="26"/>
      <c r="I401" s="25"/>
      <c r="J401" s="25"/>
      <c r="K401" s="25"/>
      <c r="L401" s="25"/>
      <c r="M401" s="25"/>
    </row>
    <row r="402" spans="1:13" ht="14.25" customHeight="1" x14ac:dyDescent="0.3">
      <c r="A402" s="25"/>
      <c r="B402" s="25"/>
      <c r="C402" s="26"/>
      <c r="D402" s="27"/>
      <c r="E402" s="26"/>
      <c r="F402" s="26"/>
      <c r="G402" s="26"/>
      <c r="H402" s="26"/>
      <c r="I402" s="25"/>
      <c r="J402" s="25"/>
      <c r="K402" s="25"/>
      <c r="L402" s="25"/>
      <c r="M402" s="25"/>
    </row>
    <row r="403" spans="1:13" ht="14.25" customHeight="1" x14ac:dyDescent="0.3">
      <c r="A403" s="25"/>
      <c r="B403" s="25"/>
      <c r="C403" s="26"/>
      <c r="D403" s="27"/>
      <c r="E403" s="26"/>
      <c r="F403" s="26"/>
      <c r="G403" s="26"/>
      <c r="H403" s="26"/>
      <c r="I403" s="25"/>
      <c r="J403" s="25"/>
      <c r="K403" s="25"/>
      <c r="L403" s="25"/>
      <c r="M403" s="25"/>
    </row>
    <row r="404" spans="1:13" ht="14.25" customHeight="1" x14ac:dyDescent="0.3">
      <c r="A404" s="25"/>
      <c r="B404" s="25"/>
      <c r="C404" s="26"/>
      <c r="D404" s="27"/>
      <c r="E404" s="26"/>
      <c r="F404" s="26"/>
      <c r="G404" s="26"/>
      <c r="H404" s="26"/>
      <c r="I404" s="25"/>
      <c r="J404" s="25"/>
      <c r="K404" s="25"/>
      <c r="L404" s="25"/>
      <c r="M404" s="25"/>
    </row>
    <row r="405" spans="1:13" ht="14.25" customHeight="1" x14ac:dyDescent="0.3">
      <c r="A405" s="25"/>
      <c r="B405" s="25"/>
      <c r="C405" s="26"/>
      <c r="D405" s="27"/>
      <c r="E405" s="26"/>
      <c r="F405" s="26"/>
      <c r="G405" s="26"/>
      <c r="H405" s="26"/>
      <c r="I405" s="25"/>
      <c r="J405" s="25"/>
      <c r="K405" s="25"/>
      <c r="L405" s="25"/>
      <c r="M405" s="25"/>
    </row>
    <row r="406" spans="1:13" ht="14.25" customHeight="1" x14ac:dyDescent="0.3">
      <c r="A406" s="25"/>
      <c r="B406" s="25"/>
      <c r="C406" s="26"/>
      <c r="D406" s="27"/>
      <c r="E406" s="26"/>
      <c r="F406" s="26"/>
      <c r="G406" s="26"/>
      <c r="H406" s="26"/>
      <c r="I406" s="25"/>
      <c r="J406" s="25"/>
      <c r="K406" s="25"/>
      <c r="L406" s="25"/>
      <c r="M406" s="25"/>
    </row>
    <row r="407" spans="1:13" ht="14.25" customHeight="1" x14ac:dyDescent="0.3">
      <c r="A407" s="25"/>
      <c r="B407" s="25"/>
      <c r="C407" s="26"/>
      <c r="D407" s="27"/>
      <c r="E407" s="26"/>
      <c r="F407" s="26"/>
      <c r="G407" s="26"/>
      <c r="H407" s="26"/>
      <c r="I407" s="25"/>
      <c r="J407" s="25"/>
      <c r="K407" s="25"/>
      <c r="L407" s="25"/>
      <c r="M407" s="25"/>
    </row>
    <row r="408" spans="1:13" ht="14.25" customHeight="1" x14ac:dyDescent="0.3">
      <c r="A408" s="25"/>
      <c r="B408" s="25"/>
      <c r="C408" s="26"/>
      <c r="D408" s="27"/>
      <c r="E408" s="26"/>
      <c r="F408" s="26"/>
      <c r="G408" s="26"/>
      <c r="H408" s="26"/>
      <c r="I408" s="25"/>
      <c r="J408" s="25"/>
      <c r="K408" s="25"/>
      <c r="L408" s="25"/>
      <c r="M408" s="25"/>
    </row>
    <row r="409" spans="1:13" ht="14.25" customHeight="1" x14ac:dyDescent="0.3">
      <c r="A409" s="25"/>
      <c r="B409" s="25"/>
      <c r="C409" s="26"/>
      <c r="D409" s="27"/>
      <c r="E409" s="26"/>
      <c r="F409" s="26"/>
      <c r="G409" s="26"/>
      <c r="H409" s="26"/>
      <c r="I409" s="25"/>
      <c r="J409" s="25"/>
      <c r="K409" s="25"/>
      <c r="L409" s="25"/>
      <c r="M409" s="25"/>
    </row>
    <row r="410" spans="1:13" ht="14.25" customHeight="1" x14ac:dyDescent="0.3">
      <c r="A410" s="25"/>
      <c r="B410" s="25"/>
      <c r="C410" s="26"/>
      <c r="D410" s="27"/>
      <c r="E410" s="26"/>
      <c r="F410" s="26"/>
      <c r="G410" s="26"/>
      <c r="H410" s="26"/>
      <c r="I410" s="25"/>
      <c r="J410" s="25"/>
      <c r="K410" s="25"/>
      <c r="L410" s="25"/>
      <c r="M410" s="25"/>
    </row>
    <row r="411" spans="1:13" ht="14.25" customHeight="1" x14ac:dyDescent="0.3">
      <c r="A411" s="25"/>
      <c r="B411" s="25"/>
      <c r="C411" s="26"/>
      <c r="D411" s="27"/>
      <c r="E411" s="26"/>
      <c r="F411" s="26"/>
      <c r="G411" s="26"/>
      <c r="H411" s="26"/>
      <c r="I411" s="25"/>
      <c r="J411" s="25"/>
      <c r="K411" s="25"/>
      <c r="L411" s="25"/>
      <c r="M411" s="25"/>
    </row>
    <row r="412" spans="1:13" ht="14.25" customHeight="1" x14ac:dyDescent="0.3">
      <c r="A412" s="25"/>
      <c r="B412" s="25"/>
      <c r="C412" s="26"/>
      <c r="D412" s="27"/>
      <c r="E412" s="26"/>
      <c r="F412" s="26"/>
      <c r="G412" s="26"/>
      <c r="H412" s="26"/>
      <c r="I412" s="25"/>
      <c r="J412" s="25"/>
      <c r="K412" s="25"/>
      <c r="L412" s="25"/>
      <c r="M412" s="25"/>
    </row>
    <row r="413" spans="1:13" ht="14.25" customHeight="1" x14ac:dyDescent="0.3">
      <c r="A413" s="25"/>
      <c r="B413" s="25"/>
      <c r="C413" s="26"/>
      <c r="D413" s="27"/>
      <c r="E413" s="26"/>
      <c r="F413" s="26"/>
      <c r="G413" s="26"/>
      <c r="H413" s="26"/>
      <c r="I413" s="25"/>
      <c r="J413" s="25"/>
      <c r="K413" s="25"/>
      <c r="L413" s="25"/>
      <c r="M413" s="25"/>
    </row>
    <row r="414" spans="1:13" ht="14.25" customHeight="1" x14ac:dyDescent="0.3">
      <c r="A414" s="25"/>
      <c r="B414" s="25"/>
      <c r="C414" s="26"/>
      <c r="D414" s="27"/>
      <c r="E414" s="26"/>
      <c r="F414" s="26"/>
      <c r="G414" s="26"/>
      <c r="H414" s="26"/>
      <c r="I414" s="25"/>
      <c r="J414" s="25"/>
      <c r="K414" s="25"/>
      <c r="L414" s="25"/>
      <c r="M414" s="25"/>
    </row>
    <row r="415" spans="1:13" ht="14.25" customHeight="1" x14ac:dyDescent="0.3">
      <c r="A415" s="25"/>
      <c r="B415" s="25"/>
      <c r="C415" s="26"/>
      <c r="D415" s="27"/>
      <c r="E415" s="26"/>
      <c r="F415" s="26"/>
      <c r="G415" s="26"/>
      <c r="H415" s="26"/>
      <c r="I415" s="25"/>
      <c r="J415" s="25"/>
      <c r="K415" s="25"/>
      <c r="L415" s="25"/>
      <c r="M415" s="25"/>
    </row>
    <row r="416" spans="1:13" ht="14.25" customHeight="1" x14ac:dyDescent="0.3">
      <c r="A416" s="25"/>
      <c r="B416" s="25"/>
      <c r="C416" s="26"/>
      <c r="D416" s="27"/>
      <c r="E416" s="26"/>
      <c r="F416" s="26"/>
      <c r="G416" s="26"/>
      <c r="H416" s="26"/>
      <c r="I416" s="25"/>
      <c r="J416" s="25"/>
      <c r="K416" s="25"/>
      <c r="L416" s="25"/>
      <c r="M416" s="25"/>
    </row>
    <row r="417" spans="1:13" ht="14.25" customHeight="1" x14ac:dyDescent="0.3">
      <c r="A417" s="25"/>
      <c r="B417" s="25"/>
      <c r="C417" s="26"/>
      <c r="D417" s="27"/>
      <c r="E417" s="26"/>
      <c r="F417" s="26"/>
      <c r="G417" s="26"/>
      <c r="H417" s="26"/>
      <c r="I417" s="25"/>
      <c r="J417" s="25"/>
      <c r="K417" s="25"/>
      <c r="L417" s="25"/>
      <c r="M417" s="25"/>
    </row>
    <row r="418" spans="1:13" ht="14.25" customHeight="1" x14ac:dyDescent="0.3">
      <c r="A418" s="25"/>
      <c r="B418" s="25"/>
      <c r="C418" s="26"/>
      <c r="D418" s="27"/>
      <c r="E418" s="26"/>
      <c r="F418" s="26"/>
      <c r="G418" s="26"/>
      <c r="H418" s="26"/>
      <c r="I418" s="25"/>
      <c r="J418" s="25"/>
      <c r="K418" s="25"/>
      <c r="L418" s="25"/>
      <c r="M418" s="25"/>
    </row>
    <row r="419" spans="1:13" ht="14.25" customHeight="1" x14ac:dyDescent="0.3">
      <c r="A419" s="25"/>
      <c r="B419" s="25"/>
      <c r="C419" s="26"/>
      <c r="D419" s="27"/>
      <c r="E419" s="26"/>
      <c r="F419" s="26"/>
      <c r="G419" s="26"/>
      <c r="H419" s="26"/>
      <c r="I419" s="25"/>
      <c r="J419" s="25"/>
      <c r="K419" s="25"/>
      <c r="L419" s="25"/>
      <c r="M419" s="25"/>
    </row>
    <row r="420" spans="1:13" ht="14.25" customHeight="1" x14ac:dyDescent="0.3">
      <c r="A420" s="25"/>
      <c r="B420" s="25"/>
      <c r="C420" s="26"/>
      <c r="D420" s="27"/>
      <c r="E420" s="26"/>
      <c r="F420" s="26"/>
      <c r="G420" s="26"/>
      <c r="H420" s="26"/>
      <c r="I420" s="25"/>
      <c r="J420" s="25"/>
      <c r="K420" s="25"/>
      <c r="L420" s="25"/>
      <c r="M420" s="25"/>
    </row>
    <row r="421" spans="1:13" ht="14.25" customHeight="1" x14ac:dyDescent="0.3">
      <c r="A421" s="25"/>
      <c r="B421" s="25"/>
      <c r="C421" s="26"/>
      <c r="D421" s="27"/>
      <c r="E421" s="26"/>
      <c r="F421" s="26"/>
      <c r="G421" s="26"/>
      <c r="H421" s="26"/>
      <c r="I421" s="25"/>
      <c r="J421" s="25"/>
      <c r="K421" s="25"/>
      <c r="L421" s="25"/>
      <c r="M421" s="25"/>
    </row>
    <row r="422" spans="1:13" ht="14.25" customHeight="1" x14ac:dyDescent="0.3">
      <c r="A422" s="25"/>
      <c r="B422" s="25"/>
      <c r="C422" s="26"/>
      <c r="D422" s="27"/>
      <c r="E422" s="26"/>
      <c r="F422" s="26"/>
      <c r="G422" s="26"/>
      <c r="H422" s="26"/>
      <c r="I422" s="25"/>
      <c r="J422" s="25"/>
      <c r="K422" s="25"/>
      <c r="L422" s="25"/>
      <c r="M422" s="25"/>
    </row>
    <row r="423" spans="1:13" ht="14.25" customHeight="1" x14ac:dyDescent="0.3">
      <c r="A423" s="25"/>
      <c r="B423" s="25"/>
      <c r="C423" s="26"/>
      <c r="D423" s="27"/>
      <c r="E423" s="26"/>
      <c r="F423" s="26"/>
      <c r="G423" s="26"/>
      <c r="H423" s="26"/>
      <c r="I423" s="25"/>
      <c r="J423" s="25"/>
      <c r="K423" s="25"/>
      <c r="L423" s="25"/>
      <c r="M423" s="25"/>
    </row>
    <row r="424" spans="1:13" ht="14.25" customHeight="1" x14ac:dyDescent="0.3">
      <c r="A424" s="25"/>
      <c r="B424" s="25"/>
      <c r="C424" s="26"/>
      <c r="D424" s="27"/>
      <c r="E424" s="26"/>
      <c r="F424" s="26"/>
      <c r="G424" s="26"/>
      <c r="H424" s="26"/>
      <c r="I424" s="25"/>
      <c r="J424" s="25"/>
      <c r="K424" s="25"/>
      <c r="L424" s="25"/>
      <c r="M424" s="25"/>
    </row>
    <row r="425" spans="1:13" ht="14.25" customHeight="1" x14ac:dyDescent="0.3">
      <c r="A425" s="25"/>
      <c r="B425" s="25"/>
      <c r="C425" s="26"/>
      <c r="D425" s="27"/>
      <c r="E425" s="26"/>
      <c r="F425" s="26"/>
      <c r="G425" s="26"/>
      <c r="H425" s="26"/>
      <c r="I425" s="25"/>
      <c r="J425" s="25"/>
      <c r="K425" s="25"/>
      <c r="L425" s="25"/>
      <c r="M425" s="25"/>
    </row>
    <row r="426" spans="1:13" ht="14.25" customHeight="1" x14ac:dyDescent="0.3">
      <c r="A426" s="25"/>
      <c r="B426" s="25"/>
      <c r="C426" s="26"/>
      <c r="D426" s="27"/>
      <c r="E426" s="26"/>
      <c r="F426" s="26"/>
      <c r="G426" s="26"/>
      <c r="H426" s="26"/>
      <c r="I426" s="25"/>
      <c r="J426" s="25"/>
      <c r="K426" s="25"/>
      <c r="L426" s="25"/>
      <c r="M426" s="25"/>
    </row>
    <row r="427" spans="1:13" ht="14.25" customHeight="1" x14ac:dyDescent="0.3">
      <c r="A427" s="25"/>
      <c r="B427" s="25"/>
      <c r="C427" s="26"/>
      <c r="D427" s="27"/>
      <c r="E427" s="26"/>
      <c r="F427" s="26"/>
      <c r="G427" s="26"/>
      <c r="H427" s="26"/>
      <c r="I427" s="25"/>
      <c r="J427" s="25"/>
      <c r="K427" s="25"/>
      <c r="L427" s="25"/>
      <c r="M427" s="25"/>
    </row>
    <row r="428" spans="1:13" ht="14.25" customHeight="1" x14ac:dyDescent="0.3">
      <c r="A428" s="25"/>
      <c r="B428" s="25"/>
      <c r="C428" s="26"/>
      <c r="D428" s="27"/>
      <c r="E428" s="26"/>
      <c r="F428" s="26"/>
      <c r="G428" s="26"/>
      <c r="H428" s="26"/>
      <c r="I428" s="25"/>
      <c r="J428" s="25"/>
      <c r="K428" s="25"/>
      <c r="L428" s="25"/>
      <c r="M428" s="25"/>
    </row>
    <row r="429" spans="1:13" ht="14.25" customHeight="1" x14ac:dyDescent="0.3">
      <c r="A429" s="25"/>
      <c r="B429" s="25"/>
      <c r="C429" s="26"/>
      <c r="D429" s="27"/>
      <c r="E429" s="26"/>
      <c r="F429" s="26"/>
      <c r="G429" s="26"/>
      <c r="H429" s="26"/>
      <c r="I429" s="25"/>
      <c r="J429" s="25"/>
      <c r="K429" s="25"/>
      <c r="L429" s="25"/>
      <c r="M429" s="25"/>
    </row>
    <row r="430" spans="1:13" ht="14.25" customHeight="1" x14ac:dyDescent="0.3">
      <c r="A430" s="25"/>
      <c r="B430" s="25"/>
      <c r="C430" s="26"/>
      <c r="D430" s="27"/>
      <c r="E430" s="26"/>
      <c r="F430" s="26"/>
      <c r="G430" s="26"/>
      <c r="H430" s="26"/>
      <c r="I430" s="25"/>
      <c r="J430" s="25"/>
      <c r="K430" s="25"/>
      <c r="L430" s="25"/>
      <c r="M430" s="25"/>
    </row>
    <row r="431" spans="1:13" ht="14.25" customHeight="1" x14ac:dyDescent="0.3">
      <c r="A431" s="25"/>
      <c r="B431" s="25"/>
      <c r="C431" s="26"/>
      <c r="D431" s="27"/>
      <c r="E431" s="26"/>
      <c r="F431" s="26"/>
      <c r="G431" s="26"/>
      <c r="H431" s="26"/>
      <c r="I431" s="25"/>
      <c r="J431" s="25"/>
      <c r="K431" s="25"/>
      <c r="L431" s="25"/>
      <c r="M431" s="25"/>
    </row>
    <row r="432" spans="1:13" ht="14.25" customHeight="1" x14ac:dyDescent="0.3">
      <c r="A432" s="25"/>
      <c r="B432" s="25"/>
      <c r="C432" s="26"/>
      <c r="D432" s="27"/>
      <c r="E432" s="26"/>
      <c r="F432" s="26"/>
      <c r="G432" s="26"/>
      <c r="H432" s="26"/>
      <c r="I432" s="25"/>
      <c r="J432" s="25"/>
      <c r="K432" s="25"/>
      <c r="L432" s="25"/>
      <c r="M432" s="25"/>
    </row>
    <row r="433" spans="1:13" ht="14.25" customHeight="1" x14ac:dyDescent="0.3">
      <c r="A433" s="25"/>
      <c r="B433" s="25"/>
      <c r="C433" s="26"/>
      <c r="D433" s="27"/>
      <c r="E433" s="26"/>
      <c r="F433" s="26"/>
      <c r="G433" s="26"/>
      <c r="H433" s="26"/>
      <c r="I433" s="25"/>
      <c r="J433" s="25"/>
      <c r="K433" s="25"/>
      <c r="L433" s="25"/>
      <c r="M433" s="25"/>
    </row>
    <row r="434" spans="1:13" ht="14.25" customHeight="1" x14ac:dyDescent="0.3">
      <c r="A434" s="25"/>
      <c r="B434" s="25"/>
      <c r="C434" s="26"/>
      <c r="D434" s="27"/>
      <c r="E434" s="26"/>
      <c r="F434" s="26"/>
      <c r="G434" s="26"/>
      <c r="H434" s="26"/>
      <c r="I434" s="25"/>
      <c r="J434" s="25"/>
      <c r="K434" s="25"/>
      <c r="L434" s="25"/>
      <c r="M434" s="25"/>
    </row>
    <row r="435" spans="1:13" ht="14.25" customHeight="1" x14ac:dyDescent="0.3">
      <c r="A435" s="25"/>
      <c r="B435" s="25"/>
      <c r="C435" s="26"/>
      <c r="D435" s="27"/>
      <c r="E435" s="26"/>
      <c r="F435" s="26"/>
      <c r="G435" s="26"/>
      <c r="H435" s="26"/>
      <c r="I435" s="25"/>
      <c r="J435" s="25"/>
      <c r="K435" s="25"/>
      <c r="L435" s="25"/>
      <c r="M435" s="25"/>
    </row>
    <row r="436" spans="1:13" ht="14.25" customHeight="1" x14ac:dyDescent="0.3">
      <c r="A436" s="25"/>
      <c r="B436" s="25"/>
      <c r="C436" s="26"/>
      <c r="D436" s="27"/>
      <c r="E436" s="26"/>
      <c r="F436" s="26"/>
      <c r="G436" s="26"/>
      <c r="H436" s="26"/>
      <c r="I436" s="25"/>
      <c r="J436" s="25"/>
      <c r="K436" s="25"/>
      <c r="L436" s="25"/>
      <c r="M436" s="25"/>
    </row>
    <row r="437" spans="1:13" ht="14.25" customHeight="1" x14ac:dyDescent="0.3">
      <c r="A437" s="25"/>
      <c r="B437" s="25"/>
      <c r="C437" s="26"/>
      <c r="D437" s="27"/>
      <c r="E437" s="26"/>
      <c r="F437" s="26"/>
      <c r="G437" s="26"/>
      <c r="H437" s="26"/>
      <c r="I437" s="25"/>
      <c r="J437" s="25"/>
      <c r="K437" s="25"/>
      <c r="L437" s="25"/>
      <c r="M437" s="25"/>
    </row>
    <row r="438" spans="1:13" ht="14.25" customHeight="1" x14ac:dyDescent="0.3">
      <c r="A438" s="25"/>
      <c r="B438" s="25"/>
      <c r="C438" s="26"/>
      <c r="D438" s="27"/>
      <c r="E438" s="26"/>
      <c r="F438" s="26"/>
      <c r="G438" s="26"/>
      <c r="H438" s="26"/>
      <c r="I438" s="25"/>
      <c r="J438" s="25"/>
      <c r="K438" s="25"/>
      <c r="L438" s="25"/>
      <c r="M438" s="25"/>
    </row>
    <row r="439" spans="1:13" ht="14.25" customHeight="1" x14ac:dyDescent="0.3">
      <c r="A439" s="25"/>
      <c r="B439" s="25"/>
      <c r="C439" s="26"/>
      <c r="D439" s="27"/>
      <c r="E439" s="26"/>
      <c r="F439" s="26"/>
      <c r="G439" s="26"/>
      <c r="H439" s="26"/>
      <c r="I439" s="25"/>
      <c r="J439" s="25"/>
      <c r="K439" s="25"/>
      <c r="L439" s="25"/>
      <c r="M439" s="25"/>
    </row>
    <row r="440" spans="1:13" ht="14.25" customHeight="1" x14ac:dyDescent="0.3">
      <c r="A440" s="25"/>
      <c r="B440" s="25"/>
      <c r="C440" s="26"/>
      <c r="D440" s="27"/>
      <c r="E440" s="26"/>
      <c r="F440" s="26"/>
      <c r="G440" s="26"/>
      <c r="H440" s="26"/>
      <c r="I440" s="25"/>
      <c r="J440" s="25"/>
      <c r="K440" s="25"/>
      <c r="L440" s="25"/>
      <c r="M440" s="25"/>
    </row>
    <row r="441" spans="1:13" ht="14.25" customHeight="1" x14ac:dyDescent="0.3">
      <c r="A441" s="25"/>
      <c r="B441" s="25"/>
      <c r="C441" s="26"/>
      <c r="D441" s="27"/>
      <c r="E441" s="26"/>
      <c r="F441" s="26"/>
      <c r="G441" s="26"/>
      <c r="H441" s="26"/>
      <c r="I441" s="25"/>
      <c r="J441" s="25"/>
      <c r="K441" s="25"/>
      <c r="L441" s="25"/>
      <c r="M441" s="25"/>
    </row>
    <row r="442" spans="1:13" ht="14.25" customHeight="1" x14ac:dyDescent="0.3">
      <c r="A442" s="25"/>
      <c r="B442" s="25"/>
      <c r="C442" s="26"/>
      <c r="D442" s="27"/>
      <c r="E442" s="26"/>
      <c r="F442" s="26"/>
      <c r="G442" s="26"/>
      <c r="H442" s="26"/>
      <c r="I442" s="25"/>
      <c r="J442" s="25"/>
      <c r="K442" s="25"/>
      <c r="L442" s="25"/>
      <c r="M442" s="25"/>
    </row>
    <row r="443" spans="1:13" ht="14.25" customHeight="1" x14ac:dyDescent="0.3">
      <c r="A443" s="25"/>
      <c r="B443" s="25"/>
      <c r="C443" s="26"/>
      <c r="D443" s="27"/>
      <c r="E443" s="26"/>
      <c r="F443" s="26"/>
      <c r="G443" s="26"/>
      <c r="H443" s="26"/>
      <c r="I443" s="25"/>
      <c r="J443" s="25"/>
      <c r="K443" s="25"/>
      <c r="L443" s="25"/>
      <c r="M443" s="25"/>
    </row>
    <row r="444" spans="1:13" ht="14.25" customHeight="1" x14ac:dyDescent="0.3">
      <c r="A444" s="25"/>
      <c r="B444" s="25"/>
      <c r="C444" s="26"/>
      <c r="D444" s="27"/>
      <c r="E444" s="26"/>
      <c r="F444" s="26"/>
      <c r="G444" s="26"/>
      <c r="H444" s="26"/>
      <c r="I444" s="25"/>
      <c r="J444" s="25"/>
      <c r="K444" s="25"/>
      <c r="L444" s="25"/>
      <c r="M444" s="25"/>
    </row>
    <row r="445" spans="1:13" ht="14.25" customHeight="1" x14ac:dyDescent="0.3">
      <c r="A445" s="25"/>
      <c r="B445" s="25"/>
      <c r="C445" s="26"/>
      <c r="D445" s="27"/>
      <c r="E445" s="26"/>
      <c r="F445" s="26"/>
      <c r="G445" s="26"/>
      <c r="H445" s="26"/>
      <c r="I445" s="25"/>
      <c r="J445" s="25"/>
      <c r="K445" s="25"/>
      <c r="L445" s="25"/>
      <c r="M445" s="25"/>
    </row>
    <row r="446" spans="1:13" ht="14.25" customHeight="1" x14ac:dyDescent="0.3">
      <c r="A446" s="25"/>
      <c r="B446" s="25"/>
      <c r="C446" s="26"/>
      <c r="D446" s="27"/>
      <c r="E446" s="26"/>
      <c r="F446" s="26"/>
      <c r="G446" s="26"/>
      <c r="H446" s="26"/>
      <c r="I446" s="25"/>
      <c r="J446" s="25"/>
      <c r="K446" s="25"/>
      <c r="L446" s="25"/>
      <c r="M446" s="25"/>
    </row>
    <row r="447" spans="1:13" ht="14.25" customHeight="1" x14ac:dyDescent="0.3">
      <c r="A447" s="25"/>
      <c r="B447" s="25"/>
      <c r="C447" s="26"/>
      <c r="D447" s="27"/>
      <c r="E447" s="26"/>
      <c r="F447" s="26"/>
      <c r="G447" s="26"/>
      <c r="H447" s="26"/>
      <c r="I447" s="25"/>
      <c r="J447" s="25"/>
      <c r="K447" s="25"/>
      <c r="L447" s="25"/>
      <c r="M447" s="25"/>
    </row>
    <row r="448" spans="1:13" ht="14.25" customHeight="1" x14ac:dyDescent="0.3">
      <c r="A448" s="25"/>
      <c r="B448" s="25"/>
      <c r="C448" s="26"/>
      <c r="D448" s="27"/>
      <c r="E448" s="26"/>
      <c r="F448" s="26"/>
      <c r="G448" s="26"/>
      <c r="H448" s="26"/>
      <c r="I448" s="25"/>
      <c r="J448" s="25"/>
      <c r="K448" s="25"/>
      <c r="L448" s="25"/>
      <c r="M448" s="25"/>
    </row>
    <row r="449" spans="1:13" ht="14.25" customHeight="1" x14ac:dyDescent="0.3">
      <c r="A449" s="25"/>
      <c r="B449" s="25"/>
      <c r="C449" s="26"/>
      <c r="D449" s="27"/>
      <c r="E449" s="26"/>
      <c r="F449" s="26"/>
      <c r="G449" s="26"/>
      <c r="H449" s="26"/>
      <c r="I449" s="25"/>
      <c r="J449" s="25"/>
      <c r="K449" s="25"/>
      <c r="L449" s="25"/>
      <c r="M449" s="25"/>
    </row>
    <row r="450" spans="1:13" ht="14.25" customHeight="1" x14ac:dyDescent="0.3">
      <c r="A450" s="25"/>
      <c r="B450" s="25"/>
      <c r="C450" s="26"/>
      <c r="D450" s="27"/>
      <c r="E450" s="26"/>
      <c r="F450" s="26"/>
      <c r="G450" s="26"/>
      <c r="H450" s="26"/>
      <c r="I450" s="25"/>
      <c r="J450" s="25"/>
      <c r="K450" s="25"/>
      <c r="L450" s="25"/>
      <c r="M450" s="25"/>
    </row>
    <row r="451" spans="1:13" ht="14.25" customHeight="1" x14ac:dyDescent="0.3">
      <c r="A451" s="25"/>
      <c r="B451" s="25"/>
      <c r="C451" s="26"/>
      <c r="D451" s="27"/>
      <c r="E451" s="26"/>
      <c r="F451" s="26"/>
      <c r="G451" s="26"/>
      <c r="H451" s="26"/>
      <c r="I451" s="25"/>
      <c r="J451" s="25"/>
      <c r="K451" s="25"/>
      <c r="L451" s="25"/>
      <c r="M451" s="25"/>
    </row>
    <row r="452" spans="1:13" ht="14.25" customHeight="1" x14ac:dyDescent="0.3">
      <c r="A452" s="25"/>
      <c r="B452" s="25"/>
      <c r="C452" s="26"/>
      <c r="D452" s="27"/>
      <c r="E452" s="26"/>
      <c r="F452" s="26"/>
      <c r="G452" s="26"/>
      <c r="H452" s="26"/>
      <c r="I452" s="25"/>
      <c r="J452" s="25"/>
      <c r="K452" s="25"/>
      <c r="L452" s="25"/>
      <c r="M452" s="25"/>
    </row>
    <row r="453" spans="1:13" ht="14.25" customHeight="1" x14ac:dyDescent="0.3">
      <c r="A453" s="25"/>
      <c r="B453" s="25"/>
      <c r="C453" s="26"/>
      <c r="D453" s="27"/>
      <c r="E453" s="26"/>
      <c r="F453" s="26"/>
      <c r="G453" s="26"/>
      <c r="H453" s="26"/>
      <c r="I453" s="25"/>
      <c r="J453" s="25"/>
      <c r="K453" s="25"/>
      <c r="L453" s="25"/>
      <c r="M453" s="25"/>
    </row>
    <row r="454" spans="1:13" ht="14.25" customHeight="1" x14ac:dyDescent="0.3">
      <c r="A454" s="25"/>
      <c r="B454" s="25"/>
      <c r="C454" s="26"/>
      <c r="D454" s="27"/>
      <c r="E454" s="26"/>
      <c r="F454" s="26"/>
      <c r="G454" s="26"/>
      <c r="H454" s="26"/>
      <c r="I454" s="25"/>
      <c r="J454" s="25"/>
      <c r="K454" s="25"/>
      <c r="L454" s="25"/>
      <c r="M454" s="25"/>
    </row>
    <row r="455" spans="1:13" ht="14.25" customHeight="1" x14ac:dyDescent="0.3">
      <c r="A455" s="25"/>
      <c r="B455" s="25"/>
      <c r="C455" s="26"/>
      <c r="D455" s="27"/>
      <c r="E455" s="26"/>
      <c r="F455" s="26"/>
      <c r="G455" s="26"/>
      <c r="H455" s="26"/>
      <c r="I455" s="25"/>
      <c r="J455" s="25"/>
      <c r="K455" s="25"/>
      <c r="L455" s="25"/>
      <c r="M455" s="25"/>
    </row>
    <row r="456" spans="1:13" ht="14.25" customHeight="1" x14ac:dyDescent="0.3">
      <c r="A456" s="25"/>
      <c r="B456" s="25"/>
      <c r="C456" s="26"/>
      <c r="D456" s="27"/>
      <c r="E456" s="26"/>
      <c r="F456" s="26"/>
      <c r="G456" s="26"/>
      <c r="H456" s="26"/>
      <c r="I456" s="25"/>
      <c r="J456" s="25"/>
      <c r="K456" s="25"/>
      <c r="L456" s="25"/>
      <c r="M456" s="25"/>
    </row>
    <row r="457" spans="1:13" ht="14.25" customHeight="1" x14ac:dyDescent="0.3">
      <c r="A457" s="25"/>
      <c r="B457" s="25"/>
      <c r="C457" s="26"/>
      <c r="D457" s="27"/>
      <c r="E457" s="26"/>
      <c r="F457" s="26"/>
      <c r="G457" s="26"/>
      <c r="H457" s="26"/>
      <c r="I457" s="25"/>
      <c r="J457" s="25"/>
      <c r="K457" s="25"/>
      <c r="L457" s="25"/>
      <c r="M457" s="25"/>
    </row>
    <row r="458" spans="1:13" ht="14.25" customHeight="1" x14ac:dyDescent="0.3">
      <c r="A458" s="25"/>
      <c r="B458" s="25"/>
      <c r="C458" s="26"/>
      <c r="D458" s="27"/>
      <c r="E458" s="26"/>
      <c r="F458" s="26"/>
      <c r="G458" s="26"/>
      <c r="H458" s="26"/>
      <c r="I458" s="25"/>
      <c r="J458" s="25"/>
      <c r="K458" s="25"/>
      <c r="L458" s="25"/>
      <c r="M458" s="25"/>
    </row>
    <row r="459" spans="1:13" ht="14.25" customHeight="1" x14ac:dyDescent="0.3">
      <c r="A459" s="25"/>
      <c r="B459" s="25"/>
      <c r="C459" s="26"/>
      <c r="D459" s="27"/>
      <c r="E459" s="26"/>
      <c r="F459" s="26"/>
      <c r="G459" s="26"/>
      <c r="H459" s="26"/>
      <c r="I459" s="25"/>
      <c r="J459" s="25"/>
      <c r="K459" s="25"/>
      <c r="L459" s="25"/>
      <c r="M459" s="25"/>
    </row>
    <row r="460" spans="1:13" ht="14.25" customHeight="1" x14ac:dyDescent="0.3">
      <c r="A460" s="25"/>
      <c r="B460" s="25"/>
      <c r="C460" s="26"/>
      <c r="D460" s="27"/>
      <c r="E460" s="26"/>
      <c r="F460" s="26"/>
      <c r="G460" s="26"/>
      <c r="H460" s="26"/>
      <c r="I460" s="25"/>
      <c r="J460" s="25"/>
      <c r="K460" s="25"/>
      <c r="L460" s="25"/>
      <c r="M460" s="25"/>
    </row>
    <row r="461" spans="1:13" ht="14.25" customHeight="1" x14ac:dyDescent="0.3">
      <c r="A461" s="25"/>
      <c r="B461" s="25"/>
      <c r="C461" s="26"/>
      <c r="D461" s="27"/>
      <c r="E461" s="26"/>
      <c r="F461" s="26"/>
      <c r="G461" s="26"/>
      <c r="H461" s="26"/>
      <c r="I461" s="25"/>
      <c r="J461" s="25"/>
      <c r="K461" s="25"/>
      <c r="L461" s="25"/>
      <c r="M461" s="25"/>
    </row>
    <row r="462" spans="1:13" ht="14.25" customHeight="1" x14ac:dyDescent="0.3">
      <c r="A462" s="25"/>
      <c r="B462" s="25"/>
      <c r="C462" s="26"/>
      <c r="D462" s="27"/>
      <c r="E462" s="26"/>
      <c r="F462" s="26"/>
      <c r="G462" s="26"/>
      <c r="H462" s="26"/>
      <c r="I462" s="25"/>
      <c r="J462" s="25"/>
      <c r="K462" s="25"/>
      <c r="L462" s="25"/>
      <c r="M462" s="25"/>
    </row>
    <row r="463" spans="1:13" ht="14.25" customHeight="1" x14ac:dyDescent="0.3">
      <c r="A463" s="25"/>
      <c r="B463" s="25"/>
      <c r="C463" s="26"/>
      <c r="D463" s="27"/>
      <c r="E463" s="26"/>
      <c r="F463" s="26"/>
      <c r="G463" s="26"/>
      <c r="H463" s="26"/>
      <c r="I463" s="25"/>
      <c r="J463" s="25"/>
      <c r="K463" s="25"/>
      <c r="L463" s="25"/>
      <c r="M463" s="25"/>
    </row>
    <row r="464" spans="1:13" ht="14.25" customHeight="1" x14ac:dyDescent="0.3">
      <c r="A464" s="25"/>
      <c r="B464" s="25"/>
      <c r="C464" s="26"/>
      <c r="D464" s="27"/>
      <c r="E464" s="26"/>
      <c r="F464" s="26"/>
      <c r="G464" s="26"/>
      <c r="H464" s="26"/>
      <c r="I464" s="25"/>
      <c r="J464" s="25"/>
      <c r="K464" s="25"/>
      <c r="L464" s="25"/>
      <c r="M464" s="25"/>
    </row>
    <row r="465" spans="1:13" ht="14.25" customHeight="1" x14ac:dyDescent="0.3">
      <c r="A465" s="25"/>
      <c r="B465" s="25"/>
      <c r="C465" s="26"/>
      <c r="D465" s="27"/>
      <c r="E465" s="26"/>
      <c r="F465" s="26"/>
      <c r="G465" s="26"/>
      <c r="H465" s="26"/>
      <c r="I465" s="25"/>
      <c r="J465" s="25"/>
      <c r="K465" s="25"/>
      <c r="L465" s="25"/>
      <c r="M465" s="25"/>
    </row>
    <row r="466" spans="1:13" ht="14.25" customHeight="1" x14ac:dyDescent="0.3">
      <c r="A466" s="25"/>
      <c r="B466" s="25"/>
      <c r="C466" s="26"/>
      <c r="D466" s="27"/>
      <c r="E466" s="26"/>
      <c r="F466" s="26"/>
      <c r="G466" s="26"/>
      <c r="H466" s="26"/>
      <c r="I466" s="25"/>
      <c r="J466" s="25"/>
      <c r="K466" s="25"/>
      <c r="L466" s="25"/>
      <c r="M466" s="25"/>
    </row>
    <row r="467" spans="1:13" ht="14.25" customHeight="1" x14ac:dyDescent="0.3">
      <c r="A467" s="25"/>
      <c r="B467" s="25"/>
      <c r="C467" s="26"/>
      <c r="D467" s="27"/>
      <c r="E467" s="26"/>
      <c r="F467" s="26"/>
      <c r="G467" s="26"/>
      <c r="H467" s="26"/>
      <c r="I467" s="25"/>
      <c r="J467" s="25"/>
      <c r="K467" s="25"/>
      <c r="L467" s="25"/>
      <c r="M467" s="25"/>
    </row>
    <row r="468" spans="1:13" ht="14.25" customHeight="1" x14ac:dyDescent="0.3">
      <c r="A468" s="25"/>
      <c r="B468" s="25"/>
      <c r="C468" s="26"/>
      <c r="D468" s="27"/>
      <c r="E468" s="26"/>
      <c r="F468" s="26"/>
      <c r="G468" s="26"/>
      <c r="H468" s="26"/>
      <c r="I468" s="25"/>
      <c r="J468" s="25"/>
      <c r="K468" s="25"/>
      <c r="L468" s="25"/>
      <c r="M468" s="25"/>
    </row>
    <row r="469" spans="1:13" ht="14.25" customHeight="1" x14ac:dyDescent="0.3">
      <c r="A469" s="25"/>
      <c r="B469" s="25"/>
      <c r="C469" s="26"/>
      <c r="D469" s="27"/>
      <c r="E469" s="26"/>
      <c r="F469" s="26"/>
      <c r="G469" s="26"/>
      <c r="H469" s="26"/>
      <c r="I469" s="25"/>
      <c r="J469" s="25"/>
      <c r="K469" s="25"/>
      <c r="L469" s="25"/>
      <c r="M469" s="25"/>
    </row>
    <row r="470" spans="1:13" ht="14.25" customHeight="1" x14ac:dyDescent="0.3">
      <c r="A470" s="25"/>
      <c r="B470" s="25"/>
      <c r="C470" s="26"/>
      <c r="D470" s="27"/>
      <c r="E470" s="26"/>
      <c r="F470" s="26"/>
      <c r="G470" s="26"/>
      <c r="H470" s="26"/>
      <c r="I470" s="25"/>
      <c r="J470" s="25"/>
      <c r="K470" s="25"/>
      <c r="L470" s="25"/>
      <c r="M470" s="25"/>
    </row>
    <row r="471" spans="1:13" ht="14.25" customHeight="1" x14ac:dyDescent="0.3">
      <c r="A471" s="25"/>
      <c r="B471" s="25"/>
      <c r="C471" s="26"/>
      <c r="D471" s="27"/>
      <c r="E471" s="26"/>
      <c r="F471" s="26"/>
      <c r="G471" s="26"/>
      <c r="H471" s="26"/>
      <c r="I471" s="25"/>
      <c r="J471" s="25"/>
      <c r="K471" s="25"/>
      <c r="L471" s="25"/>
      <c r="M471" s="25"/>
    </row>
    <row r="472" spans="1:13" ht="14.25" customHeight="1" x14ac:dyDescent="0.3">
      <c r="A472" s="25"/>
      <c r="B472" s="25"/>
      <c r="C472" s="26"/>
      <c r="D472" s="27"/>
      <c r="E472" s="26"/>
      <c r="F472" s="26"/>
      <c r="G472" s="26"/>
      <c r="H472" s="26"/>
      <c r="I472" s="25"/>
      <c r="J472" s="25"/>
      <c r="K472" s="25"/>
      <c r="L472" s="25"/>
      <c r="M472" s="25"/>
    </row>
    <row r="473" spans="1:13" ht="14.25" customHeight="1" x14ac:dyDescent="0.3">
      <c r="A473" s="25"/>
      <c r="B473" s="25"/>
      <c r="C473" s="26"/>
      <c r="D473" s="27"/>
      <c r="E473" s="26"/>
      <c r="F473" s="26"/>
      <c r="G473" s="26"/>
      <c r="H473" s="26"/>
      <c r="I473" s="25"/>
      <c r="J473" s="25"/>
      <c r="K473" s="25"/>
      <c r="L473" s="25"/>
      <c r="M473" s="25"/>
    </row>
    <row r="474" spans="1:13" ht="14.25" customHeight="1" x14ac:dyDescent="0.3">
      <c r="A474" s="25"/>
      <c r="B474" s="25"/>
      <c r="C474" s="26"/>
      <c r="D474" s="27"/>
      <c r="E474" s="26"/>
      <c r="F474" s="26"/>
      <c r="G474" s="26"/>
      <c r="H474" s="26"/>
      <c r="I474" s="25"/>
      <c r="J474" s="25"/>
      <c r="K474" s="25"/>
      <c r="L474" s="25"/>
      <c r="M474" s="25"/>
    </row>
    <row r="475" spans="1:13" ht="14.25" customHeight="1" x14ac:dyDescent="0.3">
      <c r="A475" s="25"/>
      <c r="B475" s="25"/>
      <c r="C475" s="26"/>
      <c r="D475" s="27"/>
      <c r="E475" s="26"/>
      <c r="F475" s="26"/>
      <c r="G475" s="26"/>
      <c r="H475" s="26"/>
      <c r="I475" s="25"/>
      <c r="J475" s="25"/>
      <c r="K475" s="25"/>
      <c r="L475" s="25"/>
      <c r="M475" s="25"/>
    </row>
    <row r="476" spans="1:13" ht="14.25" customHeight="1" x14ac:dyDescent="0.3">
      <c r="A476" s="25"/>
      <c r="B476" s="25"/>
      <c r="C476" s="26"/>
      <c r="D476" s="27"/>
      <c r="E476" s="26"/>
      <c r="F476" s="26"/>
      <c r="G476" s="26"/>
      <c r="H476" s="26"/>
      <c r="I476" s="25"/>
      <c r="J476" s="25"/>
      <c r="K476" s="25"/>
      <c r="L476" s="25"/>
      <c r="M476" s="25"/>
    </row>
    <row r="477" spans="1:13" ht="14.25" customHeight="1" x14ac:dyDescent="0.3">
      <c r="A477" s="25"/>
      <c r="B477" s="25"/>
      <c r="C477" s="26"/>
      <c r="D477" s="27"/>
      <c r="E477" s="26"/>
      <c r="F477" s="26"/>
      <c r="G477" s="26"/>
      <c r="H477" s="26"/>
      <c r="I477" s="25"/>
      <c r="J477" s="25"/>
      <c r="K477" s="25"/>
      <c r="L477" s="25"/>
      <c r="M477" s="25"/>
    </row>
    <row r="478" spans="1:13" ht="14.25" customHeight="1" x14ac:dyDescent="0.3">
      <c r="A478" s="25"/>
      <c r="B478" s="25"/>
      <c r="C478" s="26"/>
      <c r="D478" s="27"/>
      <c r="E478" s="26"/>
      <c r="F478" s="26"/>
      <c r="G478" s="26"/>
      <c r="H478" s="26"/>
      <c r="I478" s="25"/>
      <c r="J478" s="25"/>
      <c r="K478" s="25"/>
      <c r="L478" s="25"/>
      <c r="M478" s="25"/>
    </row>
    <row r="479" spans="1:13" ht="14.25" customHeight="1" x14ac:dyDescent="0.3">
      <c r="A479" s="25"/>
      <c r="B479" s="25"/>
      <c r="C479" s="26"/>
      <c r="D479" s="27"/>
      <c r="E479" s="26"/>
      <c r="F479" s="26"/>
      <c r="G479" s="26"/>
      <c r="H479" s="26"/>
      <c r="I479" s="25"/>
      <c r="J479" s="25"/>
      <c r="K479" s="25"/>
      <c r="L479" s="25"/>
      <c r="M479" s="25"/>
    </row>
    <row r="480" spans="1:13" ht="14.25" customHeight="1" x14ac:dyDescent="0.3">
      <c r="A480" s="25"/>
      <c r="B480" s="25"/>
      <c r="C480" s="26"/>
      <c r="D480" s="27"/>
      <c r="E480" s="26"/>
      <c r="F480" s="26"/>
      <c r="G480" s="26"/>
      <c r="H480" s="26"/>
      <c r="I480" s="25"/>
      <c r="J480" s="25"/>
      <c r="K480" s="25"/>
      <c r="L480" s="25"/>
      <c r="M480" s="25"/>
    </row>
    <row r="481" spans="1:13" ht="14.25" customHeight="1" x14ac:dyDescent="0.3">
      <c r="A481" s="25"/>
      <c r="B481" s="25"/>
      <c r="C481" s="26"/>
      <c r="D481" s="27"/>
      <c r="E481" s="26"/>
      <c r="F481" s="26"/>
      <c r="G481" s="26"/>
      <c r="H481" s="26"/>
      <c r="I481" s="25"/>
      <c r="J481" s="25"/>
      <c r="K481" s="25"/>
      <c r="L481" s="25"/>
      <c r="M481" s="25"/>
    </row>
    <row r="482" spans="1:13" ht="14.25" customHeight="1" x14ac:dyDescent="0.3">
      <c r="A482" s="25"/>
      <c r="B482" s="25"/>
      <c r="C482" s="26"/>
      <c r="D482" s="27"/>
      <c r="E482" s="26"/>
      <c r="F482" s="26"/>
      <c r="G482" s="26"/>
      <c r="H482" s="26"/>
      <c r="I482" s="25"/>
      <c r="J482" s="25"/>
      <c r="K482" s="25"/>
      <c r="L482" s="25"/>
      <c r="M482" s="25"/>
    </row>
    <row r="483" spans="1:13" ht="14.25" customHeight="1" x14ac:dyDescent="0.3">
      <c r="A483" s="25"/>
      <c r="B483" s="25"/>
      <c r="C483" s="26"/>
      <c r="D483" s="27"/>
      <c r="E483" s="26"/>
      <c r="F483" s="26"/>
      <c r="G483" s="26"/>
      <c r="H483" s="26"/>
      <c r="I483" s="25"/>
      <c r="J483" s="25"/>
      <c r="K483" s="25"/>
      <c r="L483" s="25"/>
      <c r="M483" s="25"/>
    </row>
    <row r="484" spans="1:13" ht="14.25" customHeight="1" x14ac:dyDescent="0.3">
      <c r="A484" s="25"/>
      <c r="B484" s="25"/>
      <c r="C484" s="26"/>
      <c r="D484" s="27"/>
      <c r="E484" s="26"/>
      <c r="F484" s="26"/>
      <c r="G484" s="26"/>
      <c r="H484" s="26"/>
      <c r="I484" s="25"/>
      <c r="J484" s="25"/>
      <c r="K484" s="25"/>
      <c r="L484" s="25"/>
      <c r="M484" s="25"/>
    </row>
    <row r="485" spans="1:13" ht="14.25" customHeight="1" x14ac:dyDescent="0.3">
      <c r="A485" s="25"/>
      <c r="B485" s="25"/>
      <c r="C485" s="26"/>
      <c r="D485" s="27"/>
      <c r="E485" s="26"/>
      <c r="F485" s="26"/>
      <c r="G485" s="26"/>
      <c r="H485" s="26"/>
      <c r="I485" s="25"/>
      <c r="J485" s="25"/>
      <c r="K485" s="25"/>
      <c r="L485" s="25"/>
      <c r="M485" s="25"/>
    </row>
    <row r="486" spans="1:13" ht="14.25" customHeight="1" x14ac:dyDescent="0.3">
      <c r="A486" s="25"/>
      <c r="B486" s="25"/>
      <c r="C486" s="26"/>
      <c r="D486" s="27"/>
      <c r="E486" s="26"/>
      <c r="F486" s="26"/>
      <c r="G486" s="26"/>
      <c r="H486" s="26"/>
      <c r="I486" s="25"/>
      <c r="J486" s="25"/>
      <c r="K486" s="25"/>
      <c r="L486" s="25"/>
      <c r="M486" s="25"/>
    </row>
    <row r="487" spans="1:13" ht="14.25" customHeight="1" x14ac:dyDescent="0.3">
      <c r="A487" s="25"/>
      <c r="B487" s="25"/>
      <c r="C487" s="26"/>
      <c r="D487" s="27"/>
      <c r="E487" s="26"/>
      <c r="F487" s="26"/>
      <c r="G487" s="26"/>
      <c r="H487" s="26"/>
      <c r="I487" s="25"/>
      <c r="J487" s="25"/>
      <c r="K487" s="25"/>
      <c r="L487" s="25"/>
      <c r="M487" s="25"/>
    </row>
    <row r="488" spans="1:13" ht="14.25" customHeight="1" x14ac:dyDescent="0.3">
      <c r="A488" s="25"/>
      <c r="B488" s="25"/>
      <c r="C488" s="26"/>
      <c r="D488" s="27"/>
      <c r="E488" s="26"/>
      <c r="F488" s="26"/>
      <c r="G488" s="26"/>
      <c r="H488" s="26"/>
      <c r="I488" s="25"/>
      <c r="J488" s="25"/>
      <c r="K488" s="25"/>
      <c r="L488" s="25"/>
      <c r="M488" s="25"/>
    </row>
    <row r="489" spans="1:13" ht="14.25" customHeight="1" x14ac:dyDescent="0.3">
      <c r="A489" s="25"/>
      <c r="B489" s="25"/>
      <c r="C489" s="26"/>
      <c r="D489" s="27"/>
      <c r="E489" s="26"/>
      <c r="F489" s="26"/>
      <c r="G489" s="26"/>
      <c r="H489" s="26"/>
      <c r="I489" s="25"/>
      <c r="J489" s="25"/>
      <c r="K489" s="25"/>
      <c r="L489" s="25"/>
      <c r="M489" s="25"/>
    </row>
    <row r="490" spans="1:13" ht="14.25" customHeight="1" x14ac:dyDescent="0.3">
      <c r="A490" s="25"/>
      <c r="B490" s="25"/>
      <c r="C490" s="26"/>
      <c r="D490" s="27"/>
      <c r="E490" s="26"/>
      <c r="F490" s="26"/>
      <c r="G490" s="26"/>
      <c r="H490" s="26"/>
      <c r="I490" s="25"/>
      <c r="J490" s="25"/>
      <c r="K490" s="25"/>
      <c r="L490" s="25"/>
      <c r="M490" s="25"/>
    </row>
    <row r="491" spans="1:13" ht="14.25" customHeight="1" x14ac:dyDescent="0.3">
      <c r="A491" s="25"/>
      <c r="B491" s="25"/>
      <c r="C491" s="26"/>
      <c r="D491" s="27"/>
      <c r="E491" s="26"/>
      <c r="F491" s="26"/>
      <c r="G491" s="26"/>
      <c r="H491" s="26"/>
      <c r="I491" s="25"/>
      <c r="J491" s="25"/>
      <c r="K491" s="25"/>
      <c r="L491" s="25"/>
      <c r="M491" s="25"/>
    </row>
    <row r="492" spans="1:13" ht="14.25" customHeight="1" x14ac:dyDescent="0.3">
      <c r="A492" s="25"/>
      <c r="B492" s="25"/>
      <c r="C492" s="26"/>
      <c r="D492" s="27"/>
      <c r="E492" s="26"/>
      <c r="F492" s="26"/>
      <c r="G492" s="26"/>
      <c r="H492" s="26"/>
      <c r="I492" s="25"/>
      <c r="J492" s="25"/>
      <c r="K492" s="25"/>
      <c r="L492" s="25"/>
      <c r="M492" s="25"/>
    </row>
    <row r="493" spans="1:13" ht="14.25" customHeight="1" x14ac:dyDescent="0.3">
      <c r="A493" s="25"/>
      <c r="B493" s="25"/>
      <c r="C493" s="26"/>
      <c r="D493" s="27"/>
      <c r="E493" s="26"/>
      <c r="F493" s="26"/>
      <c r="G493" s="26"/>
      <c r="H493" s="26"/>
      <c r="I493" s="25"/>
      <c r="J493" s="25"/>
      <c r="K493" s="25"/>
      <c r="L493" s="25"/>
      <c r="M493" s="25"/>
    </row>
    <row r="494" spans="1:13" ht="14.25" customHeight="1" x14ac:dyDescent="0.3">
      <c r="A494" s="25"/>
      <c r="B494" s="25"/>
      <c r="C494" s="26"/>
      <c r="D494" s="27"/>
      <c r="E494" s="26"/>
      <c r="F494" s="26"/>
      <c r="G494" s="26"/>
      <c r="H494" s="26"/>
      <c r="I494" s="25"/>
      <c r="J494" s="25"/>
      <c r="K494" s="25"/>
      <c r="L494" s="25"/>
      <c r="M494" s="25"/>
    </row>
    <row r="495" spans="1:13" ht="14.25" customHeight="1" x14ac:dyDescent="0.3">
      <c r="A495" s="25"/>
      <c r="B495" s="25"/>
      <c r="C495" s="26"/>
      <c r="D495" s="27"/>
      <c r="E495" s="26"/>
      <c r="F495" s="26"/>
      <c r="G495" s="26"/>
      <c r="H495" s="26"/>
      <c r="I495" s="25"/>
      <c r="J495" s="25"/>
      <c r="K495" s="25"/>
      <c r="L495" s="25"/>
      <c r="M495" s="25"/>
    </row>
    <row r="496" spans="1:13" ht="14.25" customHeight="1" x14ac:dyDescent="0.3">
      <c r="A496" s="25"/>
      <c r="B496" s="25"/>
      <c r="C496" s="26"/>
      <c r="D496" s="27"/>
      <c r="E496" s="26"/>
      <c r="F496" s="26"/>
      <c r="G496" s="26"/>
      <c r="H496" s="26"/>
      <c r="I496" s="25"/>
      <c r="J496" s="25"/>
      <c r="K496" s="25"/>
      <c r="L496" s="25"/>
      <c r="M496" s="25"/>
    </row>
    <row r="497" spans="1:13" ht="14.25" customHeight="1" x14ac:dyDescent="0.3">
      <c r="A497" s="25"/>
      <c r="B497" s="25"/>
      <c r="C497" s="26"/>
      <c r="D497" s="27"/>
      <c r="E497" s="26"/>
      <c r="F497" s="26"/>
      <c r="G497" s="26"/>
      <c r="H497" s="26"/>
      <c r="I497" s="25"/>
      <c r="J497" s="25"/>
      <c r="K497" s="25"/>
      <c r="L497" s="25"/>
      <c r="M497" s="25"/>
    </row>
    <row r="498" spans="1:13" ht="14.25" customHeight="1" x14ac:dyDescent="0.3">
      <c r="A498" s="25"/>
      <c r="B498" s="25"/>
      <c r="C498" s="26"/>
      <c r="D498" s="27"/>
      <c r="E498" s="26"/>
      <c r="F498" s="26"/>
      <c r="G498" s="26"/>
      <c r="H498" s="26"/>
      <c r="I498" s="25"/>
      <c r="J498" s="25"/>
      <c r="K498" s="25"/>
      <c r="L498" s="25"/>
      <c r="M498" s="25"/>
    </row>
    <row r="499" spans="1:13" ht="14.25" customHeight="1" x14ac:dyDescent="0.3">
      <c r="A499" s="25"/>
      <c r="B499" s="25"/>
      <c r="C499" s="26"/>
      <c r="D499" s="27"/>
      <c r="E499" s="26"/>
      <c r="F499" s="26"/>
      <c r="G499" s="26"/>
      <c r="H499" s="26"/>
      <c r="I499" s="25"/>
      <c r="J499" s="25"/>
      <c r="K499" s="25"/>
      <c r="L499" s="25"/>
      <c r="M499" s="25"/>
    </row>
    <row r="500" spans="1:13" ht="14.25" customHeight="1" x14ac:dyDescent="0.3">
      <c r="A500" s="25"/>
      <c r="B500" s="25"/>
      <c r="C500" s="26"/>
      <c r="D500" s="27"/>
      <c r="E500" s="26"/>
      <c r="F500" s="26"/>
      <c r="G500" s="26"/>
      <c r="H500" s="26"/>
      <c r="I500" s="25"/>
      <c r="J500" s="25"/>
      <c r="K500" s="25"/>
      <c r="L500" s="25"/>
      <c r="M500" s="25"/>
    </row>
    <row r="501" spans="1:13" ht="14.25" customHeight="1" x14ac:dyDescent="0.3">
      <c r="A501" s="25"/>
      <c r="B501" s="25"/>
      <c r="C501" s="26"/>
      <c r="D501" s="27"/>
      <c r="E501" s="26"/>
      <c r="F501" s="26"/>
      <c r="G501" s="26"/>
      <c r="H501" s="26"/>
      <c r="I501" s="25"/>
      <c r="J501" s="25"/>
      <c r="K501" s="25"/>
      <c r="L501" s="25"/>
      <c r="M501" s="25"/>
    </row>
    <row r="502" spans="1:13" ht="14.25" customHeight="1" x14ac:dyDescent="0.3">
      <c r="A502" s="25"/>
      <c r="B502" s="25"/>
      <c r="C502" s="26"/>
      <c r="D502" s="27"/>
      <c r="E502" s="26"/>
      <c r="F502" s="26"/>
      <c r="G502" s="26"/>
      <c r="H502" s="26"/>
      <c r="I502" s="25"/>
      <c r="J502" s="25"/>
      <c r="K502" s="25"/>
      <c r="L502" s="25"/>
      <c r="M502" s="25"/>
    </row>
    <row r="503" spans="1:13" ht="14.25" customHeight="1" x14ac:dyDescent="0.3">
      <c r="A503" s="25"/>
      <c r="B503" s="25"/>
      <c r="C503" s="26"/>
      <c r="D503" s="27"/>
      <c r="E503" s="26"/>
      <c r="F503" s="26"/>
      <c r="G503" s="26"/>
      <c r="H503" s="26"/>
      <c r="I503" s="25"/>
      <c r="J503" s="25"/>
      <c r="K503" s="25"/>
      <c r="L503" s="25"/>
      <c r="M503" s="25"/>
    </row>
    <row r="504" spans="1:13" ht="14.25" customHeight="1" x14ac:dyDescent="0.3">
      <c r="A504" s="25"/>
      <c r="B504" s="25"/>
      <c r="C504" s="26"/>
      <c r="D504" s="27"/>
      <c r="E504" s="26"/>
      <c r="F504" s="26"/>
      <c r="G504" s="26"/>
      <c r="H504" s="26"/>
      <c r="I504" s="25"/>
      <c r="J504" s="25"/>
      <c r="K504" s="25"/>
      <c r="L504" s="25"/>
      <c r="M504" s="25"/>
    </row>
    <row r="505" spans="1:13" ht="14.25" customHeight="1" x14ac:dyDescent="0.3">
      <c r="A505" s="25"/>
      <c r="B505" s="25"/>
      <c r="C505" s="26"/>
      <c r="D505" s="27"/>
      <c r="E505" s="26"/>
      <c r="F505" s="26"/>
      <c r="G505" s="26"/>
      <c r="H505" s="26"/>
      <c r="I505" s="25"/>
      <c r="J505" s="25"/>
      <c r="K505" s="25"/>
      <c r="L505" s="25"/>
      <c r="M505" s="25"/>
    </row>
    <row r="506" spans="1:13" ht="14.25" customHeight="1" x14ac:dyDescent="0.3">
      <c r="A506" s="25"/>
      <c r="B506" s="25"/>
      <c r="C506" s="26"/>
      <c r="D506" s="27"/>
      <c r="E506" s="26"/>
      <c r="F506" s="26"/>
      <c r="G506" s="26"/>
      <c r="H506" s="26"/>
      <c r="I506" s="25"/>
      <c r="J506" s="25"/>
      <c r="K506" s="25"/>
      <c r="L506" s="25"/>
      <c r="M506" s="25"/>
    </row>
    <row r="507" spans="1:13" ht="14.25" customHeight="1" x14ac:dyDescent="0.3">
      <c r="A507" s="25"/>
      <c r="B507" s="25"/>
      <c r="C507" s="26"/>
      <c r="D507" s="27"/>
      <c r="E507" s="26"/>
      <c r="F507" s="26"/>
      <c r="G507" s="26"/>
      <c r="H507" s="26"/>
      <c r="I507" s="25"/>
      <c r="J507" s="25"/>
      <c r="K507" s="25"/>
      <c r="L507" s="25"/>
      <c r="M507" s="25"/>
    </row>
    <row r="508" spans="1:13" ht="14.25" customHeight="1" x14ac:dyDescent="0.3">
      <c r="A508" s="25"/>
      <c r="B508" s="25"/>
      <c r="C508" s="26"/>
      <c r="D508" s="27"/>
      <c r="E508" s="26"/>
      <c r="F508" s="26"/>
      <c r="G508" s="26"/>
      <c r="H508" s="26"/>
      <c r="I508" s="25"/>
      <c r="J508" s="25"/>
      <c r="K508" s="25"/>
      <c r="L508" s="25"/>
      <c r="M508" s="25"/>
    </row>
    <row r="509" spans="1:13" ht="14.25" customHeight="1" x14ac:dyDescent="0.3">
      <c r="A509" s="25"/>
      <c r="B509" s="25"/>
      <c r="C509" s="26"/>
      <c r="D509" s="27"/>
      <c r="E509" s="26"/>
      <c r="F509" s="26"/>
      <c r="G509" s="26"/>
      <c r="H509" s="26"/>
      <c r="I509" s="25"/>
      <c r="J509" s="25"/>
      <c r="K509" s="25"/>
      <c r="L509" s="25"/>
      <c r="M509" s="25"/>
    </row>
    <row r="510" spans="1:13" ht="14.25" customHeight="1" x14ac:dyDescent="0.3">
      <c r="A510" s="25"/>
      <c r="B510" s="25"/>
      <c r="C510" s="26"/>
      <c r="D510" s="27"/>
      <c r="E510" s="26"/>
      <c r="F510" s="26"/>
      <c r="G510" s="26"/>
      <c r="H510" s="26"/>
      <c r="I510" s="25"/>
      <c r="J510" s="25"/>
      <c r="K510" s="25"/>
      <c r="L510" s="25"/>
      <c r="M510" s="25"/>
    </row>
    <row r="511" spans="1:13" ht="14.25" customHeight="1" x14ac:dyDescent="0.3">
      <c r="A511" s="25"/>
      <c r="B511" s="25"/>
      <c r="C511" s="26"/>
      <c r="D511" s="27"/>
      <c r="E511" s="26"/>
      <c r="F511" s="26"/>
      <c r="G511" s="26"/>
      <c r="H511" s="26"/>
      <c r="I511" s="25"/>
      <c r="J511" s="25"/>
      <c r="K511" s="25"/>
      <c r="L511" s="25"/>
      <c r="M511" s="25"/>
    </row>
    <row r="512" spans="1:13" ht="14.25" customHeight="1" x14ac:dyDescent="0.3">
      <c r="A512" s="25"/>
      <c r="B512" s="25"/>
      <c r="C512" s="26"/>
      <c r="D512" s="27"/>
      <c r="E512" s="26"/>
      <c r="F512" s="26"/>
      <c r="G512" s="26"/>
      <c r="H512" s="26"/>
      <c r="I512" s="25"/>
      <c r="J512" s="25"/>
      <c r="K512" s="25"/>
      <c r="L512" s="25"/>
      <c r="M512" s="25"/>
    </row>
    <row r="513" spans="1:13" ht="14.25" customHeight="1" x14ac:dyDescent="0.3">
      <c r="A513" s="25"/>
      <c r="B513" s="25"/>
      <c r="C513" s="26"/>
      <c r="D513" s="27"/>
      <c r="E513" s="26"/>
      <c r="F513" s="26"/>
      <c r="G513" s="26"/>
      <c r="H513" s="26"/>
      <c r="I513" s="25"/>
      <c r="J513" s="25"/>
      <c r="K513" s="25"/>
      <c r="L513" s="25"/>
      <c r="M513" s="25"/>
    </row>
    <row r="514" spans="1:13" ht="14.25" customHeight="1" x14ac:dyDescent="0.3">
      <c r="A514" s="25"/>
      <c r="B514" s="25"/>
      <c r="C514" s="26"/>
      <c r="D514" s="27"/>
      <c r="E514" s="26"/>
      <c r="F514" s="26"/>
      <c r="G514" s="26"/>
      <c r="H514" s="26"/>
      <c r="I514" s="25"/>
      <c r="J514" s="25"/>
      <c r="K514" s="25"/>
      <c r="L514" s="25"/>
      <c r="M514" s="25"/>
    </row>
    <row r="515" spans="1:13" ht="14.25" customHeight="1" x14ac:dyDescent="0.3">
      <c r="A515" s="25"/>
      <c r="B515" s="25"/>
      <c r="C515" s="26"/>
      <c r="D515" s="27"/>
      <c r="E515" s="26"/>
      <c r="F515" s="26"/>
      <c r="G515" s="26"/>
      <c r="H515" s="26"/>
      <c r="I515" s="25"/>
      <c r="J515" s="25"/>
      <c r="K515" s="25"/>
      <c r="L515" s="25"/>
      <c r="M515" s="25"/>
    </row>
    <row r="516" spans="1:13" ht="14.25" customHeight="1" x14ac:dyDescent="0.3">
      <c r="A516" s="25"/>
      <c r="B516" s="25"/>
      <c r="C516" s="26"/>
      <c r="D516" s="27"/>
      <c r="E516" s="26"/>
      <c r="F516" s="26"/>
      <c r="G516" s="26"/>
      <c r="H516" s="26"/>
      <c r="I516" s="25"/>
      <c r="J516" s="25"/>
      <c r="K516" s="25"/>
      <c r="L516" s="25"/>
      <c r="M516" s="25"/>
    </row>
    <row r="517" spans="1:13" ht="14.25" customHeight="1" x14ac:dyDescent="0.3">
      <c r="A517" s="25"/>
      <c r="B517" s="25"/>
      <c r="C517" s="26"/>
      <c r="D517" s="27"/>
      <c r="E517" s="26"/>
      <c r="F517" s="26"/>
      <c r="G517" s="26"/>
      <c r="H517" s="26"/>
      <c r="I517" s="25"/>
      <c r="J517" s="25"/>
      <c r="K517" s="25"/>
      <c r="L517" s="25"/>
      <c r="M517" s="25"/>
    </row>
    <row r="518" spans="1:13" ht="14.25" customHeight="1" x14ac:dyDescent="0.3">
      <c r="A518" s="25"/>
      <c r="B518" s="25"/>
      <c r="C518" s="26"/>
      <c r="D518" s="27"/>
      <c r="E518" s="26"/>
      <c r="F518" s="26"/>
      <c r="G518" s="26"/>
      <c r="H518" s="26"/>
      <c r="I518" s="25"/>
      <c r="J518" s="25"/>
      <c r="K518" s="25"/>
      <c r="L518" s="25"/>
      <c r="M518" s="25"/>
    </row>
    <row r="519" spans="1:13" ht="14.25" customHeight="1" x14ac:dyDescent="0.3">
      <c r="A519" s="25"/>
      <c r="B519" s="25"/>
      <c r="C519" s="26"/>
      <c r="D519" s="27"/>
      <c r="E519" s="26"/>
      <c r="F519" s="26"/>
      <c r="G519" s="26"/>
      <c r="H519" s="26"/>
      <c r="I519" s="25"/>
      <c r="J519" s="25"/>
      <c r="K519" s="25"/>
      <c r="L519" s="25"/>
      <c r="M519" s="25"/>
    </row>
    <row r="520" spans="1:13" ht="14.25" customHeight="1" x14ac:dyDescent="0.3">
      <c r="A520" s="25"/>
      <c r="B520" s="25"/>
      <c r="C520" s="26"/>
      <c r="D520" s="27"/>
      <c r="E520" s="26"/>
      <c r="F520" s="26"/>
      <c r="G520" s="26"/>
      <c r="H520" s="26"/>
      <c r="I520" s="25"/>
      <c r="J520" s="25"/>
      <c r="K520" s="25"/>
      <c r="L520" s="25"/>
      <c r="M520" s="25"/>
    </row>
    <row r="521" spans="1:13" ht="14.25" customHeight="1" x14ac:dyDescent="0.3">
      <c r="A521" s="25"/>
      <c r="B521" s="25"/>
      <c r="C521" s="26"/>
      <c r="D521" s="27"/>
      <c r="E521" s="26"/>
      <c r="F521" s="26"/>
      <c r="G521" s="26"/>
      <c r="H521" s="26"/>
      <c r="I521" s="25"/>
      <c r="J521" s="25"/>
      <c r="K521" s="25"/>
      <c r="L521" s="25"/>
      <c r="M521" s="25"/>
    </row>
    <row r="522" spans="1:13" ht="14.25" customHeight="1" x14ac:dyDescent="0.3">
      <c r="A522" s="25"/>
      <c r="B522" s="25"/>
      <c r="C522" s="26"/>
      <c r="D522" s="27"/>
      <c r="E522" s="26"/>
      <c r="F522" s="26"/>
      <c r="G522" s="26"/>
      <c r="H522" s="26"/>
      <c r="I522" s="25"/>
      <c r="J522" s="25"/>
      <c r="K522" s="25"/>
      <c r="L522" s="25"/>
      <c r="M522" s="25"/>
    </row>
    <row r="523" spans="1:13" ht="14.25" customHeight="1" x14ac:dyDescent="0.3">
      <c r="A523" s="25"/>
      <c r="B523" s="25"/>
      <c r="C523" s="26"/>
      <c r="D523" s="27"/>
      <c r="E523" s="26"/>
      <c r="F523" s="26"/>
      <c r="G523" s="26"/>
      <c r="H523" s="26"/>
      <c r="I523" s="25"/>
      <c r="J523" s="25"/>
      <c r="K523" s="25"/>
      <c r="L523" s="25"/>
      <c r="M523" s="25"/>
    </row>
    <row r="524" spans="1:13" ht="14.25" customHeight="1" x14ac:dyDescent="0.3">
      <c r="A524" s="25"/>
      <c r="B524" s="25"/>
      <c r="C524" s="26"/>
      <c r="D524" s="27"/>
      <c r="E524" s="26"/>
      <c r="F524" s="26"/>
      <c r="G524" s="26"/>
      <c r="H524" s="26"/>
      <c r="I524" s="25"/>
      <c r="J524" s="25"/>
      <c r="K524" s="25"/>
      <c r="L524" s="25"/>
      <c r="M524" s="25"/>
    </row>
    <row r="525" spans="1:13" ht="14.25" customHeight="1" x14ac:dyDescent="0.3">
      <c r="A525" s="25"/>
      <c r="B525" s="25"/>
      <c r="C525" s="26"/>
      <c r="D525" s="27"/>
      <c r="E525" s="26"/>
      <c r="F525" s="26"/>
      <c r="G525" s="26"/>
      <c r="H525" s="26"/>
      <c r="I525" s="25"/>
      <c r="J525" s="25"/>
      <c r="K525" s="25"/>
      <c r="L525" s="25"/>
      <c r="M525" s="25"/>
    </row>
    <row r="526" spans="1:13" ht="14.25" customHeight="1" x14ac:dyDescent="0.3">
      <c r="A526" s="25"/>
      <c r="B526" s="25"/>
      <c r="C526" s="26"/>
      <c r="D526" s="27"/>
      <c r="E526" s="26"/>
      <c r="F526" s="26"/>
      <c r="G526" s="26"/>
      <c r="H526" s="26"/>
      <c r="I526" s="25"/>
      <c r="J526" s="25"/>
      <c r="K526" s="25"/>
      <c r="L526" s="25"/>
      <c r="M526" s="25"/>
    </row>
    <row r="527" spans="1:13" ht="14.25" customHeight="1" x14ac:dyDescent="0.3">
      <c r="A527" s="25"/>
      <c r="B527" s="25"/>
      <c r="C527" s="26"/>
      <c r="D527" s="27"/>
      <c r="E527" s="26"/>
      <c r="F527" s="26"/>
      <c r="G527" s="26"/>
      <c r="H527" s="26"/>
      <c r="I527" s="25"/>
      <c r="J527" s="25"/>
      <c r="K527" s="25"/>
      <c r="L527" s="25"/>
      <c r="M527" s="25"/>
    </row>
    <row r="528" spans="1:13" ht="14.25" customHeight="1" x14ac:dyDescent="0.3">
      <c r="A528" s="25"/>
      <c r="B528" s="25"/>
      <c r="C528" s="26"/>
      <c r="D528" s="27"/>
      <c r="E528" s="26"/>
      <c r="F528" s="26"/>
      <c r="G528" s="26"/>
      <c r="H528" s="26"/>
      <c r="I528" s="25"/>
      <c r="J528" s="25"/>
      <c r="K528" s="25"/>
      <c r="L528" s="25"/>
      <c r="M528" s="25"/>
    </row>
    <row r="529" spans="1:13" ht="14.25" customHeight="1" x14ac:dyDescent="0.3">
      <c r="A529" s="25"/>
      <c r="B529" s="25"/>
      <c r="C529" s="26"/>
      <c r="D529" s="27"/>
      <c r="E529" s="26"/>
      <c r="F529" s="26"/>
      <c r="G529" s="26"/>
      <c r="H529" s="26"/>
      <c r="I529" s="25"/>
      <c r="J529" s="25"/>
      <c r="K529" s="25"/>
      <c r="L529" s="25"/>
      <c r="M529" s="25"/>
    </row>
    <row r="530" spans="1:13" ht="14.25" customHeight="1" x14ac:dyDescent="0.3">
      <c r="A530" s="25"/>
      <c r="B530" s="25"/>
      <c r="C530" s="26"/>
      <c r="D530" s="27"/>
      <c r="E530" s="26"/>
      <c r="F530" s="26"/>
      <c r="G530" s="26"/>
      <c r="H530" s="26"/>
      <c r="I530" s="25"/>
      <c r="J530" s="25"/>
      <c r="K530" s="25"/>
      <c r="L530" s="25"/>
      <c r="M530" s="25"/>
    </row>
    <row r="531" spans="1:13" ht="14.25" customHeight="1" x14ac:dyDescent="0.3">
      <c r="A531" s="25"/>
      <c r="B531" s="25"/>
      <c r="C531" s="26"/>
      <c r="D531" s="27"/>
      <c r="E531" s="26"/>
      <c r="F531" s="26"/>
      <c r="G531" s="26"/>
      <c r="H531" s="26"/>
      <c r="I531" s="25"/>
      <c r="J531" s="25"/>
      <c r="K531" s="25"/>
      <c r="L531" s="25"/>
      <c r="M531" s="25"/>
    </row>
    <row r="532" spans="1:13" ht="14.25" customHeight="1" x14ac:dyDescent="0.3">
      <c r="A532" s="25"/>
      <c r="B532" s="25"/>
      <c r="C532" s="26"/>
      <c r="D532" s="27"/>
      <c r="E532" s="26"/>
      <c r="F532" s="26"/>
      <c r="G532" s="26"/>
      <c r="H532" s="26"/>
      <c r="I532" s="25"/>
      <c r="J532" s="25"/>
      <c r="K532" s="25"/>
      <c r="L532" s="25"/>
      <c r="M532" s="25"/>
    </row>
    <row r="533" spans="1:13" ht="14.25" customHeight="1" x14ac:dyDescent="0.3">
      <c r="A533" s="25"/>
      <c r="B533" s="25"/>
      <c r="C533" s="26"/>
      <c r="D533" s="27"/>
      <c r="E533" s="26"/>
      <c r="F533" s="26"/>
      <c r="G533" s="26"/>
      <c r="H533" s="26"/>
      <c r="I533" s="25"/>
      <c r="J533" s="25"/>
      <c r="K533" s="25"/>
      <c r="L533" s="25"/>
      <c r="M533" s="25"/>
    </row>
    <row r="534" spans="1:13" ht="14.25" customHeight="1" x14ac:dyDescent="0.3">
      <c r="A534" s="25"/>
      <c r="B534" s="25"/>
      <c r="C534" s="26"/>
      <c r="D534" s="27"/>
      <c r="E534" s="26"/>
      <c r="F534" s="26"/>
      <c r="G534" s="26"/>
      <c r="H534" s="26"/>
      <c r="I534" s="25"/>
      <c r="J534" s="25"/>
      <c r="K534" s="25"/>
      <c r="L534" s="25"/>
      <c r="M534" s="25"/>
    </row>
    <row r="535" spans="1:13" ht="14.25" customHeight="1" x14ac:dyDescent="0.3">
      <c r="A535" s="25"/>
      <c r="B535" s="25"/>
      <c r="C535" s="26"/>
      <c r="D535" s="27"/>
      <c r="E535" s="26"/>
      <c r="F535" s="26"/>
      <c r="G535" s="26"/>
      <c r="H535" s="26"/>
      <c r="I535" s="25"/>
      <c r="J535" s="25"/>
      <c r="K535" s="25"/>
      <c r="L535" s="25"/>
      <c r="M535" s="25"/>
    </row>
    <row r="536" spans="1:13" ht="14.25" customHeight="1" x14ac:dyDescent="0.3">
      <c r="A536" s="25"/>
      <c r="B536" s="25"/>
      <c r="C536" s="26"/>
      <c r="D536" s="27"/>
      <c r="E536" s="26"/>
      <c r="F536" s="26"/>
      <c r="G536" s="26"/>
      <c r="H536" s="26"/>
      <c r="I536" s="25"/>
      <c r="J536" s="25"/>
      <c r="K536" s="25"/>
      <c r="L536" s="25"/>
      <c r="M536" s="25"/>
    </row>
    <row r="537" spans="1:13" ht="14.25" customHeight="1" x14ac:dyDescent="0.3">
      <c r="A537" s="25"/>
      <c r="B537" s="25"/>
      <c r="C537" s="26"/>
      <c r="D537" s="27"/>
      <c r="E537" s="26"/>
      <c r="F537" s="26"/>
      <c r="G537" s="26"/>
      <c r="H537" s="26"/>
      <c r="I537" s="25"/>
      <c r="J537" s="25"/>
      <c r="K537" s="25"/>
      <c r="L537" s="25"/>
      <c r="M537" s="25"/>
    </row>
    <row r="538" spans="1:13" ht="14.25" customHeight="1" x14ac:dyDescent="0.3">
      <c r="A538" s="25"/>
      <c r="B538" s="25"/>
      <c r="C538" s="26"/>
      <c r="D538" s="27"/>
      <c r="E538" s="26"/>
      <c r="F538" s="26"/>
      <c r="G538" s="26"/>
      <c r="H538" s="26"/>
      <c r="I538" s="25"/>
      <c r="J538" s="25"/>
      <c r="K538" s="25"/>
      <c r="L538" s="25"/>
      <c r="M538" s="25"/>
    </row>
    <row r="539" spans="1:13" ht="14.25" customHeight="1" x14ac:dyDescent="0.3">
      <c r="A539" s="25"/>
      <c r="B539" s="25"/>
      <c r="C539" s="26"/>
      <c r="D539" s="27"/>
      <c r="E539" s="26"/>
      <c r="F539" s="26"/>
      <c r="G539" s="26"/>
      <c r="H539" s="26"/>
      <c r="I539" s="25"/>
      <c r="J539" s="25"/>
      <c r="K539" s="25"/>
      <c r="L539" s="25"/>
      <c r="M539" s="25"/>
    </row>
    <row r="540" spans="1:13" ht="14.25" customHeight="1" x14ac:dyDescent="0.3">
      <c r="A540" s="25"/>
      <c r="B540" s="25"/>
      <c r="C540" s="26"/>
      <c r="D540" s="27"/>
      <c r="E540" s="26"/>
      <c r="F540" s="26"/>
      <c r="G540" s="26"/>
      <c r="H540" s="26"/>
      <c r="I540" s="25"/>
      <c r="J540" s="25"/>
      <c r="K540" s="25"/>
      <c r="L540" s="25"/>
      <c r="M540" s="25"/>
    </row>
    <row r="541" spans="1:13" ht="14.25" customHeight="1" x14ac:dyDescent="0.3">
      <c r="A541" s="25"/>
      <c r="B541" s="25"/>
      <c r="C541" s="26"/>
      <c r="D541" s="27"/>
      <c r="E541" s="26"/>
      <c r="F541" s="26"/>
      <c r="G541" s="26"/>
      <c r="H541" s="26"/>
      <c r="I541" s="25"/>
      <c r="J541" s="25"/>
      <c r="K541" s="25"/>
      <c r="L541" s="25"/>
      <c r="M541" s="25"/>
    </row>
    <row r="542" spans="1:13" ht="14.25" customHeight="1" x14ac:dyDescent="0.3">
      <c r="A542" s="25"/>
      <c r="B542" s="25"/>
      <c r="C542" s="26"/>
      <c r="D542" s="27"/>
      <c r="E542" s="26"/>
      <c r="F542" s="26"/>
      <c r="G542" s="26"/>
      <c r="H542" s="26"/>
      <c r="I542" s="25"/>
      <c r="J542" s="25"/>
      <c r="K542" s="25"/>
      <c r="L542" s="25"/>
      <c r="M542" s="25"/>
    </row>
    <row r="543" spans="1:13" ht="14.25" customHeight="1" x14ac:dyDescent="0.3">
      <c r="A543" s="25"/>
      <c r="B543" s="25"/>
      <c r="C543" s="26"/>
      <c r="D543" s="27"/>
      <c r="E543" s="26"/>
      <c r="F543" s="26"/>
      <c r="G543" s="26"/>
      <c r="H543" s="26"/>
      <c r="I543" s="25"/>
      <c r="J543" s="25"/>
      <c r="K543" s="25"/>
      <c r="L543" s="25"/>
      <c r="M543" s="25"/>
    </row>
    <row r="544" spans="1:13" ht="14.25" customHeight="1" x14ac:dyDescent="0.3">
      <c r="A544" s="25"/>
      <c r="B544" s="25"/>
      <c r="C544" s="26"/>
      <c r="D544" s="27"/>
      <c r="E544" s="26"/>
      <c r="F544" s="26"/>
      <c r="G544" s="26"/>
      <c r="H544" s="26"/>
      <c r="I544" s="25"/>
      <c r="J544" s="25"/>
      <c r="K544" s="25"/>
      <c r="L544" s="25"/>
      <c r="M544" s="25"/>
    </row>
    <row r="545" spans="1:13" ht="14.25" customHeight="1" x14ac:dyDescent="0.3">
      <c r="A545" s="25"/>
      <c r="B545" s="25"/>
      <c r="C545" s="26"/>
      <c r="D545" s="27"/>
      <c r="E545" s="26"/>
      <c r="F545" s="26"/>
      <c r="G545" s="26"/>
      <c r="H545" s="26"/>
      <c r="I545" s="25"/>
      <c r="J545" s="25"/>
      <c r="K545" s="25"/>
      <c r="L545" s="25"/>
      <c r="M545" s="25"/>
    </row>
    <row r="546" spans="1:13" ht="14.25" customHeight="1" x14ac:dyDescent="0.3">
      <c r="A546" s="25"/>
      <c r="B546" s="25"/>
      <c r="C546" s="26"/>
      <c r="D546" s="27"/>
      <c r="E546" s="26"/>
      <c r="F546" s="26"/>
      <c r="G546" s="26"/>
      <c r="H546" s="26"/>
      <c r="I546" s="25"/>
      <c r="J546" s="25"/>
      <c r="K546" s="25"/>
      <c r="L546" s="25"/>
      <c r="M546" s="25"/>
    </row>
    <row r="547" spans="1:13" ht="14.25" customHeight="1" x14ac:dyDescent="0.3">
      <c r="A547" s="25"/>
      <c r="B547" s="25"/>
      <c r="C547" s="26"/>
      <c r="D547" s="27"/>
      <c r="E547" s="26"/>
      <c r="F547" s="26"/>
      <c r="G547" s="26"/>
      <c r="H547" s="26"/>
      <c r="I547" s="25"/>
      <c r="J547" s="25"/>
      <c r="K547" s="25"/>
      <c r="L547" s="25"/>
      <c r="M547" s="25"/>
    </row>
    <row r="548" spans="1:13" ht="14.25" customHeight="1" x14ac:dyDescent="0.3">
      <c r="A548" s="25"/>
      <c r="B548" s="25"/>
      <c r="C548" s="26"/>
      <c r="D548" s="27"/>
      <c r="E548" s="26"/>
      <c r="F548" s="26"/>
      <c r="G548" s="26"/>
      <c r="H548" s="26"/>
      <c r="I548" s="25"/>
      <c r="J548" s="25"/>
      <c r="K548" s="25"/>
      <c r="L548" s="25"/>
      <c r="M548" s="25"/>
    </row>
    <row r="549" spans="1:13" ht="14.25" customHeight="1" x14ac:dyDescent="0.3">
      <c r="A549" s="25"/>
      <c r="B549" s="25"/>
      <c r="C549" s="26"/>
      <c r="D549" s="27"/>
      <c r="E549" s="26"/>
      <c r="F549" s="26"/>
      <c r="G549" s="26"/>
      <c r="H549" s="26"/>
      <c r="I549" s="25"/>
      <c r="J549" s="25"/>
      <c r="K549" s="25"/>
      <c r="L549" s="25"/>
      <c r="M549" s="25"/>
    </row>
    <row r="550" spans="1:13" ht="14.25" customHeight="1" x14ac:dyDescent="0.3">
      <c r="A550" s="25"/>
      <c r="B550" s="25"/>
      <c r="C550" s="26"/>
      <c r="D550" s="27"/>
      <c r="E550" s="26"/>
      <c r="F550" s="26"/>
      <c r="G550" s="26"/>
      <c r="H550" s="26"/>
      <c r="I550" s="25"/>
      <c r="J550" s="25"/>
      <c r="K550" s="25"/>
      <c r="L550" s="25"/>
      <c r="M550" s="25"/>
    </row>
    <row r="551" spans="1:13" ht="14.25" customHeight="1" x14ac:dyDescent="0.3">
      <c r="A551" s="25"/>
      <c r="B551" s="25"/>
      <c r="C551" s="26"/>
      <c r="D551" s="27"/>
      <c r="E551" s="26"/>
      <c r="F551" s="26"/>
      <c r="G551" s="26"/>
      <c r="H551" s="26"/>
      <c r="I551" s="25"/>
      <c r="J551" s="25"/>
      <c r="K551" s="25"/>
      <c r="L551" s="25"/>
      <c r="M551" s="25"/>
    </row>
    <row r="552" spans="1:13" ht="14.25" customHeight="1" x14ac:dyDescent="0.3">
      <c r="A552" s="25"/>
      <c r="B552" s="25"/>
      <c r="C552" s="26"/>
      <c r="D552" s="27"/>
      <c r="E552" s="26"/>
      <c r="F552" s="26"/>
      <c r="G552" s="26"/>
      <c r="H552" s="26"/>
      <c r="I552" s="25"/>
      <c r="J552" s="25"/>
      <c r="K552" s="25"/>
      <c r="L552" s="25"/>
      <c r="M552" s="25"/>
    </row>
    <row r="553" spans="1:13" ht="14.25" customHeight="1" x14ac:dyDescent="0.3">
      <c r="A553" s="25"/>
      <c r="B553" s="25"/>
      <c r="C553" s="26"/>
      <c r="D553" s="27"/>
      <c r="E553" s="26"/>
      <c r="F553" s="26"/>
      <c r="G553" s="26"/>
      <c r="H553" s="26"/>
      <c r="I553" s="25"/>
      <c r="J553" s="25"/>
      <c r="K553" s="25"/>
      <c r="L553" s="25"/>
      <c r="M553" s="25"/>
    </row>
    <row r="554" spans="1:13" ht="14.25" customHeight="1" x14ac:dyDescent="0.3">
      <c r="A554" s="25"/>
      <c r="B554" s="25"/>
      <c r="C554" s="26"/>
      <c r="D554" s="27"/>
      <c r="E554" s="26"/>
      <c r="F554" s="26"/>
      <c r="G554" s="26"/>
      <c r="H554" s="26"/>
      <c r="I554" s="25"/>
      <c r="J554" s="25"/>
      <c r="K554" s="25"/>
      <c r="L554" s="25"/>
      <c r="M554" s="25"/>
    </row>
    <row r="555" spans="1:13" ht="14.25" customHeight="1" x14ac:dyDescent="0.3">
      <c r="A555" s="25"/>
      <c r="B555" s="25"/>
      <c r="C555" s="26"/>
      <c r="D555" s="27"/>
      <c r="E555" s="26"/>
      <c r="F555" s="26"/>
      <c r="G555" s="26"/>
      <c r="H555" s="26"/>
      <c r="I555" s="25"/>
      <c r="J555" s="25"/>
      <c r="K555" s="25"/>
      <c r="L555" s="25"/>
      <c r="M555" s="25"/>
    </row>
    <row r="556" spans="1:13" ht="14.25" customHeight="1" x14ac:dyDescent="0.3">
      <c r="A556" s="25"/>
      <c r="B556" s="25"/>
      <c r="C556" s="26"/>
      <c r="D556" s="27"/>
      <c r="E556" s="26"/>
      <c r="F556" s="26"/>
      <c r="G556" s="26"/>
      <c r="H556" s="26"/>
      <c r="I556" s="25"/>
      <c r="J556" s="25"/>
      <c r="K556" s="25"/>
      <c r="L556" s="25"/>
      <c r="M556" s="25"/>
    </row>
    <row r="557" spans="1:13" ht="14.25" customHeight="1" x14ac:dyDescent="0.3">
      <c r="A557" s="25"/>
      <c r="B557" s="25"/>
      <c r="C557" s="26"/>
      <c r="D557" s="27"/>
      <c r="E557" s="26"/>
      <c r="F557" s="26"/>
      <c r="G557" s="26"/>
      <c r="H557" s="26"/>
      <c r="I557" s="25"/>
      <c r="J557" s="25"/>
      <c r="K557" s="25"/>
      <c r="L557" s="25"/>
      <c r="M557" s="25"/>
    </row>
    <row r="558" spans="1:13" ht="14.25" customHeight="1" x14ac:dyDescent="0.3">
      <c r="A558" s="25"/>
      <c r="B558" s="25"/>
      <c r="C558" s="26"/>
      <c r="D558" s="27"/>
      <c r="E558" s="26"/>
      <c r="F558" s="26"/>
      <c r="G558" s="26"/>
      <c r="H558" s="26"/>
      <c r="I558" s="25"/>
      <c r="J558" s="25"/>
      <c r="K558" s="25"/>
      <c r="L558" s="25"/>
      <c r="M558" s="25"/>
    </row>
    <row r="559" spans="1:13" ht="14.25" customHeight="1" x14ac:dyDescent="0.3">
      <c r="A559" s="25"/>
      <c r="B559" s="25"/>
      <c r="C559" s="26"/>
      <c r="D559" s="27"/>
      <c r="E559" s="26"/>
      <c r="F559" s="26"/>
      <c r="G559" s="26"/>
      <c r="H559" s="26"/>
      <c r="I559" s="25"/>
      <c r="J559" s="25"/>
      <c r="K559" s="25"/>
      <c r="L559" s="25"/>
      <c r="M559" s="25"/>
    </row>
    <row r="560" spans="1:13" ht="14.25" customHeight="1" x14ac:dyDescent="0.3">
      <c r="A560" s="25"/>
      <c r="B560" s="25"/>
      <c r="C560" s="26"/>
      <c r="D560" s="27"/>
      <c r="E560" s="26"/>
      <c r="F560" s="26"/>
      <c r="G560" s="26"/>
      <c r="H560" s="26"/>
      <c r="I560" s="25"/>
      <c r="J560" s="25"/>
      <c r="K560" s="25"/>
      <c r="L560" s="25"/>
      <c r="M560" s="25"/>
    </row>
    <row r="561" spans="1:13" ht="14.25" customHeight="1" x14ac:dyDescent="0.3">
      <c r="A561" s="25"/>
      <c r="B561" s="25"/>
      <c r="C561" s="26"/>
      <c r="D561" s="27"/>
      <c r="E561" s="26"/>
      <c r="F561" s="26"/>
      <c r="G561" s="26"/>
      <c r="H561" s="26"/>
      <c r="I561" s="25"/>
      <c r="J561" s="25"/>
      <c r="K561" s="25"/>
      <c r="L561" s="25"/>
      <c r="M561" s="25"/>
    </row>
    <row r="562" spans="1:13" ht="14.25" customHeight="1" x14ac:dyDescent="0.3">
      <c r="A562" s="25"/>
      <c r="B562" s="25"/>
      <c r="C562" s="26"/>
      <c r="D562" s="27"/>
      <c r="E562" s="26"/>
      <c r="F562" s="26"/>
      <c r="G562" s="26"/>
      <c r="H562" s="26"/>
      <c r="I562" s="25"/>
      <c r="J562" s="25"/>
      <c r="K562" s="25"/>
      <c r="L562" s="25"/>
      <c r="M562" s="25"/>
    </row>
    <row r="563" spans="1:13" ht="14.25" customHeight="1" x14ac:dyDescent="0.3">
      <c r="A563" s="25"/>
      <c r="B563" s="25"/>
      <c r="C563" s="26"/>
      <c r="D563" s="27"/>
      <c r="E563" s="26"/>
      <c r="F563" s="26"/>
      <c r="G563" s="26"/>
      <c r="H563" s="26"/>
      <c r="I563" s="25"/>
      <c r="J563" s="25"/>
      <c r="K563" s="25"/>
      <c r="L563" s="25"/>
      <c r="M563" s="25"/>
    </row>
    <row r="564" spans="1:13" ht="14.25" customHeight="1" x14ac:dyDescent="0.3">
      <c r="A564" s="25"/>
      <c r="B564" s="25"/>
      <c r="C564" s="26"/>
      <c r="D564" s="27"/>
      <c r="E564" s="26"/>
      <c r="F564" s="26"/>
      <c r="G564" s="26"/>
      <c r="H564" s="26"/>
      <c r="I564" s="25"/>
      <c r="J564" s="25"/>
      <c r="K564" s="25"/>
      <c r="L564" s="25"/>
      <c r="M564" s="25"/>
    </row>
    <row r="565" spans="1:13" ht="14.25" customHeight="1" x14ac:dyDescent="0.3">
      <c r="A565" s="25"/>
      <c r="B565" s="25"/>
      <c r="C565" s="26"/>
      <c r="D565" s="27"/>
      <c r="E565" s="26"/>
      <c r="F565" s="26"/>
      <c r="G565" s="26"/>
      <c r="H565" s="26"/>
      <c r="I565" s="25"/>
      <c r="J565" s="25"/>
      <c r="K565" s="25"/>
      <c r="L565" s="25"/>
      <c r="M565" s="25"/>
    </row>
    <row r="566" spans="1:13" ht="14.25" customHeight="1" x14ac:dyDescent="0.3">
      <c r="A566" s="25"/>
      <c r="B566" s="25"/>
      <c r="C566" s="26"/>
      <c r="D566" s="27"/>
      <c r="E566" s="26"/>
      <c r="F566" s="26"/>
      <c r="G566" s="26"/>
      <c r="H566" s="26"/>
      <c r="I566" s="25"/>
      <c r="J566" s="25"/>
      <c r="K566" s="25"/>
      <c r="L566" s="25"/>
      <c r="M566" s="25"/>
    </row>
    <row r="567" spans="1:13" ht="14.25" customHeight="1" x14ac:dyDescent="0.3">
      <c r="A567" s="25"/>
      <c r="B567" s="25"/>
      <c r="C567" s="26"/>
      <c r="D567" s="27"/>
      <c r="E567" s="26"/>
      <c r="F567" s="26"/>
      <c r="G567" s="26"/>
      <c r="H567" s="26"/>
      <c r="I567" s="25"/>
      <c r="J567" s="25"/>
      <c r="K567" s="25"/>
      <c r="L567" s="25"/>
      <c r="M567" s="25"/>
    </row>
    <row r="568" spans="1:13" ht="14.25" customHeight="1" x14ac:dyDescent="0.3">
      <c r="A568" s="25"/>
      <c r="B568" s="25"/>
      <c r="C568" s="26"/>
      <c r="D568" s="27"/>
      <c r="E568" s="26"/>
      <c r="F568" s="26"/>
      <c r="G568" s="26"/>
      <c r="H568" s="26"/>
      <c r="I568" s="25"/>
      <c r="J568" s="25"/>
      <c r="K568" s="25"/>
      <c r="L568" s="25"/>
      <c r="M568" s="25"/>
    </row>
    <row r="569" spans="1:13" ht="14.25" customHeight="1" x14ac:dyDescent="0.3">
      <c r="A569" s="25"/>
      <c r="B569" s="25"/>
      <c r="C569" s="26"/>
      <c r="D569" s="27"/>
      <c r="E569" s="26"/>
      <c r="F569" s="26"/>
      <c r="G569" s="26"/>
      <c r="H569" s="26"/>
      <c r="I569" s="25"/>
      <c r="J569" s="25"/>
      <c r="K569" s="25"/>
      <c r="L569" s="25"/>
      <c r="M569" s="25"/>
    </row>
    <row r="570" spans="1:13" ht="14.25" customHeight="1" x14ac:dyDescent="0.3">
      <c r="A570" s="25"/>
      <c r="B570" s="25"/>
      <c r="C570" s="26"/>
      <c r="D570" s="27"/>
      <c r="E570" s="26"/>
      <c r="F570" s="26"/>
      <c r="G570" s="26"/>
      <c r="H570" s="26"/>
      <c r="I570" s="25"/>
      <c r="J570" s="25"/>
      <c r="K570" s="25"/>
      <c r="L570" s="25"/>
      <c r="M570" s="25"/>
    </row>
    <row r="571" spans="1:13" ht="14.25" customHeight="1" x14ac:dyDescent="0.3">
      <c r="A571" s="25"/>
      <c r="B571" s="25"/>
      <c r="C571" s="26"/>
      <c r="D571" s="27"/>
      <c r="E571" s="26"/>
      <c r="F571" s="26"/>
      <c r="G571" s="26"/>
      <c r="H571" s="26"/>
      <c r="I571" s="25"/>
      <c r="J571" s="25"/>
      <c r="K571" s="25"/>
      <c r="L571" s="25"/>
      <c r="M571" s="25"/>
    </row>
    <row r="572" spans="1:13" ht="14.25" customHeight="1" x14ac:dyDescent="0.3">
      <c r="A572" s="25"/>
      <c r="B572" s="25"/>
      <c r="C572" s="26"/>
      <c r="D572" s="27"/>
      <c r="E572" s="26"/>
      <c r="F572" s="26"/>
      <c r="G572" s="26"/>
      <c r="H572" s="26"/>
      <c r="I572" s="25"/>
      <c r="J572" s="25"/>
      <c r="K572" s="25"/>
      <c r="L572" s="25"/>
      <c r="M572" s="25"/>
    </row>
    <row r="573" spans="1:13" ht="14.25" customHeight="1" x14ac:dyDescent="0.3">
      <c r="A573" s="25"/>
      <c r="B573" s="25"/>
      <c r="C573" s="26"/>
      <c r="D573" s="27"/>
      <c r="E573" s="26"/>
      <c r="F573" s="26"/>
      <c r="G573" s="26"/>
      <c r="H573" s="26"/>
      <c r="I573" s="25"/>
      <c r="J573" s="25"/>
      <c r="K573" s="25"/>
      <c r="L573" s="25"/>
      <c r="M573" s="25"/>
    </row>
    <row r="574" spans="1:13" ht="14.25" customHeight="1" x14ac:dyDescent="0.3">
      <c r="A574" s="25"/>
      <c r="B574" s="25"/>
      <c r="C574" s="26"/>
      <c r="D574" s="27"/>
      <c r="E574" s="26"/>
      <c r="F574" s="26"/>
      <c r="G574" s="26"/>
      <c r="H574" s="26"/>
      <c r="I574" s="25"/>
      <c r="J574" s="25"/>
      <c r="K574" s="25"/>
      <c r="L574" s="25"/>
      <c r="M574" s="25"/>
    </row>
    <row r="575" spans="1:13" ht="14.25" customHeight="1" x14ac:dyDescent="0.3">
      <c r="A575" s="25"/>
      <c r="B575" s="25"/>
      <c r="C575" s="26"/>
      <c r="D575" s="27"/>
      <c r="E575" s="26"/>
      <c r="F575" s="26"/>
      <c r="G575" s="26"/>
      <c r="H575" s="26"/>
      <c r="I575" s="25"/>
      <c r="J575" s="25"/>
      <c r="K575" s="25"/>
      <c r="L575" s="25"/>
      <c r="M575" s="25"/>
    </row>
    <row r="576" spans="1:13" ht="14.25" customHeight="1" x14ac:dyDescent="0.3">
      <c r="A576" s="25"/>
      <c r="B576" s="25"/>
      <c r="C576" s="26"/>
      <c r="D576" s="27"/>
      <c r="E576" s="26"/>
      <c r="F576" s="26"/>
      <c r="G576" s="26"/>
      <c r="H576" s="26"/>
      <c r="I576" s="25"/>
      <c r="J576" s="25"/>
      <c r="K576" s="25"/>
      <c r="L576" s="25"/>
      <c r="M576" s="25"/>
    </row>
    <row r="577" spans="1:13" ht="14.25" customHeight="1" x14ac:dyDescent="0.3">
      <c r="A577" s="25"/>
      <c r="B577" s="25"/>
      <c r="C577" s="26"/>
      <c r="D577" s="27"/>
      <c r="E577" s="26"/>
      <c r="F577" s="26"/>
      <c r="G577" s="26"/>
      <c r="H577" s="26"/>
      <c r="I577" s="25"/>
      <c r="J577" s="25"/>
      <c r="K577" s="25"/>
      <c r="L577" s="25"/>
      <c r="M577" s="25"/>
    </row>
    <row r="578" spans="1:13" ht="14.25" customHeight="1" x14ac:dyDescent="0.3">
      <c r="A578" s="25"/>
      <c r="B578" s="25"/>
      <c r="C578" s="26"/>
      <c r="D578" s="27"/>
      <c r="E578" s="26"/>
      <c r="F578" s="26"/>
      <c r="G578" s="26"/>
      <c r="H578" s="26"/>
      <c r="I578" s="25"/>
      <c r="J578" s="25"/>
      <c r="K578" s="25"/>
      <c r="L578" s="25"/>
      <c r="M578" s="25"/>
    </row>
    <row r="579" spans="1:13" ht="14.25" customHeight="1" x14ac:dyDescent="0.3">
      <c r="A579" s="25"/>
      <c r="B579" s="25"/>
      <c r="C579" s="26"/>
      <c r="D579" s="27"/>
      <c r="E579" s="26"/>
      <c r="F579" s="26"/>
      <c r="G579" s="26"/>
      <c r="H579" s="26"/>
      <c r="I579" s="25"/>
      <c r="J579" s="25"/>
      <c r="K579" s="25"/>
      <c r="L579" s="25"/>
      <c r="M579" s="25"/>
    </row>
    <row r="580" spans="1:13" ht="14.25" customHeight="1" x14ac:dyDescent="0.3">
      <c r="A580" s="25"/>
      <c r="B580" s="25"/>
      <c r="C580" s="26"/>
      <c r="D580" s="27"/>
      <c r="E580" s="26"/>
      <c r="F580" s="26"/>
      <c r="G580" s="26"/>
      <c r="H580" s="26"/>
      <c r="I580" s="25"/>
      <c r="J580" s="25"/>
      <c r="K580" s="25"/>
      <c r="L580" s="25"/>
      <c r="M580" s="25"/>
    </row>
    <row r="581" spans="1:13" ht="14.25" customHeight="1" x14ac:dyDescent="0.3">
      <c r="A581" s="25"/>
      <c r="B581" s="25"/>
      <c r="C581" s="26"/>
      <c r="D581" s="27"/>
      <c r="E581" s="26"/>
      <c r="F581" s="26"/>
      <c r="G581" s="26"/>
      <c r="H581" s="26"/>
      <c r="I581" s="25"/>
      <c r="J581" s="25"/>
      <c r="K581" s="25"/>
      <c r="L581" s="25"/>
      <c r="M581" s="25"/>
    </row>
    <row r="582" spans="1:13" ht="14.25" customHeight="1" x14ac:dyDescent="0.3">
      <c r="A582" s="25"/>
      <c r="B582" s="25"/>
      <c r="C582" s="26"/>
      <c r="D582" s="27"/>
      <c r="E582" s="26"/>
      <c r="F582" s="26"/>
      <c r="G582" s="26"/>
      <c r="H582" s="26"/>
      <c r="I582" s="25"/>
      <c r="J582" s="25"/>
      <c r="K582" s="25"/>
      <c r="L582" s="25"/>
      <c r="M582" s="25"/>
    </row>
    <row r="583" spans="1:13" ht="14.25" customHeight="1" x14ac:dyDescent="0.3">
      <c r="A583" s="25"/>
      <c r="B583" s="25"/>
      <c r="C583" s="26"/>
      <c r="D583" s="27"/>
      <c r="E583" s="26"/>
      <c r="F583" s="26"/>
      <c r="G583" s="26"/>
      <c r="H583" s="26"/>
      <c r="I583" s="25"/>
      <c r="J583" s="25"/>
      <c r="K583" s="25"/>
      <c r="L583" s="25"/>
      <c r="M583" s="25"/>
    </row>
    <row r="584" spans="1:13" ht="14.25" customHeight="1" x14ac:dyDescent="0.3">
      <c r="A584" s="25"/>
      <c r="B584" s="25"/>
      <c r="C584" s="26"/>
      <c r="D584" s="27"/>
      <c r="E584" s="26"/>
      <c r="F584" s="26"/>
      <c r="G584" s="26"/>
      <c r="H584" s="26"/>
      <c r="I584" s="25"/>
      <c r="J584" s="25"/>
      <c r="K584" s="25"/>
      <c r="L584" s="25"/>
      <c r="M584" s="25"/>
    </row>
    <row r="585" spans="1:13" ht="14.25" customHeight="1" x14ac:dyDescent="0.3">
      <c r="A585" s="25"/>
      <c r="B585" s="25"/>
      <c r="C585" s="26"/>
      <c r="D585" s="27"/>
      <c r="E585" s="26"/>
      <c r="F585" s="26"/>
      <c r="G585" s="26"/>
      <c r="H585" s="26"/>
      <c r="I585" s="25"/>
      <c r="J585" s="25"/>
      <c r="K585" s="25"/>
      <c r="L585" s="25"/>
      <c r="M585" s="25"/>
    </row>
    <row r="586" spans="1:13" ht="14.25" customHeight="1" x14ac:dyDescent="0.3">
      <c r="A586" s="25"/>
      <c r="B586" s="25"/>
      <c r="C586" s="26"/>
      <c r="D586" s="27"/>
      <c r="E586" s="26"/>
      <c r="F586" s="26"/>
      <c r="G586" s="26"/>
      <c r="H586" s="26"/>
      <c r="I586" s="25"/>
      <c r="J586" s="25"/>
      <c r="K586" s="25"/>
      <c r="L586" s="25"/>
      <c r="M586" s="25"/>
    </row>
    <row r="587" spans="1:13" ht="14.25" customHeight="1" x14ac:dyDescent="0.3">
      <c r="A587" s="25"/>
      <c r="B587" s="25"/>
      <c r="C587" s="26"/>
      <c r="D587" s="27"/>
      <c r="E587" s="26"/>
      <c r="F587" s="26"/>
      <c r="G587" s="26"/>
      <c r="H587" s="26"/>
      <c r="I587" s="25"/>
      <c r="J587" s="25"/>
      <c r="K587" s="25"/>
      <c r="L587" s="25"/>
      <c r="M587" s="25"/>
    </row>
    <row r="588" spans="1:13" ht="14.25" customHeight="1" x14ac:dyDescent="0.3">
      <c r="A588" s="25"/>
      <c r="B588" s="25"/>
      <c r="C588" s="26"/>
      <c r="D588" s="27"/>
      <c r="E588" s="26"/>
      <c r="F588" s="26"/>
      <c r="G588" s="26"/>
      <c r="H588" s="26"/>
      <c r="I588" s="25"/>
      <c r="J588" s="25"/>
      <c r="K588" s="25"/>
      <c r="L588" s="25"/>
      <c r="M588" s="25"/>
    </row>
    <row r="589" spans="1:13" ht="14.25" customHeight="1" x14ac:dyDescent="0.3">
      <c r="A589" s="25"/>
      <c r="B589" s="25"/>
      <c r="C589" s="26"/>
      <c r="D589" s="27"/>
      <c r="E589" s="26"/>
      <c r="F589" s="26"/>
      <c r="G589" s="26"/>
      <c r="H589" s="26"/>
      <c r="I589" s="25"/>
      <c r="J589" s="25"/>
      <c r="K589" s="25"/>
      <c r="L589" s="25"/>
      <c r="M589" s="25"/>
    </row>
    <row r="590" spans="1:13" ht="14.25" customHeight="1" x14ac:dyDescent="0.3">
      <c r="A590" s="25"/>
      <c r="B590" s="25"/>
      <c r="C590" s="26"/>
      <c r="D590" s="27"/>
      <c r="E590" s="26"/>
      <c r="F590" s="26"/>
      <c r="G590" s="26"/>
      <c r="H590" s="26"/>
      <c r="I590" s="25"/>
      <c r="J590" s="25"/>
      <c r="K590" s="25"/>
      <c r="L590" s="25"/>
      <c r="M590" s="25"/>
    </row>
    <row r="591" spans="1:13" ht="14.25" customHeight="1" x14ac:dyDescent="0.3">
      <c r="A591" s="25"/>
      <c r="B591" s="25"/>
      <c r="C591" s="26"/>
      <c r="D591" s="27"/>
      <c r="E591" s="26"/>
      <c r="F591" s="26"/>
      <c r="G591" s="26"/>
      <c r="H591" s="26"/>
      <c r="I591" s="25"/>
      <c r="J591" s="25"/>
      <c r="K591" s="25"/>
      <c r="L591" s="25"/>
      <c r="M591" s="25"/>
    </row>
    <row r="592" spans="1:13" ht="14.25" customHeight="1" x14ac:dyDescent="0.3">
      <c r="A592" s="25"/>
      <c r="B592" s="25"/>
      <c r="C592" s="26"/>
      <c r="D592" s="27"/>
      <c r="E592" s="26"/>
      <c r="F592" s="26"/>
      <c r="G592" s="26"/>
      <c r="H592" s="26"/>
      <c r="I592" s="25"/>
      <c r="J592" s="25"/>
      <c r="K592" s="25"/>
      <c r="L592" s="25"/>
      <c r="M592" s="25"/>
    </row>
    <row r="593" spans="1:13" ht="14.25" customHeight="1" x14ac:dyDescent="0.3">
      <c r="A593" s="25"/>
      <c r="B593" s="25"/>
      <c r="C593" s="26"/>
      <c r="D593" s="27"/>
      <c r="E593" s="26"/>
      <c r="F593" s="26"/>
      <c r="G593" s="26"/>
      <c r="H593" s="26"/>
      <c r="I593" s="25"/>
      <c r="J593" s="25"/>
      <c r="K593" s="25"/>
      <c r="L593" s="25"/>
      <c r="M593" s="25"/>
    </row>
    <row r="594" spans="1:13" ht="14.25" customHeight="1" x14ac:dyDescent="0.3">
      <c r="A594" s="25"/>
      <c r="B594" s="25"/>
      <c r="C594" s="26"/>
      <c r="D594" s="27"/>
      <c r="E594" s="26"/>
      <c r="F594" s="26"/>
      <c r="G594" s="26"/>
      <c r="H594" s="26"/>
      <c r="I594" s="25"/>
      <c r="J594" s="25"/>
      <c r="K594" s="25"/>
      <c r="L594" s="25"/>
      <c r="M594" s="25"/>
    </row>
    <row r="595" spans="1:13" ht="14.25" customHeight="1" x14ac:dyDescent="0.3">
      <c r="A595" s="25"/>
      <c r="B595" s="25"/>
      <c r="C595" s="26"/>
      <c r="D595" s="27"/>
      <c r="E595" s="26"/>
      <c r="F595" s="26"/>
      <c r="G595" s="26"/>
      <c r="H595" s="26"/>
      <c r="I595" s="25"/>
      <c r="J595" s="25"/>
      <c r="K595" s="25"/>
      <c r="L595" s="25"/>
      <c r="M595" s="25"/>
    </row>
    <row r="596" spans="1:13" ht="14.25" customHeight="1" x14ac:dyDescent="0.3">
      <c r="A596" s="25"/>
      <c r="B596" s="25"/>
      <c r="C596" s="26"/>
      <c r="D596" s="27"/>
      <c r="E596" s="26"/>
      <c r="F596" s="26"/>
      <c r="G596" s="26"/>
      <c r="H596" s="26"/>
      <c r="I596" s="25"/>
      <c r="J596" s="25"/>
      <c r="K596" s="25"/>
      <c r="L596" s="25"/>
      <c r="M596" s="25"/>
    </row>
    <row r="597" spans="1:13" ht="14.25" customHeight="1" x14ac:dyDescent="0.3">
      <c r="A597" s="25"/>
      <c r="B597" s="25"/>
      <c r="C597" s="26"/>
      <c r="D597" s="27"/>
      <c r="E597" s="26"/>
      <c r="F597" s="26"/>
      <c r="G597" s="26"/>
      <c r="H597" s="26"/>
      <c r="I597" s="25"/>
      <c r="J597" s="25"/>
      <c r="K597" s="25"/>
      <c r="L597" s="25"/>
      <c r="M597" s="25"/>
    </row>
    <row r="598" spans="1:13" ht="14.25" customHeight="1" x14ac:dyDescent="0.3">
      <c r="A598" s="25"/>
      <c r="B598" s="25"/>
      <c r="C598" s="26"/>
      <c r="D598" s="27"/>
      <c r="E598" s="26"/>
      <c r="F598" s="26"/>
      <c r="G598" s="26"/>
      <c r="H598" s="26"/>
      <c r="I598" s="25"/>
      <c r="J598" s="25"/>
      <c r="K598" s="25"/>
      <c r="L598" s="25"/>
      <c r="M598" s="25"/>
    </row>
    <row r="599" spans="1:13" ht="14.25" customHeight="1" x14ac:dyDescent="0.3">
      <c r="A599" s="25"/>
      <c r="B599" s="25"/>
      <c r="C599" s="26"/>
      <c r="D599" s="27"/>
      <c r="E599" s="26"/>
      <c r="F599" s="26"/>
      <c r="G599" s="26"/>
      <c r="H599" s="26"/>
      <c r="I599" s="25"/>
      <c r="J599" s="25"/>
      <c r="K599" s="25"/>
      <c r="L599" s="25"/>
      <c r="M599" s="25"/>
    </row>
    <row r="600" spans="1:13" ht="14.25" customHeight="1" x14ac:dyDescent="0.3">
      <c r="A600" s="25"/>
      <c r="B600" s="25"/>
      <c r="C600" s="26"/>
      <c r="D600" s="27"/>
      <c r="E600" s="26"/>
      <c r="F600" s="26"/>
      <c r="G600" s="26"/>
      <c r="H600" s="26"/>
      <c r="I600" s="25"/>
      <c r="J600" s="25"/>
      <c r="K600" s="25"/>
      <c r="L600" s="25"/>
      <c r="M600" s="25"/>
    </row>
    <row r="601" spans="1:13" ht="14.25" customHeight="1" x14ac:dyDescent="0.3">
      <c r="A601" s="25"/>
      <c r="B601" s="25"/>
      <c r="C601" s="26"/>
      <c r="D601" s="27"/>
      <c r="E601" s="26"/>
      <c r="F601" s="26"/>
      <c r="G601" s="26"/>
      <c r="H601" s="26"/>
      <c r="I601" s="25"/>
      <c r="J601" s="25"/>
      <c r="K601" s="25"/>
      <c r="L601" s="25"/>
      <c r="M601" s="25"/>
    </row>
    <row r="602" spans="1:13" ht="14.25" customHeight="1" x14ac:dyDescent="0.3">
      <c r="A602" s="25"/>
      <c r="B602" s="25"/>
      <c r="C602" s="26"/>
      <c r="D602" s="27"/>
      <c r="E602" s="26"/>
      <c r="F602" s="26"/>
      <c r="G602" s="26"/>
      <c r="H602" s="26"/>
      <c r="I602" s="25"/>
      <c r="J602" s="25"/>
      <c r="K602" s="25"/>
      <c r="L602" s="25"/>
      <c r="M602" s="25"/>
    </row>
    <row r="603" spans="1:13" ht="14.25" customHeight="1" x14ac:dyDescent="0.3">
      <c r="A603" s="25"/>
      <c r="B603" s="25"/>
      <c r="C603" s="26"/>
      <c r="D603" s="27"/>
      <c r="E603" s="26"/>
      <c r="F603" s="26"/>
      <c r="G603" s="26"/>
      <c r="H603" s="26"/>
      <c r="I603" s="25"/>
      <c r="J603" s="25"/>
      <c r="K603" s="25"/>
      <c r="L603" s="25"/>
      <c r="M603" s="25"/>
    </row>
    <row r="604" spans="1:13" ht="14.25" customHeight="1" x14ac:dyDescent="0.3">
      <c r="A604" s="25"/>
      <c r="B604" s="25"/>
      <c r="C604" s="26"/>
      <c r="D604" s="27"/>
      <c r="E604" s="26"/>
      <c r="F604" s="26"/>
      <c r="G604" s="26"/>
      <c r="H604" s="26"/>
      <c r="I604" s="25"/>
      <c r="J604" s="25"/>
      <c r="K604" s="25"/>
      <c r="L604" s="25"/>
      <c r="M604" s="25"/>
    </row>
    <row r="605" spans="1:13" ht="14.25" customHeight="1" x14ac:dyDescent="0.3">
      <c r="A605" s="25"/>
      <c r="B605" s="25"/>
      <c r="C605" s="26"/>
      <c r="D605" s="27"/>
      <c r="E605" s="26"/>
      <c r="F605" s="26"/>
      <c r="G605" s="26"/>
      <c r="H605" s="26"/>
      <c r="I605" s="25"/>
      <c r="J605" s="25"/>
      <c r="K605" s="25"/>
      <c r="L605" s="25"/>
      <c r="M605" s="25"/>
    </row>
    <row r="606" spans="1:13" ht="14.25" customHeight="1" x14ac:dyDescent="0.3">
      <c r="A606" s="25"/>
      <c r="B606" s="25"/>
      <c r="C606" s="26"/>
      <c r="D606" s="27"/>
      <c r="E606" s="26"/>
      <c r="F606" s="26"/>
      <c r="G606" s="26"/>
      <c r="H606" s="26"/>
      <c r="I606" s="25"/>
      <c r="J606" s="25"/>
      <c r="K606" s="25"/>
      <c r="L606" s="25"/>
      <c r="M606" s="25"/>
    </row>
    <row r="607" spans="1:13" ht="14.25" customHeight="1" x14ac:dyDescent="0.3">
      <c r="A607" s="25"/>
      <c r="B607" s="25"/>
      <c r="C607" s="26"/>
      <c r="D607" s="27"/>
      <c r="E607" s="26"/>
      <c r="F607" s="26"/>
      <c r="G607" s="26"/>
      <c r="H607" s="26"/>
      <c r="I607" s="25"/>
      <c r="J607" s="25"/>
      <c r="K607" s="25"/>
      <c r="L607" s="25"/>
      <c r="M607" s="25"/>
    </row>
    <row r="608" spans="1:13" ht="14.25" customHeight="1" x14ac:dyDescent="0.3">
      <c r="A608" s="25"/>
      <c r="B608" s="25"/>
      <c r="C608" s="26"/>
      <c r="D608" s="27"/>
      <c r="E608" s="26"/>
      <c r="F608" s="26"/>
      <c r="G608" s="26"/>
      <c r="H608" s="26"/>
      <c r="I608" s="25"/>
      <c r="J608" s="25"/>
      <c r="K608" s="25"/>
      <c r="L608" s="25"/>
      <c r="M608" s="25"/>
    </row>
    <row r="609" spans="1:13" ht="14.25" customHeight="1" x14ac:dyDescent="0.3">
      <c r="A609" s="25"/>
      <c r="B609" s="25"/>
      <c r="C609" s="26"/>
      <c r="D609" s="27"/>
      <c r="E609" s="26"/>
      <c r="F609" s="26"/>
      <c r="G609" s="26"/>
      <c r="H609" s="26"/>
      <c r="I609" s="25"/>
      <c r="J609" s="25"/>
      <c r="K609" s="25"/>
      <c r="L609" s="25"/>
      <c r="M609" s="25"/>
    </row>
    <row r="610" spans="1:13" ht="14.25" customHeight="1" x14ac:dyDescent="0.3">
      <c r="A610" s="25"/>
      <c r="B610" s="25"/>
      <c r="C610" s="26"/>
      <c r="D610" s="27"/>
      <c r="E610" s="26"/>
      <c r="F610" s="26"/>
      <c r="G610" s="26"/>
      <c r="H610" s="26"/>
      <c r="I610" s="25"/>
      <c r="J610" s="25"/>
      <c r="K610" s="25"/>
      <c r="L610" s="25"/>
      <c r="M610" s="25"/>
    </row>
    <row r="611" spans="1:13" ht="14.25" customHeight="1" x14ac:dyDescent="0.3">
      <c r="A611" s="25"/>
      <c r="B611" s="25"/>
      <c r="C611" s="26"/>
      <c r="D611" s="27"/>
      <c r="E611" s="26"/>
      <c r="F611" s="26"/>
      <c r="G611" s="26"/>
      <c r="H611" s="26"/>
      <c r="I611" s="25"/>
      <c r="J611" s="25"/>
      <c r="K611" s="25"/>
      <c r="L611" s="25"/>
      <c r="M611" s="25"/>
    </row>
    <row r="612" spans="1:13" ht="14.25" customHeight="1" x14ac:dyDescent="0.3">
      <c r="A612" s="25"/>
      <c r="B612" s="25"/>
      <c r="C612" s="26"/>
      <c r="D612" s="27"/>
      <c r="E612" s="26"/>
      <c r="F612" s="26"/>
      <c r="G612" s="26"/>
      <c r="H612" s="26"/>
      <c r="I612" s="25"/>
      <c r="J612" s="25"/>
      <c r="K612" s="25"/>
      <c r="L612" s="25"/>
      <c r="M612" s="25"/>
    </row>
    <row r="613" spans="1:13" ht="14.25" customHeight="1" x14ac:dyDescent="0.3">
      <c r="A613" s="25"/>
      <c r="B613" s="25"/>
      <c r="C613" s="26"/>
      <c r="D613" s="27"/>
      <c r="E613" s="26"/>
      <c r="F613" s="26"/>
      <c r="G613" s="26"/>
      <c r="H613" s="26"/>
      <c r="I613" s="25"/>
      <c r="J613" s="25"/>
      <c r="K613" s="25"/>
      <c r="L613" s="25"/>
      <c r="M613" s="25"/>
    </row>
    <row r="614" spans="1:13" ht="14.25" customHeight="1" x14ac:dyDescent="0.3">
      <c r="A614" s="25"/>
      <c r="B614" s="25"/>
      <c r="C614" s="26"/>
      <c r="D614" s="27"/>
      <c r="E614" s="26"/>
      <c r="F614" s="26"/>
      <c r="G614" s="26"/>
      <c r="H614" s="26"/>
      <c r="I614" s="25"/>
      <c r="J614" s="25"/>
      <c r="K614" s="25"/>
      <c r="L614" s="25"/>
      <c r="M614" s="25"/>
    </row>
    <row r="615" spans="1:13" ht="14.25" customHeight="1" x14ac:dyDescent="0.3">
      <c r="A615" s="25"/>
      <c r="B615" s="25"/>
      <c r="C615" s="26"/>
      <c r="D615" s="27"/>
      <c r="E615" s="26"/>
      <c r="F615" s="26"/>
      <c r="G615" s="26"/>
      <c r="H615" s="26"/>
      <c r="I615" s="25"/>
      <c r="J615" s="25"/>
      <c r="K615" s="25"/>
      <c r="L615" s="25"/>
      <c r="M615" s="25"/>
    </row>
    <row r="616" spans="1:13" ht="14.25" customHeight="1" x14ac:dyDescent="0.3">
      <c r="A616" s="25"/>
      <c r="B616" s="25"/>
      <c r="C616" s="26"/>
      <c r="D616" s="27"/>
      <c r="E616" s="26"/>
      <c r="F616" s="26"/>
      <c r="G616" s="26"/>
      <c r="H616" s="26"/>
      <c r="I616" s="25"/>
      <c r="J616" s="25"/>
      <c r="K616" s="25"/>
      <c r="L616" s="25"/>
      <c r="M616" s="25"/>
    </row>
    <row r="617" spans="1:13" ht="14.25" customHeight="1" x14ac:dyDescent="0.3">
      <c r="A617" s="25"/>
      <c r="B617" s="25"/>
      <c r="C617" s="26"/>
      <c r="D617" s="27"/>
      <c r="E617" s="26"/>
      <c r="F617" s="26"/>
      <c r="G617" s="26"/>
      <c r="H617" s="26"/>
      <c r="I617" s="25"/>
      <c r="J617" s="25"/>
      <c r="K617" s="25"/>
      <c r="L617" s="25"/>
      <c r="M617" s="25"/>
    </row>
    <row r="618" spans="1:13" ht="14.25" customHeight="1" x14ac:dyDescent="0.3">
      <c r="A618" s="25"/>
      <c r="B618" s="25"/>
      <c r="C618" s="26"/>
      <c r="D618" s="27"/>
      <c r="E618" s="26"/>
      <c r="F618" s="26"/>
      <c r="G618" s="26"/>
      <c r="H618" s="26"/>
      <c r="I618" s="25"/>
      <c r="J618" s="25"/>
      <c r="K618" s="25"/>
      <c r="L618" s="25"/>
      <c r="M618" s="25"/>
    </row>
    <row r="619" spans="1:13" ht="14.25" customHeight="1" x14ac:dyDescent="0.3">
      <c r="A619" s="25"/>
      <c r="B619" s="25"/>
      <c r="C619" s="26"/>
      <c r="D619" s="27"/>
      <c r="E619" s="26"/>
      <c r="F619" s="26"/>
      <c r="G619" s="26"/>
      <c r="H619" s="26"/>
      <c r="I619" s="25"/>
      <c r="J619" s="25"/>
      <c r="K619" s="25"/>
      <c r="L619" s="25"/>
      <c r="M619" s="25"/>
    </row>
    <row r="620" spans="1:13" ht="14.25" customHeight="1" x14ac:dyDescent="0.3">
      <c r="A620" s="25"/>
      <c r="B620" s="25"/>
      <c r="C620" s="26"/>
      <c r="D620" s="27"/>
      <c r="E620" s="26"/>
      <c r="F620" s="26"/>
      <c r="G620" s="26"/>
      <c r="H620" s="26"/>
      <c r="I620" s="25"/>
      <c r="J620" s="25"/>
      <c r="K620" s="25"/>
      <c r="L620" s="25"/>
      <c r="M620" s="25"/>
    </row>
    <row r="621" spans="1:13" ht="14.25" customHeight="1" x14ac:dyDescent="0.3">
      <c r="A621" s="25"/>
      <c r="B621" s="25"/>
      <c r="C621" s="26"/>
      <c r="D621" s="27"/>
      <c r="E621" s="26"/>
      <c r="F621" s="26"/>
      <c r="G621" s="26"/>
      <c r="H621" s="26"/>
      <c r="I621" s="25"/>
      <c r="J621" s="25"/>
      <c r="K621" s="25"/>
      <c r="L621" s="25"/>
      <c r="M621" s="25"/>
    </row>
    <row r="622" spans="1:13" ht="14.25" customHeight="1" x14ac:dyDescent="0.3">
      <c r="A622" s="25"/>
      <c r="B622" s="25"/>
      <c r="C622" s="26"/>
      <c r="D622" s="27"/>
      <c r="E622" s="26"/>
      <c r="F622" s="26"/>
      <c r="G622" s="26"/>
      <c r="H622" s="26"/>
      <c r="I622" s="25"/>
      <c r="J622" s="25"/>
      <c r="K622" s="25"/>
      <c r="L622" s="25"/>
      <c r="M622" s="25"/>
    </row>
    <row r="623" spans="1:13" ht="14.25" customHeight="1" x14ac:dyDescent="0.3">
      <c r="A623" s="25"/>
      <c r="B623" s="25"/>
      <c r="C623" s="26"/>
      <c r="D623" s="27"/>
      <c r="E623" s="26"/>
      <c r="F623" s="26"/>
      <c r="G623" s="26"/>
      <c r="H623" s="26"/>
      <c r="I623" s="25"/>
      <c r="J623" s="25"/>
      <c r="K623" s="25"/>
      <c r="L623" s="25"/>
      <c r="M623" s="25"/>
    </row>
    <row r="624" spans="1:13" ht="14.25" customHeight="1" x14ac:dyDescent="0.3">
      <c r="A624" s="25"/>
      <c r="B624" s="25"/>
      <c r="C624" s="26"/>
      <c r="D624" s="27"/>
      <c r="E624" s="26"/>
      <c r="F624" s="26"/>
      <c r="G624" s="26"/>
      <c r="H624" s="26"/>
      <c r="I624" s="25"/>
      <c r="J624" s="25"/>
      <c r="K624" s="25"/>
      <c r="L624" s="25"/>
      <c r="M624" s="25"/>
    </row>
    <row r="625" spans="1:13" ht="14.25" customHeight="1" x14ac:dyDescent="0.3">
      <c r="A625" s="25"/>
      <c r="B625" s="25"/>
      <c r="C625" s="26"/>
      <c r="D625" s="27"/>
      <c r="E625" s="26"/>
      <c r="F625" s="26"/>
      <c r="G625" s="26"/>
      <c r="H625" s="26"/>
      <c r="I625" s="25"/>
      <c r="J625" s="25"/>
      <c r="K625" s="25"/>
      <c r="L625" s="25"/>
      <c r="M625" s="25"/>
    </row>
    <row r="626" spans="1:13" ht="14.25" customHeight="1" x14ac:dyDescent="0.3">
      <c r="A626" s="25"/>
      <c r="B626" s="25"/>
      <c r="C626" s="26"/>
      <c r="D626" s="27"/>
      <c r="E626" s="26"/>
      <c r="F626" s="26"/>
      <c r="G626" s="26"/>
      <c r="H626" s="26"/>
      <c r="I626" s="25"/>
      <c r="J626" s="25"/>
      <c r="K626" s="25"/>
      <c r="L626" s="25"/>
      <c r="M626" s="25"/>
    </row>
    <row r="627" spans="1:13" ht="14.25" customHeight="1" x14ac:dyDescent="0.3">
      <c r="A627" s="25"/>
      <c r="B627" s="25"/>
      <c r="C627" s="26"/>
      <c r="D627" s="27"/>
      <c r="E627" s="26"/>
      <c r="F627" s="26"/>
      <c r="G627" s="26"/>
      <c r="H627" s="26"/>
      <c r="I627" s="25"/>
      <c r="J627" s="25"/>
      <c r="K627" s="25"/>
      <c r="L627" s="25"/>
      <c r="M627" s="25"/>
    </row>
    <row r="628" spans="1:13" ht="14.25" customHeight="1" x14ac:dyDescent="0.3">
      <c r="A628" s="25"/>
      <c r="B628" s="25"/>
      <c r="C628" s="26"/>
      <c r="D628" s="27"/>
      <c r="E628" s="26"/>
      <c r="F628" s="26"/>
      <c r="G628" s="26"/>
      <c r="H628" s="26"/>
      <c r="I628" s="25"/>
      <c r="J628" s="25"/>
      <c r="K628" s="25"/>
      <c r="L628" s="25"/>
      <c r="M628" s="25"/>
    </row>
    <row r="629" spans="1:13" ht="14.25" customHeight="1" x14ac:dyDescent="0.3">
      <c r="A629" s="25"/>
      <c r="B629" s="25"/>
      <c r="C629" s="26"/>
      <c r="D629" s="27"/>
      <c r="E629" s="26"/>
      <c r="F629" s="26"/>
      <c r="G629" s="26"/>
      <c r="H629" s="26"/>
      <c r="I629" s="25"/>
      <c r="J629" s="25"/>
      <c r="K629" s="25"/>
      <c r="L629" s="25"/>
      <c r="M629" s="25"/>
    </row>
    <row r="630" spans="1:13" ht="14.25" customHeight="1" x14ac:dyDescent="0.3">
      <c r="A630" s="25"/>
      <c r="B630" s="25"/>
      <c r="C630" s="26"/>
      <c r="D630" s="27"/>
      <c r="E630" s="26"/>
      <c r="F630" s="26"/>
      <c r="G630" s="26"/>
      <c r="H630" s="26"/>
      <c r="I630" s="25"/>
      <c r="J630" s="25"/>
      <c r="K630" s="25"/>
      <c r="L630" s="25"/>
      <c r="M630" s="25"/>
    </row>
    <row r="631" spans="1:13" ht="14.25" customHeight="1" x14ac:dyDescent="0.3">
      <c r="A631" s="25"/>
      <c r="B631" s="25"/>
      <c r="C631" s="26"/>
      <c r="D631" s="27"/>
      <c r="E631" s="26"/>
      <c r="F631" s="26"/>
      <c r="G631" s="26"/>
      <c r="H631" s="26"/>
      <c r="I631" s="25"/>
      <c r="J631" s="25"/>
      <c r="K631" s="25"/>
      <c r="L631" s="25"/>
      <c r="M631" s="25"/>
    </row>
    <row r="632" spans="1:13" ht="14.25" customHeight="1" x14ac:dyDescent="0.3">
      <c r="A632" s="25"/>
      <c r="B632" s="25"/>
      <c r="C632" s="26"/>
      <c r="D632" s="27"/>
      <c r="E632" s="26"/>
      <c r="F632" s="26"/>
      <c r="G632" s="26"/>
      <c r="H632" s="26"/>
      <c r="I632" s="25"/>
      <c r="J632" s="25"/>
      <c r="K632" s="25"/>
      <c r="L632" s="25"/>
      <c r="M632" s="25"/>
    </row>
    <row r="633" spans="1:13" ht="14.25" customHeight="1" x14ac:dyDescent="0.3">
      <c r="A633" s="25"/>
      <c r="B633" s="25"/>
      <c r="C633" s="26"/>
      <c r="D633" s="27"/>
      <c r="E633" s="26"/>
      <c r="F633" s="26"/>
      <c r="G633" s="26"/>
      <c r="H633" s="26"/>
      <c r="I633" s="25"/>
      <c r="J633" s="25"/>
      <c r="K633" s="25"/>
      <c r="L633" s="25"/>
      <c r="M633" s="25"/>
    </row>
    <row r="634" spans="1:13" ht="14.25" customHeight="1" x14ac:dyDescent="0.3">
      <c r="A634" s="25"/>
      <c r="B634" s="25"/>
      <c r="C634" s="26"/>
      <c r="D634" s="27"/>
      <c r="E634" s="26"/>
      <c r="F634" s="26"/>
      <c r="G634" s="26"/>
      <c r="H634" s="26"/>
      <c r="I634" s="25"/>
      <c r="J634" s="25"/>
      <c r="K634" s="25"/>
      <c r="L634" s="25"/>
      <c r="M634" s="25"/>
    </row>
    <row r="635" spans="1:13" ht="14.25" customHeight="1" x14ac:dyDescent="0.3">
      <c r="A635" s="25"/>
      <c r="B635" s="25"/>
      <c r="C635" s="26"/>
      <c r="D635" s="27"/>
      <c r="E635" s="26"/>
      <c r="F635" s="26"/>
      <c r="G635" s="26"/>
      <c r="H635" s="26"/>
      <c r="I635" s="25"/>
      <c r="J635" s="25"/>
      <c r="K635" s="25"/>
      <c r="L635" s="25"/>
      <c r="M635" s="25"/>
    </row>
    <row r="636" spans="1:13" ht="14.25" customHeight="1" x14ac:dyDescent="0.3">
      <c r="A636" s="25"/>
      <c r="B636" s="25"/>
      <c r="C636" s="26"/>
      <c r="D636" s="27"/>
      <c r="E636" s="26"/>
      <c r="F636" s="26"/>
      <c r="G636" s="26"/>
      <c r="H636" s="26"/>
      <c r="I636" s="25"/>
      <c r="J636" s="25"/>
      <c r="K636" s="25"/>
      <c r="L636" s="25"/>
      <c r="M636" s="25"/>
    </row>
    <row r="637" spans="1:13" ht="14.25" customHeight="1" x14ac:dyDescent="0.3">
      <c r="A637" s="25"/>
      <c r="B637" s="25"/>
      <c r="C637" s="26"/>
      <c r="D637" s="27"/>
      <c r="E637" s="26"/>
      <c r="F637" s="26"/>
      <c r="G637" s="26"/>
      <c r="H637" s="26"/>
      <c r="I637" s="25"/>
      <c r="J637" s="25"/>
      <c r="K637" s="25"/>
      <c r="L637" s="25"/>
      <c r="M637" s="25"/>
    </row>
    <row r="638" spans="1:13" ht="14.25" customHeight="1" x14ac:dyDescent="0.3">
      <c r="A638" s="25"/>
      <c r="B638" s="25"/>
      <c r="C638" s="26"/>
      <c r="D638" s="27"/>
      <c r="E638" s="26"/>
      <c r="F638" s="26"/>
      <c r="G638" s="26"/>
      <c r="H638" s="26"/>
      <c r="I638" s="25"/>
      <c r="J638" s="25"/>
      <c r="K638" s="25"/>
      <c r="L638" s="25"/>
      <c r="M638" s="25"/>
    </row>
    <row r="639" spans="1:13" ht="14.25" customHeight="1" x14ac:dyDescent="0.3">
      <c r="A639" s="25"/>
      <c r="B639" s="25"/>
      <c r="C639" s="26"/>
      <c r="D639" s="27"/>
      <c r="E639" s="26"/>
      <c r="F639" s="26"/>
      <c r="G639" s="26"/>
      <c r="H639" s="26"/>
      <c r="I639" s="25"/>
      <c r="J639" s="25"/>
      <c r="K639" s="25"/>
      <c r="L639" s="25"/>
      <c r="M639" s="25"/>
    </row>
    <row r="640" spans="1:13" ht="14.25" customHeight="1" x14ac:dyDescent="0.3">
      <c r="A640" s="25"/>
      <c r="B640" s="25"/>
      <c r="C640" s="26"/>
      <c r="D640" s="27"/>
      <c r="E640" s="26"/>
      <c r="F640" s="26"/>
      <c r="G640" s="26"/>
      <c r="H640" s="26"/>
      <c r="I640" s="25"/>
      <c r="J640" s="25"/>
      <c r="K640" s="25"/>
      <c r="L640" s="25"/>
      <c r="M640" s="25"/>
    </row>
    <row r="641" spans="1:13" ht="14.25" customHeight="1" x14ac:dyDescent="0.3">
      <c r="A641" s="25"/>
      <c r="B641" s="25"/>
      <c r="C641" s="26"/>
      <c r="D641" s="27"/>
      <c r="E641" s="26"/>
      <c r="F641" s="26"/>
      <c r="G641" s="26"/>
      <c r="H641" s="26"/>
      <c r="I641" s="25"/>
      <c r="J641" s="25"/>
      <c r="K641" s="25"/>
      <c r="L641" s="25"/>
      <c r="M641" s="25"/>
    </row>
    <row r="642" spans="1:13" ht="14.25" customHeight="1" x14ac:dyDescent="0.3">
      <c r="A642" s="25"/>
      <c r="B642" s="25"/>
      <c r="C642" s="26"/>
      <c r="D642" s="27"/>
      <c r="E642" s="26"/>
      <c r="F642" s="26"/>
      <c r="G642" s="26"/>
      <c r="H642" s="26"/>
      <c r="I642" s="25"/>
      <c r="J642" s="25"/>
      <c r="K642" s="25"/>
      <c r="L642" s="25"/>
      <c r="M642" s="25"/>
    </row>
    <row r="643" spans="1:13" ht="14.25" customHeight="1" x14ac:dyDescent="0.3">
      <c r="A643" s="25"/>
      <c r="B643" s="25"/>
      <c r="C643" s="26"/>
      <c r="D643" s="27"/>
      <c r="E643" s="26"/>
      <c r="F643" s="26"/>
      <c r="G643" s="26"/>
      <c r="H643" s="26"/>
      <c r="I643" s="25"/>
      <c r="J643" s="25"/>
      <c r="K643" s="25"/>
      <c r="L643" s="25"/>
      <c r="M643" s="25"/>
    </row>
    <row r="644" spans="1:13" ht="14.25" customHeight="1" x14ac:dyDescent="0.3">
      <c r="A644" s="25"/>
      <c r="B644" s="25"/>
      <c r="C644" s="26"/>
      <c r="D644" s="27"/>
      <c r="E644" s="26"/>
      <c r="F644" s="26"/>
      <c r="G644" s="26"/>
      <c r="H644" s="26"/>
      <c r="I644" s="25"/>
      <c r="J644" s="25"/>
      <c r="K644" s="25"/>
      <c r="L644" s="25"/>
      <c r="M644" s="25"/>
    </row>
    <row r="645" spans="1:13" ht="14.25" customHeight="1" x14ac:dyDescent="0.3">
      <c r="A645" s="25"/>
      <c r="B645" s="25"/>
      <c r="C645" s="26"/>
      <c r="D645" s="27"/>
      <c r="E645" s="26"/>
      <c r="F645" s="26"/>
      <c r="G645" s="26"/>
      <c r="H645" s="26"/>
      <c r="I645" s="25"/>
      <c r="J645" s="25"/>
      <c r="K645" s="25"/>
      <c r="L645" s="25"/>
      <c r="M645" s="25"/>
    </row>
    <row r="646" spans="1:13" ht="14.25" customHeight="1" x14ac:dyDescent="0.3">
      <c r="A646" s="25"/>
      <c r="B646" s="25"/>
      <c r="C646" s="26"/>
      <c r="D646" s="27"/>
      <c r="E646" s="26"/>
      <c r="F646" s="26"/>
      <c r="G646" s="26"/>
      <c r="H646" s="26"/>
      <c r="I646" s="25"/>
      <c r="J646" s="25"/>
      <c r="K646" s="25"/>
      <c r="L646" s="25"/>
      <c r="M646" s="25"/>
    </row>
    <row r="647" spans="1:13" ht="14.25" customHeight="1" x14ac:dyDescent="0.3">
      <c r="A647" s="25"/>
      <c r="B647" s="25"/>
      <c r="C647" s="26"/>
      <c r="D647" s="27"/>
      <c r="E647" s="26"/>
      <c r="F647" s="26"/>
      <c r="G647" s="26"/>
      <c r="H647" s="26"/>
      <c r="I647" s="25"/>
      <c r="J647" s="25"/>
      <c r="K647" s="25"/>
      <c r="L647" s="25"/>
      <c r="M647" s="25"/>
    </row>
    <row r="648" spans="1:13" ht="14.25" customHeight="1" x14ac:dyDescent="0.3">
      <c r="A648" s="25"/>
      <c r="B648" s="25"/>
      <c r="C648" s="26"/>
      <c r="D648" s="27"/>
      <c r="E648" s="26"/>
      <c r="F648" s="26"/>
      <c r="G648" s="26"/>
      <c r="H648" s="26"/>
      <c r="I648" s="25"/>
      <c r="J648" s="25"/>
      <c r="K648" s="25"/>
      <c r="L648" s="25"/>
      <c r="M648" s="25"/>
    </row>
    <row r="649" spans="1:13" ht="14.25" customHeight="1" x14ac:dyDescent="0.3">
      <c r="A649" s="25"/>
      <c r="B649" s="25"/>
      <c r="C649" s="26"/>
      <c r="D649" s="27"/>
      <c r="E649" s="26"/>
      <c r="F649" s="26"/>
      <c r="G649" s="26"/>
      <c r="H649" s="26"/>
      <c r="I649" s="25"/>
      <c r="J649" s="25"/>
      <c r="K649" s="25"/>
      <c r="L649" s="25"/>
      <c r="M649" s="25"/>
    </row>
    <row r="650" spans="1:13" ht="14.25" customHeight="1" x14ac:dyDescent="0.3">
      <c r="A650" s="25"/>
      <c r="B650" s="25"/>
      <c r="C650" s="26"/>
      <c r="D650" s="27"/>
      <c r="E650" s="26"/>
      <c r="F650" s="26"/>
      <c r="G650" s="26"/>
      <c r="H650" s="26"/>
      <c r="I650" s="25"/>
      <c r="J650" s="25"/>
      <c r="K650" s="25"/>
      <c r="L650" s="25"/>
      <c r="M650" s="25"/>
    </row>
    <row r="651" spans="1:13" ht="14.25" customHeight="1" x14ac:dyDescent="0.3">
      <c r="A651" s="25"/>
      <c r="B651" s="25"/>
      <c r="C651" s="26"/>
      <c r="D651" s="27"/>
      <c r="E651" s="26"/>
      <c r="F651" s="26"/>
      <c r="G651" s="26"/>
      <c r="H651" s="26"/>
      <c r="I651" s="25"/>
      <c r="J651" s="25"/>
      <c r="K651" s="25"/>
      <c r="L651" s="25"/>
      <c r="M651" s="25"/>
    </row>
    <row r="652" spans="1:13" ht="14.25" customHeight="1" x14ac:dyDescent="0.3">
      <c r="A652" s="25"/>
      <c r="B652" s="25"/>
      <c r="C652" s="26"/>
      <c r="D652" s="27"/>
      <c r="E652" s="26"/>
      <c r="F652" s="26"/>
      <c r="G652" s="26"/>
      <c r="H652" s="26"/>
      <c r="I652" s="25"/>
      <c r="J652" s="25"/>
      <c r="K652" s="25"/>
      <c r="L652" s="25"/>
      <c r="M652" s="25"/>
    </row>
    <row r="653" spans="1:13" ht="14.25" customHeight="1" x14ac:dyDescent="0.3">
      <c r="A653" s="25"/>
      <c r="B653" s="25"/>
      <c r="C653" s="26"/>
      <c r="D653" s="27"/>
      <c r="E653" s="26"/>
      <c r="F653" s="26"/>
      <c r="G653" s="26"/>
      <c r="H653" s="26"/>
      <c r="I653" s="25"/>
      <c r="J653" s="25"/>
      <c r="K653" s="25"/>
      <c r="L653" s="25"/>
      <c r="M653" s="25"/>
    </row>
    <row r="654" spans="1:13" ht="14.25" customHeight="1" x14ac:dyDescent="0.3">
      <c r="A654" s="25"/>
      <c r="B654" s="25"/>
      <c r="C654" s="26"/>
      <c r="D654" s="27"/>
      <c r="E654" s="26"/>
      <c r="F654" s="26"/>
      <c r="G654" s="26"/>
      <c r="H654" s="26"/>
      <c r="I654" s="25"/>
      <c r="J654" s="25"/>
      <c r="K654" s="25"/>
      <c r="L654" s="25"/>
      <c r="M654" s="25"/>
    </row>
    <row r="655" spans="1:13" ht="14.25" customHeight="1" x14ac:dyDescent="0.3">
      <c r="A655" s="25"/>
      <c r="B655" s="25"/>
      <c r="C655" s="26"/>
      <c r="D655" s="27"/>
      <c r="E655" s="26"/>
      <c r="F655" s="26"/>
      <c r="G655" s="26"/>
      <c r="H655" s="26"/>
      <c r="I655" s="25"/>
      <c r="J655" s="25"/>
      <c r="K655" s="25"/>
      <c r="L655" s="25"/>
      <c r="M655" s="25"/>
    </row>
    <row r="656" spans="1:13" ht="14.25" customHeight="1" x14ac:dyDescent="0.3">
      <c r="A656" s="25"/>
      <c r="B656" s="25"/>
      <c r="C656" s="26"/>
      <c r="D656" s="27"/>
      <c r="E656" s="26"/>
      <c r="F656" s="26"/>
      <c r="G656" s="26"/>
      <c r="H656" s="26"/>
      <c r="I656" s="25"/>
      <c r="J656" s="25"/>
      <c r="K656" s="25"/>
      <c r="L656" s="25"/>
      <c r="M656" s="25"/>
    </row>
    <row r="657" spans="1:13" ht="14.25" customHeight="1" x14ac:dyDescent="0.3">
      <c r="A657" s="25"/>
      <c r="B657" s="25"/>
      <c r="C657" s="26"/>
      <c r="D657" s="27"/>
      <c r="E657" s="26"/>
      <c r="F657" s="26"/>
      <c r="G657" s="26"/>
      <c r="H657" s="26"/>
      <c r="I657" s="25"/>
      <c r="J657" s="25"/>
      <c r="K657" s="25"/>
      <c r="L657" s="25"/>
      <c r="M657" s="25"/>
    </row>
    <row r="658" spans="1:13" ht="14.25" customHeight="1" x14ac:dyDescent="0.3">
      <c r="A658" s="25"/>
      <c r="B658" s="25"/>
      <c r="C658" s="26"/>
      <c r="D658" s="27"/>
      <c r="E658" s="26"/>
      <c r="F658" s="26"/>
      <c r="G658" s="26"/>
      <c r="H658" s="26"/>
      <c r="I658" s="25"/>
      <c r="J658" s="25"/>
      <c r="K658" s="25"/>
      <c r="L658" s="25"/>
      <c r="M658" s="25"/>
    </row>
    <row r="659" spans="1:13" ht="14.25" customHeight="1" x14ac:dyDescent="0.3">
      <c r="A659" s="25"/>
      <c r="B659" s="25"/>
      <c r="C659" s="26"/>
      <c r="D659" s="27"/>
      <c r="E659" s="26"/>
      <c r="F659" s="26"/>
      <c r="G659" s="26"/>
      <c r="H659" s="26"/>
      <c r="I659" s="25"/>
      <c r="J659" s="25"/>
      <c r="K659" s="25"/>
      <c r="L659" s="25"/>
      <c r="M659" s="25"/>
    </row>
    <row r="660" spans="1:13" ht="14.25" customHeight="1" x14ac:dyDescent="0.3">
      <c r="A660" s="25"/>
      <c r="B660" s="25"/>
      <c r="C660" s="26"/>
      <c r="D660" s="27"/>
      <c r="E660" s="26"/>
      <c r="F660" s="26"/>
      <c r="G660" s="26"/>
      <c r="H660" s="26"/>
      <c r="I660" s="25"/>
      <c r="J660" s="25"/>
      <c r="K660" s="25"/>
      <c r="L660" s="25"/>
      <c r="M660" s="25"/>
    </row>
    <row r="661" spans="1:13" ht="14.25" customHeight="1" x14ac:dyDescent="0.3">
      <c r="A661" s="25"/>
      <c r="B661" s="25"/>
      <c r="C661" s="26"/>
      <c r="D661" s="27"/>
      <c r="E661" s="26"/>
      <c r="F661" s="26"/>
      <c r="G661" s="26"/>
      <c r="H661" s="26"/>
      <c r="I661" s="25"/>
      <c r="J661" s="25"/>
      <c r="K661" s="25"/>
      <c r="L661" s="25"/>
      <c r="M661" s="25"/>
    </row>
    <row r="662" spans="1:13" ht="14.25" customHeight="1" x14ac:dyDescent="0.3">
      <c r="A662" s="25"/>
      <c r="B662" s="25"/>
      <c r="C662" s="26"/>
      <c r="D662" s="27"/>
      <c r="E662" s="26"/>
      <c r="F662" s="26"/>
      <c r="G662" s="26"/>
      <c r="H662" s="26"/>
      <c r="I662" s="25"/>
      <c r="J662" s="25"/>
      <c r="K662" s="25"/>
      <c r="L662" s="25"/>
      <c r="M662" s="25"/>
    </row>
    <row r="663" spans="1:13" ht="14.25" customHeight="1" x14ac:dyDescent="0.3">
      <c r="A663" s="25"/>
      <c r="B663" s="25"/>
      <c r="C663" s="26"/>
      <c r="D663" s="27"/>
      <c r="E663" s="26"/>
      <c r="F663" s="26"/>
      <c r="G663" s="26"/>
      <c r="H663" s="26"/>
      <c r="I663" s="25"/>
      <c r="J663" s="25"/>
      <c r="K663" s="25"/>
      <c r="L663" s="25"/>
      <c r="M663" s="25"/>
    </row>
    <row r="664" spans="1:13" ht="14.25" customHeight="1" x14ac:dyDescent="0.3">
      <c r="A664" s="25"/>
      <c r="B664" s="25"/>
      <c r="C664" s="26"/>
      <c r="D664" s="27"/>
      <c r="E664" s="26"/>
      <c r="F664" s="26"/>
      <c r="G664" s="26"/>
      <c r="H664" s="26"/>
      <c r="I664" s="25"/>
      <c r="J664" s="25"/>
      <c r="K664" s="25"/>
      <c r="L664" s="25"/>
      <c r="M664" s="25"/>
    </row>
    <row r="665" spans="1:13" ht="14.25" customHeight="1" x14ac:dyDescent="0.3">
      <c r="A665" s="25"/>
      <c r="B665" s="25"/>
      <c r="C665" s="26"/>
      <c r="D665" s="27"/>
      <c r="E665" s="26"/>
      <c r="F665" s="26"/>
      <c r="G665" s="26"/>
      <c r="H665" s="26"/>
      <c r="I665" s="25"/>
      <c r="J665" s="25"/>
      <c r="K665" s="25"/>
      <c r="L665" s="25"/>
      <c r="M665" s="25"/>
    </row>
    <row r="666" spans="1:13" ht="14.25" customHeight="1" x14ac:dyDescent="0.3">
      <c r="A666" s="25"/>
      <c r="B666" s="25"/>
      <c r="C666" s="26"/>
      <c r="D666" s="27"/>
      <c r="E666" s="26"/>
      <c r="F666" s="26"/>
      <c r="G666" s="26"/>
      <c r="H666" s="26"/>
      <c r="I666" s="25"/>
      <c r="J666" s="25"/>
      <c r="K666" s="25"/>
      <c r="L666" s="25"/>
      <c r="M666" s="25"/>
    </row>
    <row r="667" spans="1:13" ht="14.25" customHeight="1" x14ac:dyDescent="0.3">
      <c r="A667" s="25"/>
      <c r="B667" s="25"/>
      <c r="C667" s="26"/>
      <c r="D667" s="27"/>
      <c r="E667" s="26"/>
      <c r="F667" s="26"/>
      <c r="G667" s="26"/>
      <c r="H667" s="26"/>
      <c r="I667" s="25"/>
      <c r="J667" s="25"/>
      <c r="K667" s="25"/>
      <c r="L667" s="25"/>
      <c r="M667" s="25"/>
    </row>
    <row r="668" spans="1:13" ht="14.25" customHeight="1" x14ac:dyDescent="0.3">
      <c r="A668" s="25"/>
      <c r="B668" s="25"/>
      <c r="C668" s="26"/>
      <c r="D668" s="27"/>
      <c r="E668" s="26"/>
      <c r="F668" s="26"/>
      <c r="G668" s="26"/>
      <c r="H668" s="26"/>
      <c r="I668" s="25"/>
      <c r="J668" s="25"/>
      <c r="K668" s="25"/>
      <c r="L668" s="25"/>
      <c r="M668" s="25"/>
    </row>
    <row r="669" spans="1:13" ht="14.25" customHeight="1" x14ac:dyDescent="0.3">
      <c r="A669" s="25"/>
      <c r="B669" s="25"/>
      <c r="C669" s="26"/>
      <c r="D669" s="27"/>
      <c r="E669" s="26"/>
      <c r="F669" s="26"/>
      <c r="G669" s="26"/>
      <c r="H669" s="26"/>
      <c r="I669" s="25"/>
      <c r="J669" s="25"/>
      <c r="K669" s="25"/>
      <c r="L669" s="25"/>
      <c r="M669" s="25"/>
    </row>
    <row r="670" spans="1:13" ht="14.25" customHeight="1" x14ac:dyDescent="0.3">
      <c r="A670" s="25"/>
      <c r="B670" s="25"/>
      <c r="C670" s="26"/>
      <c r="D670" s="27"/>
      <c r="E670" s="26"/>
      <c r="F670" s="26"/>
      <c r="G670" s="26"/>
      <c r="H670" s="26"/>
      <c r="I670" s="25"/>
      <c r="J670" s="25"/>
      <c r="K670" s="25"/>
      <c r="L670" s="25"/>
      <c r="M670" s="25"/>
    </row>
    <row r="671" spans="1:13" ht="14.25" customHeight="1" x14ac:dyDescent="0.3">
      <c r="A671" s="25"/>
      <c r="B671" s="25"/>
      <c r="C671" s="26"/>
      <c r="D671" s="27"/>
      <c r="E671" s="26"/>
      <c r="F671" s="26"/>
      <c r="G671" s="26"/>
      <c r="H671" s="26"/>
      <c r="I671" s="25"/>
      <c r="J671" s="25"/>
      <c r="K671" s="25"/>
      <c r="L671" s="25"/>
      <c r="M671" s="25"/>
    </row>
    <row r="672" spans="1:13" ht="14.25" customHeight="1" x14ac:dyDescent="0.3">
      <c r="A672" s="25"/>
      <c r="B672" s="25"/>
      <c r="C672" s="26"/>
      <c r="D672" s="27"/>
      <c r="E672" s="26"/>
      <c r="F672" s="26"/>
      <c r="G672" s="26"/>
      <c r="H672" s="26"/>
      <c r="I672" s="25"/>
      <c r="J672" s="25"/>
      <c r="K672" s="25"/>
      <c r="L672" s="25"/>
      <c r="M672" s="25"/>
    </row>
    <row r="673" spans="1:13" ht="14.25" customHeight="1" x14ac:dyDescent="0.3">
      <c r="A673" s="25"/>
      <c r="B673" s="25"/>
      <c r="C673" s="26"/>
      <c r="D673" s="27"/>
      <c r="E673" s="26"/>
      <c r="F673" s="26"/>
      <c r="G673" s="26"/>
      <c r="H673" s="26"/>
      <c r="I673" s="25"/>
      <c r="J673" s="25"/>
      <c r="K673" s="25"/>
      <c r="L673" s="25"/>
      <c r="M673" s="25"/>
    </row>
    <row r="674" spans="1:13" ht="14.25" customHeight="1" x14ac:dyDescent="0.3">
      <c r="A674" s="25"/>
      <c r="B674" s="25"/>
      <c r="C674" s="26"/>
      <c r="D674" s="27"/>
      <c r="E674" s="26"/>
      <c r="F674" s="26"/>
      <c r="G674" s="26"/>
      <c r="H674" s="26"/>
      <c r="I674" s="25"/>
      <c r="J674" s="25"/>
      <c r="K674" s="25"/>
      <c r="L674" s="25"/>
      <c r="M674" s="25"/>
    </row>
    <row r="675" spans="1:13" ht="14.25" customHeight="1" x14ac:dyDescent="0.3">
      <c r="A675" s="25"/>
      <c r="B675" s="25"/>
      <c r="C675" s="26"/>
      <c r="D675" s="27"/>
      <c r="E675" s="26"/>
      <c r="F675" s="26"/>
      <c r="G675" s="26"/>
      <c r="H675" s="26"/>
      <c r="I675" s="25"/>
      <c r="J675" s="25"/>
      <c r="K675" s="25"/>
      <c r="L675" s="25"/>
      <c r="M675" s="25"/>
    </row>
    <row r="676" spans="1:13" ht="14.25" customHeight="1" x14ac:dyDescent="0.3">
      <c r="A676" s="25"/>
      <c r="B676" s="25"/>
      <c r="C676" s="26"/>
      <c r="D676" s="27"/>
      <c r="E676" s="26"/>
      <c r="F676" s="26"/>
      <c r="G676" s="26"/>
      <c r="H676" s="26"/>
      <c r="I676" s="25"/>
      <c r="J676" s="25"/>
      <c r="K676" s="25"/>
      <c r="L676" s="25"/>
      <c r="M676" s="25"/>
    </row>
    <row r="677" spans="1:13" ht="14.25" customHeight="1" x14ac:dyDescent="0.3">
      <c r="A677" s="25"/>
      <c r="B677" s="25"/>
      <c r="C677" s="26"/>
      <c r="D677" s="27"/>
      <c r="E677" s="26"/>
      <c r="F677" s="26"/>
      <c r="G677" s="26"/>
      <c r="H677" s="26"/>
      <c r="I677" s="25"/>
      <c r="J677" s="25"/>
      <c r="K677" s="25"/>
      <c r="L677" s="25"/>
      <c r="M677" s="25"/>
    </row>
    <row r="678" spans="1:13" ht="14.25" customHeight="1" x14ac:dyDescent="0.3">
      <c r="A678" s="25"/>
      <c r="B678" s="25"/>
      <c r="C678" s="26"/>
      <c r="D678" s="27"/>
      <c r="E678" s="26"/>
      <c r="F678" s="26"/>
      <c r="G678" s="26"/>
      <c r="H678" s="26"/>
      <c r="I678" s="25"/>
      <c r="J678" s="25"/>
      <c r="K678" s="25"/>
      <c r="L678" s="25"/>
      <c r="M678" s="25"/>
    </row>
    <row r="679" spans="1:13" ht="14.25" customHeight="1" x14ac:dyDescent="0.3">
      <c r="A679" s="25"/>
      <c r="B679" s="25"/>
      <c r="C679" s="26"/>
      <c r="D679" s="27"/>
      <c r="E679" s="26"/>
      <c r="F679" s="26"/>
      <c r="G679" s="26"/>
      <c r="H679" s="26"/>
      <c r="I679" s="25"/>
      <c r="J679" s="25"/>
      <c r="K679" s="25"/>
      <c r="L679" s="25"/>
      <c r="M679" s="25"/>
    </row>
    <row r="680" spans="1:13" ht="14.25" customHeight="1" x14ac:dyDescent="0.3">
      <c r="A680" s="25"/>
      <c r="B680" s="25"/>
      <c r="C680" s="26"/>
      <c r="D680" s="27"/>
      <c r="E680" s="26"/>
      <c r="F680" s="26"/>
      <c r="G680" s="26"/>
      <c r="H680" s="26"/>
      <c r="I680" s="25"/>
      <c r="J680" s="25"/>
      <c r="K680" s="25"/>
      <c r="L680" s="25"/>
      <c r="M680" s="25"/>
    </row>
    <row r="681" spans="1:13" ht="14.25" customHeight="1" x14ac:dyDescent="0.3">
      <c r="A681" s="25"/>
      <c r="B681" s="25"/>
      <c r="C681" s="26"/>
      <c r="D681" s="27"/>
      <c r="E681" s="26"/>
      <c r="F681" s="26"/>
      <c r="G681" s="26"/>
      <c r="H681" s="26"/>
      <c r="I681" s="25"/>
      <c r="J681" s="25"/>
      <c r="K681" s="25"/>
      <c r="L681" s="25"/>
      <c r="M681" s="25"/>
    </row>
    <row r="682" spans="1:13" ht="14.25" customHeight="1" x14ac:dyDescent="0.3">
      <c r="A682" s="25"/>
      <c r="B682" s="25"/>
      <c r="C682" s="26"/>
      <c r="D682" s="27"/>
      <c r="E682" s="26"/>
      <c r="F682" s="26"/>
      <c r="G682" s="26"/>
      <c r="H682" s="26"/>
      <c r="I682" s="25"/>
      <c r="J682" s="25"/>
      <c r="K682" s="25"/>
      <c r="L682" s="25"/>
      <c r="M682" s="25"/>
    </row>
    <row r="683" spans="1:13" ht="14.25" customHeight="1" x14ac:dyDescent="0.3">
      <c r="A683" s="25"/>
      <c r="B683" s="25"/>
      <c r="C683" s="26"/>
      <c r="D683" s="27"/>
      <c r="E683" s="26"/>
      <c r="F683" s="26"/>
      <c r="G683" s="26"/>
      <c r="H683" s="26"/>
      <c r="I683" s="25"/>
      <c r="J683" s="25"/>
      <c r="K683" s="25"/>
      <c r="L683" s="25"/>
      <c r="M683" s="25"/>
    </row>
    <row r="684" spans="1:13" ht="14.25" customHeight="1" x14ac:dyDescent="0.3">
      <c r="A684" s="25"/>
      <c r="B684" s="25"/>
      <c r="C684" s="26"/>
      <c r="D684" s="27"/>
      <c r="E684" s="26"/>
      <c r="F684" s="26"/>
      <c r="G684" s="26"/>
      <c r="H684" s="26"/>
      <c r="I684" s="25"/>
      <c r="J684" s="25"/>
      <c r="K684" s="25"/>
      <c r="L684" s="25"/>
      <c r="M684" s="25"/>
    </row>
    <row r="685" spans="1:13" ht="14.25" customHeight="1" x14ac:dyDescent="0.3">
      <c r="A685" s="25"/>
      <c r="B685" s="25"/>
      <c r="C685" s="26"/>
      <c r="D685" s="27"/>
      <c r="E685" s="26"/>
      <c r="F685" s="26"/>
      <c r="G685" s="26"/>
      <c r="H685" s="26"/>
      <c r="I685" s="25"/>
      <c r="J685" s="25"/>
      <c r="K685" s="25"/>
      <c r="L685" s="25"/>
      <c r="M685" s="25"/>
    </row>
    <row r="686" spans="1:13" ht="14.25" customHeight="1" x14ac:dyDescent="0.3">
      <c r="A686" s="25"/>
      <c r="B686" s="25"/>
      <c r="C686" s="26"/>
      <c r="D686" s="27"/>
      <c r="E686" s="26"/>
      <c r="F686" s="26"/>
      <c r="G686" s="26"/>
      <c r="H686" s="26"/>
      <c r="I686" s="25"/>
      <c r="J686" s="25"/>
      <c r="K686" s="25"/>
      <c r="L686" s="25"/>
      <c r="M686" s="25"/>
    </row>
    <row r="687" spans="1:13" ht="14.25" customHeight="1" x14ac:dyDescent="0.3">
      <c r="A687" s="25"/>
      <c r="B687" s="25"/>
      <c r="C687" s="26"/>
      <c r="D687" s="27"/>
      <c r="E687" s="26"/>
      <c r="F687" s="26"/>
      <c r="G687" s="26"/>
      <c r="H687" s="26"/>
      <c r="I687" s="25"/>
      <c r="J687" s="25"/>
      <c r="K687" s="25"/>
      <c r="L687" s="25"/>
      <c r="M687" s="25"/>
    </row>
    <row r="688" spans="1:13" ht="14.25" customHeight="1" x14ac:dyDescent="0.3">
      <c r="A688" s="25"/>
      <c r="B688" s="25"/>
      <c r="C688" s="26"/>
      <c r="D688" s="27"/>
      <c r="E688" s="26"/>
      <c r="F688" s="26"/>
      <c r="G688" s="26"/>
      <c r="H688" s="26"/>
      <c r="I688" s="25"/>
      <c r="J688" s="25"/>
      <c r="K688" s="25"/>
      <c r="L688" s="25"/>
      <c r="M688" s="25"/>
    </row>
    <row r="689" spans="1:13" ht="14.25" customHeight="1" x14ac:dyDescent="0.3">
      <c r="A689" s="25"/>
      <c r="B689" s="25"/>
      <c r="C689" s="26"/>
      <c r="D689" s="27"/>
      <c r="E689" s="26"/>
      <c r="F689" s="26"/>
      <c r="G689" s="26"/>
      <c r="H689" s="26"/>
      <c r="I689" s="25"/>
      <c r="J689" s="25"/>
      <c r="K689" s="25"/>
      <c r="L689" s="25"/>
      <c r="M689" s="25"/>
    </row>
    <row r="690" spans="1:13" ht="14.25" customHeight="1" x14ac:dyDescent="0.3">
      <c r="A690" s="25"/>
      <c r="B690" s="25"/>
      <c r="C690" s="26"/>
      <c r="D690" s="27"/>
      <c r="E690" s="26"/>
      <c r="F690" s="26"/>
      <c r="G690" s="26"/>
      <c r="H690" s="26"/>
      <c r="I690" s="25"/>
      <c r="J690" s="25"/>
      <c r="K690" s="25"/>
      <c r="L690" s="25"/>
      <c r="M690" s="25"/>
    </row>
    <row r="691" spans="1:13" ht="14.25" customHeight="1" x14ac:dyDescent="0.3">
      <c r="A691" s="25"/>
      <c r="B691" s="25"/>
      <c r="C691" s="26"/>
      <c r="D691" s="27"/>
      <c r="E691" s="26"/>
      <c r="F691" s="26"/>
      <c r="G691" s="26"/>
      <c r="H691" s="26"/>
      <c r="I691" s="25"/>
      <c r="J691" s="25"/>
      <c r="K691" s="25"/>
      <c r="L691" s="25"/>
      <c r="M691" s="25"/>
    </row>
    <row r="692" spans="1:13" ht="14.25" customHeight="1" x14ac:dyDescent="0.3">
      <c r="A692" s="25"/>
      <c r="B692" s="25"/>
      <c r="C692" s="26"/>
      <c r="D692" s="27"/>
      <c r="E692" s="26"/>
      <c r="F692" s="26"/>
      <c r="G692" s="26"/>
      <c r="H692" s="26"/>
      <c r="I692" s="25"/>
      <c r="J692" s="25"/>
      <c r="K692" s="25"/>
      <c r="L692" s="25"/>
      <c r="M692" s="25"/>
    </row>
    <row r="693" spans="1:13" ht="14.25" customHeight="1" x14ac:dyDescent="0.3">
      <c r="A693" s="25"/>
      <c r="B693" s="25"/>
      <c r="C693" s="26"/>
      <c r="D693" s="27"/>
      <c r="E693" s="26"/>
      <c r="F693" s="26"/>
      <c r="G693" s="26"/>
      <c r="H693" s="26"/>
      <c r="I693" s="25"/>
      <c r="J693" s="25"/>
      <c r="K693" s="25"/>
      <c r="L693" s="25"/>
      <c r="M693" s="25"/>
    </row>
    <row r="694" spans="1:13" ht="14.25" customHeight="1" x14ac:dyDescent="0.3">
      <c r="A694" s="25"/>
      <c r="B694" s="25"/>
      <c r="C694" s="26"/>
      <c r="D694" s="27"/>
      <c r="E694" s="26"/>
      <c r="F694" s="26"/>
      <c r="G694" s="26"/>
      <c r="H694" s="26"/>
      <c r="I694" s="25"/>
      <c r="J694" s="25"/>
      <c r="K694" s="25"/>
      <c r="L694" s="25"/>
      <c r="M694" s="25"/>
    </row>
    <row r="695" spans="1:13" ht="14.25" customHeight="1" x14ac:dyDescent="0.3">
      <c r="A695" s="25"/>
      <c r="B695" s="25"/>
      <c r="C695" s="26"/>
      <c r="D695" s="27"/>
      <c r="E695" s="26"/>
      <c r="F695" s="26"/>
      <c r="G695" s="26"/>
      <c r="H695" s="26"/>
      <c r="I695" s="25"/>
      <c r="J695" s="25"/>
      <c r="K695" s="25"/>
      <c r="L695" s="25"/>
      <c r="M695" s="25"/>
    </row>
    <row r="696" spans="1:13" ht="14.25" customHeight="1" x14ac:dyDescent="0.3">
      <c r="A696" s="25"/>
      <c r="B696" s="25"/>
      <c r="C696" s="26"/>
      <c r="D696" s="27"/>
      <c r="E696" s="26"/>
      <c r="F696" s="26"/>
      <c r="G696" s="26"/>
      <c r="H696" s="26"/>
      <c r="I696" s="25"/>
      <c r="J696" s="25"/>
      <c r="K696" s="25"/>
      <c r="L696" s="25"/>
      <c r="M696" s="25"/>
    </row>
    <row r="697" spans="1:13" ht="14.25" customHeight="1" x14ac:dyDescent="0.3">
      <c r="A697" s="25"/>
      <c r="B697" s="25"/>
      <c r="C697" s="26"/>
      <c r="D697" s="27"/>
      <c r="E697" s="26"/>
      <c r="F697" s="26"/>
      <c r="G697" s="26"/>
      <c r="H697" s="26"/>
      <c r="I697" s="25"/>
      <c r="J697" s="25"/>
      <c r="K697" s="25"/>
      <c r="L697" s="25"/>
      <c r="M697" s="25"/>
    </row>
    <row r="698" spans="1:13" ht="14.25" customHeight="1" x14ac:dyDescent="0.3">
      <c r="A698" s="25"/>
      <c r="B698" s="25"/>
      <c r="C698" s="26"/>
      <c r="D698" s="27"/>
      <c r="E698" s="26"/>
      <c r="F698" s="26"/>
      <c r="G698" s="26"/>
      <c r="H698" s="26"/>
      <c r="I698" s="25"/>
      <c r="J698" s="25"/>
      <c r="K698" s="25"/>
      <c r="L698" s="25"/>
      <c r="M698" s="25"/>
    </row>
    <row r="699" spans="1:13" ht="14.25" customHeight="1" x14ac:dyDescent="0.3">
      <c r="A699" s="25"/>
      <c r="B699" s="25"/>
      <c r="C699" s="26"/>
      <c r="D699" s="27"/>
      <c r="E699" s="26"/>
      <c r="F699" s="26"/>
      <c r="G699" s="26"/>
      <c r="H699" s="26"/>
      <c r="I699" s="25"/>
      <c r="J699" s="25"/>
      <c r="K699" s="25"/>
      <c r="L699" s="25"/>
      <c r="M699" s="25"/>
    </row>
    <row r="700" spans="1:13" ht="14.25" customHeight="1" x14ac:dyDescent="0.3">
      <c r="A700" s="25"/>
      <c r="B700" s="25"/>
      <c r="C700" s="26"/>
      <c r="D700" s="27"/>
      <c r="E700" s="26"/>
      <c r="F700" s="26"/>
      <c r="G700" s="26"/>
      <c r="H700" s="26"/>
      <c r="I700" s="25"/>
      <c r="J700" s="25"/>
      <c r="K700" s="25"/>
      <c r="L700" s="25"/>
      <c r="M700" s="25"/>
    </row>
    <row r="701" spans="1:13" ht="14.25" customHeight="1" x14ac:dyDescent="0.3">
      <c r="A701" s="25"/>
      <c r="B701" s="25"/>
      <c r="C701" s="26"/>
      <c r="D701" s="27"/>
      <c r="E701" s="26"/>
      <c r="F701" s="26"/>
      <c r="G701" s="26"/>
      <c r="H701" s="26"/>
      <c r="I701" s="25"/>
      <c r="J701" s="25"/>
      <c r="K701" s="25"/>
      <c r="L701" s="25"/>
      <c r="M701" s="25"/>
    </row>
    <row r="702" spans="1:13" ht="14.25" customHeight="1" x14ac:dyDescent="0.3">
      <c r="A702" s="25"/>
      <c r="B702" s="25"/>
      <c r="C702" s="26"/>
      <c r="D702" s="27"/>
      <c r="E702" s="26"/>
      <c r="F702" s="26"/>
      <c r="G702" s="26"/>
      <c r="H702" s="26"/>
      <c r="I702" s="25"/>
      <c r="J702" s="25"/>
      <c r="K702" s="25"/>
      <c r="L702" s="25"/>
      <c r="M702" s="25"/>
    </row>
    <row r="703" spans="1:13" ht="14.25" customHeight="1" x14ac:dyDescent="0.3">
      <c r="A703" s="25"/>
      <c r="B703" s="25"/>
      <c r="C703" s="26"/>
      <c r="D703" s="27"/>
      <c r="E703" s="26"/>
      <c r="F703" s="26"/>
      <c r="G703" s="26"/>
      <c r="H703" s="26"/>
      <c r="I703" s="25"/>
      <c r="J703" s="25"/>
      <c r="K703" s="25"/>
      <c r="L703" s="25"/>
      <c r="M703" s="25"/>
    </row>
    <row r="704" spans="1:13" ht="14.25" customHeight="1" x14ac:dyDescent="0.3">
      <c r="A704" s="25"/>
      <c r="B704" s="25"/>
      <c r="C704" s="26"/>
      <c r="D704" s="27"/>
      <c r="E704" s="26"/>
      <c r="F704" s="26"/>
      <c r="G704" s="26"/>
      <c r="H704" s="26"/>
      <c r="I704" s="25"/>
      <c r="J704" s="25"/>
      <c r="K704" s="25"/>
      <c r="L704" s="25"/>
      <c r="M704" s="25"/>
    </row>
    <row r="705" spans="1:13" ht="14.25" customHeight="1" x14ac:dyDescent="0.3">
      <c r="A705" s="25"/>
      <c r="B705" s="25"/>
      <c r="C705" s="26"/>
      <c r="D705" s="27"/>
      <c r="E705" s="26"/>
      <c r="F705" s="26"/>
      <c r="G705" s="26"/>
      <c r="H705" s="26"/>
      <c r="I705" s="25"/>
      <c r="J705" s="25"/>
      <c r="K705" s="25"/>
      <c r="L705" s="25"/>
      <c r="M705" s="25"/>
    </row>
    <row r="706" spans="1:13" ht="14.25" customHeight="1" x14ac:dyDescent="0.3">
      <c r="A706" s="25"/>
      <c r="B706" s="25"/>
      <c r="C706" s="26"/>
      <c r="D706" s="27"/>
      <c r="E706" s="26"/>
      <c r="F706" s="26"/>
      <c r="G706" s="26"/>
      <c r="H706" s="26"/>
      <c r="I706" s="25"/>
      <c r="J706" s="25"/>
      <c r="K706" s="25"/>
      <c r="L706" s="25"/>
      <c r="M706" s="25"/>
    </row>
    <row r="707" spans="1:13" ht="14.25" customHeight="1" x14ac:dyDescent="0.3">
      <c r="A707" s="25"/>
      <c r="B707" s="25"/>
      <c r="C707" s="26"/>
      <c r="D707" s="27"/>
      <c r="E707" s="26"/>
      <c r="F707" s="26"/>
      <c r="G707" s="26"/>
      <c r="H707" s="26"/>
      <c r="I707" s="25"/>
      <c r="J707" s="25"/>
      <c r="K707" s="25"/>
      <c r="L707" s="25"/>
      <c r="M707" s="25"/>
    </row>
    <row r="708" spans="1:13" ht="14.25" customHeight="1" x14ac:dyDescent="0.3">
      <c r="A708" s="25"/>
      <c r="B708" s="25"/>
      <c r="C708" s="26"/>
      <c r="D708" s="27"/>
      <c r="E708" s="26"/>
      <c r="F708" s="26"/>
      <c r="G708" s="26"/>
      <c r="H708" s="26"/>
      <c r="I708" s="25"/>
      <c r="J708" s="25"/>
      <c r="K708" s="25"/>
      <c r="L708" s="25"/>
      <c r="M708" s="25"/>
    </row>
    <row r="709" spans="1:13" ht="14.25" customHeight="1" x14ac:dyDescent="0.3">
      <c r="A709" s="25"/>
      <c r="B709" s="25"/>
      <c r="C709" s="26"/>
      <c r="D709" s="27"/>
      <c r="E709" s="26"/>
      <c r="F709" s="26"/>
      <c r="G709" s="26"/>
      <c r="H709" s="26"/>
      <c r="I709" s="25"/>
      <c r="J709" s="25"/>
      <c r="K709" s="25"/>
      <c r="L709" s="25"/>
      <c r="M709" s="25"/>
    </row>
    <row r="710" spans="1:13" ht="14.25" customHeight="1" x14ac:dyDescent="0.3">
      <c r="A710" s="25"/>
      <c r="B710" s="25"/>
      <c r="C710" s="26"/>
      <c r="D710" s="27"/>
      <c r="E710" s="26"/>
      <c r="F710" s="26"/>
      <c r="G710" s="26"/>
      <c r="H710" s="26"/>
      <c r="I710" s="25"/>
      <c r="J710" s="25"/>
      <c r="K710" s="25"/>
      <c r="L710" s="25"/>
      <c r="M710" s="25"/>
    </row>
    <row r="711" spans="1:13" ht="14.25" customHeight="1" x14ac:dyDescent="0.3">
      <c r="A711" s="25"/>
      <c r="B711" s="25"/>
      <c r="C711" s="26"/>
      <c r="D711" s="27"/>
      <c r="E711" s="26"/>
      <c r="F711" s="26"/>
      <c r="G711" s="26"/>
      <c r="H711" s="26"/>
      <c r="I711" s="25"/>
      <c r="J711" s="25"/>
      <c r="K711" s="25"/>
      <c r="L711" s="25"/>
      <c r="M711" s="25"/>
    </row>
    <row r="712" spans="1:13" ht="14.25" customHeight="1" x14ac:dyDescent="0.3">
      <c r="A712" s="25"/>
      <c r="B712" s="25"/>
      <c r="C712" s="26"/>
      <c r="D712" s="27"/>
      <c r="E712" s="26"/>
      <c r="F712" s="26"/>
      <c r="G712" s="26"/>
      <c r="H712" s="26"/>
      <c r="I712" s="25"/>
      <c r="J712" s="25"/>
      <c r="K712" s="25"/>
      <c r="L712" s="25"/>
      <c r="M712" s="25"/>
    </row>
    <row r="713" spans="1:13" ht="14.25" customHeight="1" x14ac:dyDescent="0.3">
      <c r="A713" s="25"/>
      <c r="B713" s="25"/>
      <c r="C713" s="26"/>
      <c r="D713" s="27"/>
      <c r="E713" s="26"/>
      <c r="F713" s="26"/>
      <c r="G713" s="26"/>
      <c r="H713" s="26"/>
      <c r="I713" s="25"/>
      <c r="J713" s="25"/>
      <c r="K713" s="25"/>
      <c r="L713" s="25"/>
      <c r="M713" s="25"/>
    </row>
    <row r="714" spans="1:13" ht="14.25" customHeight="1" x14ac:dyDescent="0.3">
      <c r="A714" s="25"/>
      <c r="B714" s="25"/>
      <c r="C714" s="26"/>
      <c r="D714" s="27"/>
      <c r="E714" s="26"/>
      <c r="F714" s="26"/>
      <c r="G714" s="26"/>
      <c r="H714" s="26"/>
      <c r="I714" s="25"/>
      <c r="J714" s="25"/>
      <c r="K714" s="25"/>
      <c r="L714" s="25"/>
      <c r="M714" s="25"/>
    </row>
    <row r="715" spans="1:13" ht="14.25" customHeight="1" x14ac:dyDescent="0.3">
      <c r="A715" s="25"/>
      <c r="B715" s="25"/>
      <c r="C715" s="26"/>
      <c r="D715" s="27"/>
      <c r="E715" s="26"/>
      <c r="F715" s="26"/>
      <c r="G715" s="26"/>
      <c r="H715" s="26"/>
      <c r="I715" s="25"/>
      <c r="J715" s="25"/>
      <c r="K715" s="25"/>
      <c r="L715" s="25"/>
      <c r="M715" s="25"/>
    </row>
    <row r="716" spans="1:13" ht="14.25" customHeight="1" x14ac:dyDescent="0.3">
      <c r="A716" s="25"/>
      <c r="B716" s="25"/>
      <c r="C716" s="26"/>
      <c r="D716" s="27"/>
      <c r="E716" s="26"/>
      <c r="F716" s="26"/>
      <c r="G716" s="26"/>
      <c r="H716" s="26"/>
      <c r="I716" s="25"/>
      <c r="J716" s="25"/>
      <c r="K716" s="25"/>
      <c r="L716" s="25"/>
      <c r="M716" s="25"/>
    </row>
    <row r="717" spans="1:13" ht="14.25" customHeight="1" x14ac:dyDescent="0.3">
      <c r="A717" s="25"/>
      <c r="B717" s="25"/>
      <c r="C717" s="26"/>
      <c r="D717" s="27"/>
      <c r="E717" s="26"/>
      <c r="F717" s="26"/>
      <c r="G717" s="26"/>
      <c r="H717" s="26"/>
      <c r="I717" s="25"/>
      <c r="J717" s="25"/>
      <c r="K717" s="25"/>
      <c r="L717" s="25"/>
      <c r="M717" s="25"/>
    </row>
    <row r="718" spans="1:13" ht="14.25" customHeight="1" x14ac:dyDescent="0.3">
      <c r="A718" s="25"/>
      <c r="B718" s="25"/>
      <c r="C718" s="26"/>
      <c r="D718" s="27"/>
      <c r="E718" s="26"/>
      <c r="F718" s="26"/>
      <c r="G718" s="26"/>
      <c r="H718" s="26"/>
      <c r="I718" s="25"/>
      <c r="J718" s="25"/>
      <c r="K718" s="25"/>
      <c r="L718" s="25"/>
      <c r="M718" s="25"/>
    </row>
    <row r="719" spans="1:13" ht="14.25" customHeight="1" x14ac:dyDescent="0.3">
      <c r="A719" s="25"/>
      <c r="B719" s="25"/>
      <c r="C719" s="26"/>
      <c r="D719" s="27"/>
      <c r="E719" s="26"/>
      <c r="F719" s="26"/>
      <c r="G719" s="26"/>
      <c r="H719" s="26"/>
      <c r="I719" s="25"/>
      <c r="J719" s="25"/>
      <c r="K719" s="25"/>
      <c r="L719" s="25"/>
      <c r="M719" s="25"/>
    </row>
    <row r="720" spans="1:13" ht="14.25" customHeight="1" x14ac:dyDescent="0.3">
      <c r="A720" s="25"/>
      <c r="B720" s="25"/>
      <c r="C720" s="26"/>
      <c r="D720" s="27"/>
      <c r="E720" s="26"/>
      <c r="F720" s="26"/>
      <c r="G720" s="26"/>
      <c r="H720" s="26"/>
      <c r="I720" s="25"/>
      <c r="J720" s="25"/>
      <c r="K720" s="25"/>
      <c r="L720" s="25"/>
      <c r="M720" s="25"/>
    </row>
    <row r="721" spans="1:13" ht="14.25" customHeight="1" x14ac:dyDescent="0.3">
      <c r="A721" s="25"/>
      <c r="B721" s="25"/>
      <c r="C721" s="26"/>
      <c r="D721" s="27"/>
      <c r="E721" s="26"/>
      <c r="F721" s="26"/>
      <c r="G721" s="26"/>
      <c r="H721" s="26"/>
      <c r="I721" s="25"/>
      <c r="J721" s="25"/>
      <c r="K721" s="25"/>
      <c r="L721" s="25"/>
      <c r="M721" s="25"/>
    </row>
    <row r="722" spans="1:13" ht="14.25" customHeight="1" x14ac:dyDescent="0.3">
      <c r="A722" s="25"/>
      <c r="B722" s="25"/>
      <c r="C722" s="26"/>
      <c r="D722" s="27"/>
      <c r="E722" s="26"/>
      <c r="F722" s="26"/>
      <c r="G722" s="26"/>
      <c r="H722" s="26"/>
      <c r="I722" s="25"/>
      <c r="J722" s="25"/>
      <c r="K722" s="25"/>
      <c r="L722" s="25"/>
      <c r="M722" s="25"/>
    </row>
    <row r="723" spans="1:13" ht="14.25" customHeight="1" x14ac:dyDescent="0.3">
      <c r="A723" s="25"/>
      <c r="B723" s="25"/>
      <c r="C723" s="26"/>
      <c r="D723" s="27"/>
      <c r="E723" s="26"/>
      <c r="F723" s="26"/>
      <c r="G723" s="26"/>
      <c r="H723" s="26"/>
      <c r="I723" s="25"/>
      <c r="J723" s="25"/>
      <c r="K723" s="25"/>
      <c r="L723" s="25"/>
      <c r="M723" s="25"/>
    </row>
    <row r="724" spans="1:13" ht="14.25" customHeight="1" x14ac:dyDescent="0.3">
      <c r="A724" s="25"/>
      <c r="B724" s="25"/>
      <c r="C724" s="26"/>
      <c r="D724" s="27"/>
      <c r="E724" s="26"/>
      <c r="F724" s="26"/>
      <c r="G724" s="26"/>
      <c r="H724" s="26"/>
      <c r="I724" s="25"/>
      <c r="J724" s="25"/>
      <c r="K724" s="25"/>
      <c r="L724" s="25"/>
      <c r="M724" s="25"/>
    </row>
    <row r="725" spans="1:13" ht="14.25" customHeight="1" x14ac:dyDescent="0.3">
      <c r="A725" s="25"/>
      <c r="B725" s="25"/>
      <c r="C725" s="26"/>
      <c r="D725" s="27"/>
      <c r="E725" s="26"/>
      <c r="F725" s="26"/>
      <c r="G725" s="26"/>
      <c r="H725" s="26"/>
      <c r="I725" s="25"/>
      <c r="J725" s="25"/>
      <c r="K725" s="25"/>
      <c r="L725" s="25"/>
      <c r="M725" s="25"/>
    </row>
    <row r="726" spans="1:13" ht="14.25" customHeight="1" x14ac:dyDescent="0.3">
      <c r="A726" s="25"/>
      <c r="B726" s="25"/>
      <c r="C726" s="26"/>
      <c r="D726" s="27"/>
      <c r="E726" s="26"/>
      <c r="F726" s="26"/>
      <c r="G726" s="26"/>
      <c r="H726" s="26"/>
      <c r="I726" s="25"/>
      <c r="J726" s="25"/>
      <c r="K726" s="25"/>
      <c r="L726" s="25"/>
      <c r="M726" s="25"/>
    </row>
    <row r="727" spans="1:13" ht="14.25" customHeight="1" x14ac:dyDescent="0.3">
      <c r="A727" s="25"/>
      <c r="B727" s="25"/>
      <c r="C727" s="26"/>
      <c r="D727" s="27"/>
      <c r="E727" s="26"/>
      <c r="F727" s="26"/>
      <c r="G727" s="26"/>
      <c r="H727" s="26"/>
      <c r="I727" s="25"/>
      <c r="J727" s="25"/>
      <c r="K727" s="25"/>
      <c r="L727" s="25"/>
      <c r="M727" s="25"/>
    </row>
    <row r="728" spans="1:13" ht="14.25" customHeight="1" x14ac:dyDescent="0.3">
      <c r="A728" s="25"/>
      <c r="B728" s="25"/>
      <c r="C728" s="26"/>
      <c r="D728" s="27"/>
      <c r="E728" s="26"/>
      <c r="F728" s="26"/>
      <c r="G728" s="26"/>
      <c r="H728" s="26"/>
      <c r="I728" s="25"/>
      <c r="J728" s="25"/>
      <c r="K728" s="25"/>
      <c r="L728" s="25"/>
      <c r="M728" s="25"/>
    </row>
    <row r="729" spans="1:13" ht="14.25" customHeight="1" x14ac:dyDescent="0.3">
      <c r="A729" s="25"/>
      <c r="B729" s="25"/>
      <c r="C729" s="26"/>
      <c r="D729" s="27"/>
      <c r="E729" s="26"/>
      <c r="F729" s="26"/>
      <c r="G729" s="26"/>
      <c r="H729" s="26"/>
      <c r="I729" s="25"/>
      <c r="J729" s="25"/>
      <c r="K729" s="25"/>
      <c r="L729" s="25"/>
      <c r="M729" s="25"/>
    </row>
    <row r="730" spans="1:13" ht="14.25" customHeight="1" x14ac:dyDescent="0.3">
      <c r="A730" s="25"/>
      <c r="B730" s="25"/>
      <c r="C730" s="26"/>
      <c r="D730" s="27"/>
      <c r="E730" s="26"/>
      <c r="F730" s="26"/>
      <c r="G730" s="26"/>
      <c r="H730" s="26"/>
      <c r="I730" s="25"/>
      <c r="J730" s="25"/>
      <c r="K730" s="25"/>
      <c r="L730" s="25"/>
      <c r="M730" s="25"/>
    </row>
    <row r="731" spans="1:13" ht="14.25" customHeight="1" x14ac:dyDescent="0.3">
      <c r="A731" s="25"/>
      <c r="B731" s="25"/>
      <c r="C731" s="26"/>
      <c r="D731" s="27"/>
      <c r="E731" s="26"/>
      <c r="F731" s="26"/>
      <c r="G731" s="26"/>
      <c r="H731" s="26"/>
      <c r="I731" s="25"/>
      <c r="J731" s="25"/>
      <c r="K731" s="25"/>
      <c r="L731" s="25"/>
      <c r="M731" s="25"/>
    </row>
    <row r="732" spans="1:13" ht="14.25" customHeight="1" x14ac:dyDescent="0.3">
      <c r="A732" s="25"/>
      <c r="B732" s="25"/>
      <c r="C732" s="26"/>
      <c r="D732" s="27"/>
      <c r="E732" s="26"/>
      <c r="F732" s="26"/>
      <c r="G732" s="26"/>
      <c r="H732" s="26"/>
      <c r="I732" s="25"/>
      <c r="J732" s="25"/>
      <c r="K732" s="25"/>
      <c r="L732" s="25"/>
      <c r="M732" s="25"/>
    </row>
    <row r="733" spans="1:13" ht="14.25" customHeight="1" x14ac:dyDescent="0.3">
      <c r="A733" s="25"/>
      <c r="B733" s="25"/>
      <c r="C733" s="26"/>
      <c r="D733" s="27"/>
      <c r="E733" s="26"/>
      <c r="F733" s="26"/>
      <c r="G733" s="26"/>
      <c r="H733" s="26"/>
      <c r="I733" s="25"/>
      <c r="J733" s="25"/>
      <c r="K733" s="25"/>
      <c r="L733" s="25"/>
      <c r="M733" s="25"/>
    </row>
    <row r="734" spans="1:13" ht="14.25" customHeight="1" x14ac:dyDescent="0.3">
      <c r="A734" s="25"/>
      <c r="B734" s="25"/>
      <c r="C734" s="26"/>
      <c r="D734" s="27"/>
      <c r="E734" s="26"/>
      <c r="F734" s="26"/>
      <c r="G734" s="26"/>
      <c r="H734" s="26"/>
      <c r="I734" s="25"/>
      <c r="J734" s="25"/>
      <c r="K734" s="25"/>
      <c r="L734" s="25"/>
      <c r="M734" s="25"/>
    </row>
    <row r="735" spans="1:13" ht="14.25" customHeight="1" x14ac:dyDescent="0.3">
      <c r="A735" s="25"/>
      <c r="B735" s="25"/>
      <c r="C735" s="26"/>
      <c r="D735" s="27"/>
      <c r="E735" s="26"/>
      <c r="F735" s="26"/>
      <c r="G735" s="26"/>
      <c r="H735" s="26"/>
      <c r="I735" s="25"/>
      <c r="J735" s="25"/>
      <c r="K735" s="25"/>
      <c r="L735" s="25"/>
      <c r="M735" s="25"/>
    </row>
    <row r="736" spans="1:13" ht="14.25" customHeight="1" x14ac:dyDescent="0.3">
      <c r="A736" s="25"/>
      <c r="B736" s="25"/>
      <c r="C736" s="26"/>
      <c r="D736" s="27"/>
      <c r="E736" s="26"/>
      <c r="F736" s="26"/>
      <c r="G736" s="26"/>
      <c r="H736" s="26"/>
      <c r="I736" s="25"/>
      <c r="J736" s="25"/>
      <c r="K736" s="25"/>
      <c r="L736" s="25"/>
      <c r="M736" s="25"/>
    </row>
    <row r="737" spans="1:13" ht="14.25" customHeight="1" x14ac:dyDescent="0.3">
      <c r="A737" s="25"/>
      <c r="B737" s="25"/>
      <c r="C737" s="26"/>
      <c r="D737" s="27"/>
      <c r="E737" s="26"/>
      <c r="F737" s="26"/>
      <c r="G737" s="26"/>
      <c r="H737" s="26"/>
      <c r="I737" s="25"/>
      <c r="J737" s="25"/>
      <c r="K737" s="25"/>
      <c r="L737" s="25"/>
      <c r="M737" s="25"/>
    </row>
    <row r="738" spans="1:13" ht="14.25" customHeight="1" x14ac:dyDescent="0.3">
      <c r="A738" s="25"/>
      <c r="B738" s="25"/>
      <c r="C738" s="26"/>
      <c r="D738" s="27"/>
      <c r="E738" s="26"/>
      <c r="F738" s="26"/>
      <c r="G738" s="26"/>
      <c r="H738" s="26"/>
      <c r="I738" s="25"/>
      <c r="J738" s="25"/>
      <c r="K738" s="25"/>
      <c r="L738" s="25"/>
      <c r="M738" s="25"/>
    </row>
    <row r="739" spans="1:13" ht="14.25" customHeight="1" x14ac:dyDescent="0.3">
      <c r="A739" s="25"/>
      <c r="B739" s="25"/>
      <c r="C739" s="26"/>
      <c r="D739" s="27"/>
      <c r="E739" s="26"/>
      <c r="F739" s="26"/>
      <c r="G739" s="26"/>
      <c r="H739" s="26"/>
      <c r="I739" s="25"/>
      <c r="J739" s="25"/>
      <c r="K739" s="25"/>
      <c r="L739" s="25"/>
      <c r="M739" s="25"/>
    </row>
    <row r="740" spans="1:13" ht="14.25" customHeight="1" x14ac:dyDescent="0.3">
      <c r="A740" s="25"/>
      <c r="B740" s="25"/>
      <c r="C740" s="26"/>
      <c r="D740" s="27"/>
      <c r="E740" s="26"/>
      <c r="F740" s="26"/>
      <c r="G740" s="26"/>
      <c r="H740" s="26"/>
      <c r="I740" s="25"/>
      <c r="J740" s="25"/>
      <c r="K740" s="25"/>
      <c r="L740" s="25"/>
      <c r="M740" s="25"/>
    </row>
    <row r="741" spans="1:13" ht="14.25" customHeight="1" x14ac:dyDescent="0.3">
      <c r="A741" s="25"/>
      <c r="B741" s="25"/>
      <c r="C741" s="26"/>
      <c r="D741" s="27"/>
      <c r="E741" s="26"/>
      <c r="F741" s="26"/>
      <c r="G741" s="26"/>
      <c r="H741" s="26"/>
      <c r="I741" s="25"/>
      <c r="J741" s="25"/>
      <c r="K741" s="25"/>
      <c r="L741" s="25"/>
      <c r="M741" s="25"/>
    </row>
    <row r="742" spans="1:13" ht="14.25" customHeight="1" x14ac:dyDescent="0.3">
      <c r="A742" s="25"/>
      <c r="B742" s="25"/>
      <c r="C742" s="26"/>
      <c r="D742" s="27"/>
      <c r="E742" s="26"/>
      <c r="F742" s="26"/>
      <c r="G742" s="26"/>
      <c r="H742" s="26"/>
      <c r="I742" s="25"/>
      <c r="J742" s="25"/>
      <c r="K742" s="25"/>
      <c r="L742" s="25"/>
      <c r="M742" s="25"/>
    </row>
    <row r="743" spans="1:13" ht="14.25" customHeight="1" x14ac:dyDescent="0.3">
      <c r="A743" s="25"/>
      <c r="B743" s="25"/>
      <c r="C743" s="26"/>
      <c r="D743" s="27"/>
      <c r="E743" s="26"/>
      <c r="F743" s="26"/>
      <c r="G743" s="26"/>
      <c r="H743" s="26"/>
      <c r="I743" s="25"/>
      <c r="J743" s="25"/>
      <c r="K743" s="25"/>
      <c r="L743" s="25"/>
      <c r="M743" s="25"/>
    </row>
    <row r="744" spans="1:13" ht="14.25" customHeight="1" x14ac:dyDescent="0.3">
      <c r="A744" s="25"/>
      <c r="B744" s="25"/>
      <c r="C744" s="26"/>
      <c r="D744" s="27"/>
      <c r="E744" s="26"/>
      <c r="F744" s="26"/>
      <c r="G744" s="26"/>
      <c r="H744" s="26"/>
      <c r="I744" s="25"/>
      <c r="J744" s="25"/>
      <c r="K744" s="25"/>
      <c r="L744" s="25"/>
      <c r="M744" s="25"/>
    </row>
    <row r="745" spans="1:13" ht="14.25" customHeight="1" x14ac:dyDescent="0.3">
      <c r="A745" s="25"/>
      <c r="B745" s="25"/>
      <c r="C745" s="26"/>
      <c r="D745" s="27"/>
      <c r="E745" s="26"/>
      <c r="F745" s="26"/>
      <c r="G745" s="26"/>
      <c r="H745" s="26"/>
      <c r="I745" s="25"/>
      <c r="J745" s="25"/>
      <c r="K745" s="25"/>
      <c r="L745" s="25"/>
      <c r="M745" s="25"/>
    </row>
    <row r="746" spans="1:13" ht="14.25" customHeight="1" x14ac:dyDescent="0.3">
      <c r="A746" s="25"/>
      <c r="B746" s="25"/>
      <c r="C746" s="26"/>
      <c r="D746" s="27"/>
      <c r="E746" s="26"/>
      <c r="F746" s="26"/>
      <c r="G746" s="26"/>
      <c r="H746" s="26"/>
      <c r="I746" s="25"/>
      <c r="J746" s="25"/>
      <c r="K746" s="25"/>
      <c r="L746" s="25"/>
      <c r="M746" s="25"/>
    </row>
    <row r="747" spans="1:13" ht="14.25" customHeight="1" x14ac:dyDescent="0.3">
      <c r="A747" s="25"/>
      <c r="B747" s="25"/>
      <c r="C747" s="26"/>
      <c r="D747" s="27"/>
      <c r="E747" s="26"/>
      <c r="F747" s="26"/>
      <c r="G747" s="26"/>
      <c r="H747" s="26"/>
      <c r="I747" s="25"/>
      <c r="J747" s="25"/>
      <c r="K747" s="25"/>
      <c r="L747" s="25"/>
      <c r="M747" s="25"/>
    </row>
    <row r="748" spans="1:13" ht="14.25" customHeight="1" x14ac:dyDescent="0.3">
      <c r="A748" s="25"/>
      <c r="B748" s="25"/>
      <c r="C748" s="26"/>
      <c r="D748" s="27"/>
      <c r="E748" s="26"/>
      <c r="F748" s="26"/>
      <c r="G748" s="26"/>
      <c r="H748" s="26"/>
      <c r="I748" s="25"/>
      <c r="J748" s="25"/>
      <c r="K748" s="25"/>
      <c r="L748" s="25"/>
      <c r="M748" s="25"/>
    </row>
    <row r="749" spans="1:13" ht="14.25" customHeight="1" x14ac:dyDescent="0.3">
      <c r="A749" s="25"/>
      <c r="B749" s="25"/>
      <c r="C749" s="26"/>
      <c r="D749" s="27"/>
      <c r="E749" s="26"/>
      <c r="F749" s="26"/>
      <c r="G749" s="26"/>
      <c r="H749" s="26"/>
      <c r="I749" s="25"/>
      <c r="J749" s="25"/>
      <c r="K749" s="25"/>
      <c r="L749" s="25"/>
      <c r="M749" s="25"/>
    </row>
    <row r="750" spans="1:13" ht="14.25" customHeight="1" x14ac:dyDescent="0.3">
      <c r="A750" s="25"/>
      <c r="B750" s="25"/>
      <c r="C750" s="26"/>
      <c r="D750" s="27"/>
      <c r="E750" s="26"/>
      <c r="F750" s="26"/>
      <c r="G750" s="26"/>
      <c r="H750" s="26"/>
      <c r="I750" s="25"/>
      <c r="J750" s="25"/>
      <c r="K750" s="25"/>
      <c r="L750" s="25"/>
      <c r="M750" s="25"/>
    </row>
    <row r="751" spans="1:13" ht="14.25" customHeight="1" x14ac:dyDescent="0.3">
      <c r="A751" s="25"/>
      <c r="B751" s="25"/>
      <c r="C751" s="26"/>
      <c r="D751" s="27"/>
      <c r="E751" s="26"/>
      <c r="F751" s="26"/>
      <c r="G751" s="26"/>
      <c r="H751" s="26"/>
      <c r="I751" s="25"/>
      <c r="J751" s="25"/>
      <c r="K751" s="25"/>
      <c r="L751" s="25"/>
      <c r="M751" s="25"/>
    </row>
    <row r="752" spans="1:13" ht="14.25" customHeight="1" x14ac:dyDescent="0.3">
      <c r="A752" s="25"/>
      <c r="B752" s="25"/>
      <c r="C752" s="26"/>
      <c r="D752" s="27"/>
      <c r="E752" s="26"/>
      <c r="F752" s="26"/>
      <c r="G752" s="26"/>
      <c r="H752" s="26"/>
      <c r="I752" s="25"/>
      <c r="J752" s="25"/>
      <c r="K752" s="25"/>
      <c r="L752" s="25"/>
      <c r="M752" s="25"/>
    </row>
    <row r="753" spans="1:13" ht="14.25" customHeight="1" x14ac:dyDescent="0.3">
      <c r="A753" s="25"/>
      <c r="B753" s="25"/>
      <c r="C753" s="26"/>
      <c r="D753" s="27"/>
      <c r="E753" s="26"/>
      <c r="F753" s="26"/>
      <c r="G753" s="26"/>
      <c r="H753" s="26"/>
      <c r="I753" s="25"/>
      <c r="J753" s="25"/>
      <c r="K753" s="25"/>
      <c r="L753" s="25"/>
      <c r="M753" s="25"/>
    </row>
    <row r="754" spans="1:13" ht="14.25" customHeight="1" x14ac:dyDescent="0.3">
      <c r="A754" s="25"/>
      <c r="B754" s="25"/>
      <c r="C754" s="26"/>
      <c r="D754" s="27"/>
      <c r="E754" s="26"/>
      <c r="F754" s="26"/>
      <c r="G754" s="26"/>
      <c r="H754" s="26"/>
      <c r="I754" s="25"/>
      <c r="J754" s="25"/>
      <c r="K754" s="25"/>
      <c r="L754" s="25"/>
      <c r="M754" s="25"/>
    </row>
    <row r="755" spans="1:13" ht="14.25" customHeight="1" x14ac:dyDescent="0.3">
      <c r="A755" s="25"/>
      <c r="B755" s="25"/>
      <c r="C755" s="26"/>
      <c r="D755" s="27"/>
      <c r="E755" s="26"/>
      <c r="F755" s="26"/>
      <c r="G755" s="26"/>
      <c r="H755" s="26"/>
      <c r="I755" s="25"/>
      <c r="J755" s="25"/>
      <c r="K755" s="25"/>
      <c r="L755" s="25"/>
      <c r="M755" s="25"/>
    </row>
    <row r="756" spans="1:13" ht="14.25" customHeight="1" x14ac:dyDescent="0.3">
      <c r="A756" s="25"/>
      <c r="B756" s="25"/>
      <c r="C756" s="26"/>
      <c r="D756" s="27"/>
      <c r="E756" s="26"/>
      <c r="F756" s="26"/>
      <c r="G756" s="26"/>
      <c r="H756" s="26"/>
      <c r="I756" s="25"/>
      <c r="J756" s="25"/>
      <c r="K756" s="25"/>
      <c r="L756" s="25"/>
      <c r="M756" s="25"/>
    </row>
    <row r="757" spans="1:13" ht="14.25" customHeight="1" x14ac:dyDescent="0.3">
      <c r="A757" s="25"/>
      <c r="B757" s="25"/>
      <c r="C757" s="26"/>
      <c r="D757" s="27"/>
      <c r="E757" s="26"/>
      <c r="F757" s="26"/>
      <c r="G757" s="26"/>
      <c r="H757" s="26"/>
      <c r="I757" s="25"/>
      <c r="J757" s="25"/>
      <c r="K757" s="25"/>
      <c r="L757" s="25"/>
      <c r="M757" s="25"/>
    </row>
    <row r="758" spans="1:13" ht="14.25" customHeight="1" x14ac:dyDescent="0.3">
      <c r="A758" s="25"/>
      <c r="B758" s="25"/>
      <c r="C758" s="26"/>
      <c r="D758" s="27"/>
      <c r="E758" s="26"/>
      <c r="F758" s="26"/>
      <c r="G758" s="26"/>
      <c r="H758" s="26"/>
      <c r="I758" s="25"/>
      <c r="J758" s="25"/>
      <c r="K758" s="25"/>
      <c r="L758" s="25"/>
      <c r="M758" s="25"/>
    </row>
    <row r="759" spans="1:13" ht="14.25" customHeight="1" x14ac:dyDescent="0.3">
      <c r="A759" s="25"/>
      <c r="B759" s="25"/>
      <c r="C759" s="26"/>
      <c r="D759" s="27"/>
      <c r="E759" s="26"/>
      <c r="F759" s="26"/>
      <c r="G759" s="26"/>
      <c r="H759" s="26"/>
      <c r="I759" s="25"/>
      <c r="J759" s="25"/>
      <c r="K759" s="25"/>
      <c r="L759" s="25"/>
      <c r="M759" s="25"/>
    </row>
    <row r="760" spans="1:13" ht="14.25" customHeight="1" x14ac:dyDescent="0.3">
      <c r="A760" s="25"/>
      <c r="B760" s="25"/>
      <c r="C760" s="26"/>
      <c r="D760" s="27"/>
      <c r="E760" s="26"/>
      <c r="F760" s="26"/>
      <c r="G760" s="26"/>
      <c r="H760" s="26"/>
      <c r="I760" s="25"/>
      <c r="J760" s="25"/>
      <c r="K760" s="25"/>
      <c r="L760" s="25"/>
      <c r="M760" s="25"/>
    </row>
    <row r="761" spans="1:13" ht="14.25" customHeight="1" x14ac:dyDescent="0.3">
      <c r="A761" s="25"/>
      <c r="B761" s="25"/>
      <c r="C761" s="26"/>
      <c r="D761" s="27"/>
      <c r="E761" s="26"/>
      <c r="F761" s="26"/>
      <c r="G761" s="26"/>
      <c r="H761" s="26"/>
      <c r="I761" s="25"/>
      <c r="J761" s="25"/>
      <c r="K761" s="25"/>
      <c r="L761" s="25"/>
      <c r="M761" s="25"/>
    </row>
    <row r="762" spans="1:13" ht="14.25" customHeight="1" x14ac:dyDescent="0.3">
      <c r="A762" s="25"/>
      <c r="B762" s="25"/>
      <c r="C762" s="26"/>
      <c r="D762" s="27"/>
      <c r="E762" s="26"/>
      <c r="F762" s="26"/>
      <c r="G762" s="26"/>
      <c r="H762" s="26"/>
      <c r="I762" s="25"/>
      <c r="J762" s="25"/>
      <c r="K762" s="25"/>
      <c r="L762" s="25"/>
      <c r="M762" s="25"/>
    </row>
    <row r="763" spans="1:13" ht="14.25" customHeight="1" x14ac:dyDescent="0.3">
      <c r="A763" s="25"/>
      <c r="B763" s="25"/>
      <c r="C763" s="26"/>
      <c r="D763" s="27"/>
      <c r="E763" s="26"/>
      <c r="F763" s="26"/>
      <c r="G763" s="26"/>
      <c r="H763" s="26"/>
      <c r="I763" s="25"/>
      <c r="J763" s="25"/>
      <c r="K763" s="25"/>
      <c r="L763" s="25"/>
      <c r="M763" s="25"/>
    </row>
    <row r="764" spans="1:13" ht="14.25" customHeight="1" x14ac:dyDescent="0.3">
      <c r="A764" s="25"/>
      <c r="B764" s="25"/>
      <c r="C764" s="26"/>
      <c r="D764" s="27"/>
      <c r="E764" s="26"/>
      <c r="F764" s="26"/>
      <c r="G764" s="26"/>
      <c r="H764" s="26"/>
      <c r="I764" s="25"/>
      <c r="J764" s="25"/>
      <c r="K764" s="25"/>
      <c r="L764" s="25"/>
      <c r="M764" s="25"/>
    </row>
    <row r="765" spans="1:13" ht="14.25" customHeight="1" x14ac:dyDescent="0.3">
      <c r="A765" s="25"/>
      <c r="B765" s="25"/>
      <c r="C765" s="26"/>
      <c r="D765" s="27"/>
      <c r="E765" s="26"/>
      <c r="F765" s="26"/>
      <c r="G765" s="26"/>
      <c r="H765" s="26"/>
      <c r="I765" s="25"/>
      <c r="J765" s="25"/>
      <c r="K765" s="25"/>
      <c r="L765" s="25"/>
      <c r="M765" s="25"/>
    </row>
    <row r="766" spans="1:13" ht="14.25" customHeight="1" x14ac:dyDescent="0.3">
      <c r="A766" s="25"/>
      <c r="B766" s="25"/>
      <c r="C766" s="26"/>
      <c r="D766" s="27"/>
      <c r="E766" s="26"/>
      <c r="F766" s="26"/>
      <c r="G766" s="26"/>
      <c r="H766" s="26"/>
      <c r="I766" s="25"/>
      <c r="J766" s="25"/>
      <c r="K766" s="25"/>
      <c r="L766" s="25"/>
      <c r="M766" s="25"/>
    </row>
    <row r="767" spans="1:13" ht="14.25" customHeight="1" x14ac:dyDescent="0.3">
      <c r="A767" s="25"/>
      <c r="B767" s="25"/>
      <c r="C767" s="26"/>
      <c r="D767" s="27"/>
      <c r="E767" s="26"/>
      <c r="F767" s="26"/>
      <c r="G767" s="26"/>
      <c r="H767" s="26"/>
      <c r="I767" s="25"/>
      <c r="J767" s="25"/>
      <c r="K767" s="25"/>
      <c r="L767" s="25"/>
      <c r="M767" s="25"/>
    </row>
    <row r="768" spans="1:13" ht="14.25" customHeight="1" x14ac:dyDescent="0.3">
      <c r="A768" s="25"/>
      <c r="B768" s="25"/>
      <c r="C768" s="26"/>
      <c r="D768" s="27"/>
      <c r="E768" s="26"/>
      <c r="F768" s="26"/>
      <c r="G768" s="26"/>
      <c r="H768" s="26"/>
      <c r="I768" s="25"/>
      <c r="J768" s="25"/>
      <c r="K768" s="25"/>
      <c r="L768" s="25"/>
      <c r="M768" s="25"/>
    </row>
    <row r="769" spans="1:13" ht="14.25" customHeight="1" x14ac:dyDescent="0.3">
      <c r="A769" s="25"/>
      <c r="B769" s="25"/>
      <c r="C769" s="26"/>
      <c r="D769" s="27"/>
      <c r="E769" s="26"/>
      <c r="F769" s="26"/>
      <c r="G769" s="26"/>
      <c r="H769" s="26"/>
      <c r="I769" s="25"/>
      <c r="J769" s="25"/>
      <c r="K769" s="25"/>
      <c r="L769" s="25"/>
      <c r="M769" s="25"/>
    </row>
    <row r="770" spans="1:13" ht="14.25" customHeight="1" x14ac:dyDescent="0.3">
      <c r="A770" s="25"/>
      <c r="B770" s="25"/>
      <c r="C770" s="26"/>
      <c r="D770" s="27"/>
      <c r="E770" s="26"/>
      <c r="F770" s="26"/>
      <c r="G770" s="26"/>
      <c r="H770" s="26"/>
      <c r="I770" s="25"/>
      <c r="J770" s="25"/>
      <c r="K770" s="25"/>
      <c r="L770" s="25"/>
      <c r="M770" s="25"/>
    </row>
    <row r="771" spans="1:13" ht="14.25" customHeight="1" x14ac:dyDescent="0.3">
      <c r="A771" s="25"/>
      <c r="B771" s="25"/>
      <c r="C771" s="26"/>
      <c r="D771" s="27"/>
      <c r="E771" s="26"/>
      <c r="F771" s="26"/>
      <c r="G771" s="26"/>
      <c r="H771" s="26"/>
      <c r="I771" s="25"/>
      <c r="J771" s="25"/>
      <c r="K771" s="25"/>
      <c r="L771" s="25"/>
      <c r="M771" s="25"/>
    </row>
    <row r="772" spans="1:13" ht="14.25" customHeight="1" x14ac:dyDescent="0.3">
      <c r="A772" s="25"/>
      <c r="B772" s="25"/>
      <c r="C772" s="26"/>
      <c r="D772" s="27"/>
      <c r="E772" s="26"/>
      <c r="F772" s="26"/>
      <c r="G772" s="26"/>
      <c r="H772" s="26"/>
      <c r="I772" s="25"/>
      <c r="J772" s="25"/>
      <c r="K772" s="25"/>
      <c r="L772" s="25"/>
      <c r="M772" s="25"/>
    </row>
    <row r="773" spans="1:13" ht="14.25" customHeight="1" x14ac:dyDescent="0.3">
      <c r="A773" s="25"/>
      <c r="B773" s="25"/>
      <c r="C773" s="26"/>
      <c r="D773" s="27"/>
      <c r="E773" s="26"/>
      <c r="F773" s="26"/>
      <c r="G773" s="26"/>
      <c r="H773" s="26"/>
      <c r="I773" s="25"/>
      <c r="J773" s="25"/>
      <c r="K773" s="25"/>
      <c r="L773" s="25"/>
      <c r="M773" s="25"/>
    </row>
    <row r="774" spans="1:13" ht="14.25" customHeight="1" x14ac:dyDescent="0.3">
      <c r="A774" s="25"/>
      <c r="B774" s="25"/>
      <c r="C774" s="26"/>
      <c r="D774" s="27"/>
      <c r="E774" s="26"/>
      <c r="F774" s="26"/>
      <c r="G774" s="26"/>
      <c r="H774" s="26"/>
      <c r="I774" s="25"/>
      <c r="J774" s="25"/>
      <c r="K774" s="25"/>
      <c r="L774" s="25"/>
      <c r="M774" s="25"/>
    </row>
    <row r="775" spans="1:13" ht="14.25" customHeight="1" x14ac:dyDescent="0.3">
      <c r="A775" s="25"/>
      <c r="B775" s="25"/>
      <c r="C775" s="26"/>
      <c r="D775" s="27"/>
      <c r="E775" s="26"/>
      <c r="F775" s="26"/>
      <c r="G775" s="26"/>
      <c r="H775" s="26"/>
      <c r="I775" s="25"/>
      <c r="J775" s="25"/>
      <c r="K775" s="25"/>
      <c r="L775" s="25"/>
      <c r="M775" s="25"/>
    </row>
    <row r="776" spans="1:13" ht="14.25" customHeight="1" x14ac:dyDescent="0.3">
      <c r="A776" s="25"/>
      <c r="B776" s="25"/>
      <c r="C776" s="26"/>
      <c r="D776" s="27"/>
      <c r="E776" s="26"/>
      <c r="F776" s="26"/>
      <c r="G776" s="26"/>
      <c r="H776" s="26"/>
      <c r="I776" s="25"/>
      <c r="J776" s="25"/>
      <c r="K776" s="25"/>
      <c r="L776" s="25"/>
      <c r="M776" s="25"/>
    </row>
    <row r="777" spans="1:13" ht="14.25" customHeight="1" x14ac:dyDescent="0.3">
      <c r="A777" s="25"/>
      <c r="B777" s="25"/>
      <c r="C777" s="26"/>
      <c r="D777" s="27"/>
      <c r="E777" s="26"/>
      <c r="F777" s="26"/>
      <c r="G777" s="26"/>
      <c r="H777" s="26"/>
      <c r="I777" s="25"/>
      <c r="J777" s="25"/>
      <c r="K777" s="25"/>
      <c r="L777" s="25"/>
      <c r="M777" s="25"/>
    </row>
    <row r="778" spans="1:13" ht="14.25" customHeight="1" x14ac:dyDescent="0.3">
      <c r="A778" s="25"/>
      <c r="B778" s="25"/>
      <c r="C778" s="26"/>
      <c r="D778" s="27"/>
      <c r="E778" s="26"/>
      <c r="F778" s="26"/>
      <c r="G778" s="26"/>
      <c r="H778" s="26"/>
      <c r="I778" s="25"/>
      <c r="J778" s="25"/>
      <c r="K778" s="25"/>
      <c r="L778" s="25"/>
      <c r="M778" s="25"/>
    </row>
    <row r="779" spans="1:13" ht="14.25" customHeight="1" x14ac:dyDescent="0.3">
      <c r="A779" s="25"/>
      <c r="B779" s="25"/>
      <c r="C779" s="26"/>
      <c r="D779" s="27"/>
      <c r="E779" s="26"/>
      <c r="F779" s="26"/>
      <c r="G779" s="26"/>
      <c r="H779" s="26"/>
      <c r="I779" s="25"/>
      <c r="J779" s="25"/>
      <c r="K779" s="25"/>
      <c r="L779" s="25"/>
      <c r="M779" s="25"/>
    </row>
    <row r="780" spans="1:13" ht="14.25" customHeight="1" x14ac:dyDescent="0.3">
      <c r="A780" s="25"/>
      <c r="B780" s="25"/>
      <c r="C780" s="26"/>
      <c r="D780" s="27"/>
      <c r="E780" s="26"/>
      <c r="F780" s="26"/>
      <c r="G780" s="26"/>
      <c r="H780" s="26"/>
      <c r="I780" s="25"/>
      <c r="J780" s="25"/>
      <c r="K780" s="25"/>
      <c r="L780" s="25"/>
      <c r="M780" s="25"/>
    </row>
    <row r="781" spans="1:13" ht="14.25" customHeight="1" x14ac:dyDescent="0.3">
      <c r="A781" s="25"/>
      <c r="B781" s="25"/>
      <c r="C781" s="26"/>
      <c r="D781" s="27"/>
      <c r="E781" s="26"/>
      <c r="F781" s="26"/>
      <c r="G781" s="26"/>
      <c r="H781" s="26"/>
      <c r="I781" s="25"/>
      <c r="J781" s="25"/>
      <c r="K781" s="25"/>
      <c r="L781" s="25"/>
      <c r="M781" s="25"/>
    </row>
    <row r="782" spans="1:13" ht="14.25" customHeight="1" x14ac:dyDescent="0.3">
      <c r="A782" s="25"/>
      <c r="B782" s="25"/>
      <c r="C782" s="26"/>
      <c r="D782" s="27"/>
      <c r="E782" s="26"/>
      <c r="F782" s="26"/>
      <c r="G782" s="26"/>
      <c r="H782" s="26"/>
      <c r="I782" s="25"/>
      <c r="J782" s="25"/>
      <c r="K782" s="25"/>
      <c r="L782" s="25"/>
      <c r="M782" s="25"/>
    </row>
    <row r="783" spans="1:13" ht="14.25" customHeight="1" x14ac:dyDescent="0.3">
      <c r="A783" s="25"/>
      <c r="B783" s="25"/>
      <c r="C783" s="26"/>
      <c r="D783" s="27"/>
      <c r="E783" s="26"/>
      <c r="F783" s="26"/>
      <c r="G783" s="26"/>
      <c r="H783" s="26"/>
      <c r="I783" s="25"/>
      <c r="J783" s="25"/>
      <c r="K783" s="25"/>
      <c r="L783" s="25"/>
      <c r="M783" s="25"/>
    </row>
    <row r="784" spans="1:13" ht="14.25" customHeight="1" x14ac:dyDescent="0.3">
      <c r="A784" s="25"/>
      <c r="B784" s="25"/>
      <c r="C784" s="26"/>
      <c r="D784" s="27"/>
      <c r="E784" s="26"/>
      <c r="F784" s="26"/>
      <c r="G784" s="26"/>
      <c r="H784" s="26"/>
      <c r="I784" s="25"/>
      <c r="J784" s="25"/>
      <c r="K784" s="25"/>
      <c r="L784" s="25"/>
      <c r="M784" s="25"/>
    </row>
    <row r="785" spans="1:13" ht="14.25" customHeight="1" x14ac:dyDescent="0.3">
      <c r="A785" s="25"/>
      <c r="B785" s="25"/>
      <c r="C785" s="26"/>
      <c r="D785" s="27"/>
      <c r="E785" s="26"/>
      <c r="F785" s="26"/>
      <c r="G785" s="26"/>
      <c r="H785" s="26"/>
      <c r="I785" s="25"/>
      <c r="J785" s="25"/>
      <c r="K785" s="25"/>
      <c r="L785" s="25"/>
      <c r="M785" s="25"/>
    </row>
    <row r="786" spans="1:13" ht="14.25" customHeight="1" x14ac:dyDescent="0.3">
      <c r="A786" s="25"/>
      <c r="B786" s="25"/>
      <c r="C786" s="26"/>
      <c r="D786" s="27"/>
      <c r="E786" s="26"/>
      <c r="F786" s="26"/>
      <c r="G786" s="26"/>
      <c r="H786" s="26"/>
      <c r="I786" s="25"/>
      <c r="J786" s="25"/>
      <c r="K786" s="25"/>
      <c r="L786" s="25"/>
      <c r="M786" s="25"/>
    </row>
    <row r="787" spans="1:13" ht="14.25" customHeight="1" x14ac:dyDescent="0.3">
      <c r="A787" s="25"/>
      <c r="B787" s="25"/>
      <c r="C787" s="26"/>
      <c r="D787" s="27"/>
      <c r="E787" s="26"/>
      <c r="F787" s="26"/>
      <c r="G787" s="26"/>
      <c r="H787" s="26"/>
      <c r="I787" s="25"/>
      <c r="J787" s="25"/>
      <c r="K787" s="25"/>
      <c r="L787" s="25"/>
      <c r="M787" s="25"/>
    </row>
    <row r="788" spans="1:13" ht="14.25" customHeight="1" x14ac:dyDescent="0.3">
      <c r="A788" s="25"/>
      <c r="B788" s="25"/>
      <c r="C788" s="26"/>
      <c r="D788" s="27"/>
      <c r="E788" s="26"/>
      <c r="F788" s="26"/>
      <c r="G788" s="26"/>
      <c r="H788" s="26"/>
      <c r="I788" s="25"/>
      <c r="J788" s="25"/>
      <c r="K788" s="25"/>
      <c r="L788" s="25"/>
      <c r="M788" s="25"/>
    </row>
    <row r="789" spans="1:13" ht="14.25" customHeight="1" x14ac:dyDescent="0.3">
      <c r="A789" s="25"/>
      <c r="B789" s="25"/>
      <c r="C789" s="26"/>
      <c r="D789" s="27"/>
      <c r="E789" s="26"/>
      <c r="F789" s="26"/>
      <c r="G789" s="26"/>
      <c r="H789" s="26"/>
      <c r="I789" s="25"/>
      <c r="J789" s="25"/>
      <c r="K789" s="25"/>
      <c r="L789" s="25"/>
      <c r="M789" s="25"/>
    </row>
    <row r="790" spans="1:13" ht="14.25" customHeight="1" x14ac:dyDescent="0.3">
      <c r="A790" s="25"/>
      <c r="B790" s="25"/>
      <c r="C790" s="26"/>
      <c r="D790" s="27"/>
      <c r="E790" s="26"/>
      <c r="F790" s="26"/>
      <c r="G790" s="26"/>
      <c r="H790" s="26"/>
      <c r="I790" s="25"/>
      <c r="J790" s="25"/>
      <c r="K790" s="25"/>
      <c r="L790" s="25"/>
      <c r="M790" s="25"/>
    </row>
    <row r="791" spans="1:13" ht="14.25" customHeight="1" x14ac:dyDescent="0.3">
      <c r="A791" s="25"/>
      <c r="B791" s="25"/>
      <c r="C791" s="26"/>
      <c r="D791" s="27"/>
      <c r="E791" s="26"/>
      <c r="F791" s="26"/>
      <c r="G791" s="26"/>
      <c r="H791" s="26"/>
      <c r="I791" s="25"/>
      <c r="J791" s="25"/>
      <c r="K791" s="25"/>
      <c r="L791" s="25"/>
      <c r="M791" s="25"/>
    </row>
    <row r="792" spans="1:13" ht="14.25" customHeight="1" x14ac:dyDescent="0.3">
      <c r="A792" s="25"/>
      <c r="B792" s="25"/>
      <c r="C792" s="26"/>
      <c r="D792" s="27"/>
      <c r="E792" s="26"/>
      <c r="F792" s="26"/>
      <c r="G792" s="26"/>
      <c r="H792" s="26"/>
      <c r="I792" s="25"/>
      <c r="J792" s="25"/>
      <c r="K792" s="25"/>
      <c r="L792" s="25"/>
      <c r="M792" s="25"/>
    </row>
    <row r="793" spans="1:13" ht="14.25" customHeight="1" x14ac:dyDescent="0.3">
      <c r="A793" s="25"/>
      <c r="B793" s="25"/>
      <c r="C793" s="26"/>
      <c r="D793" s="27"/>
      <c r="E793" s="26"/>
      <c r="F793" s="26"/>
      <c r="G793" s="26"/>
      <c r="H793" s="26"/>
      <c r="I793" s="25"/>
      <c r="J793" s="25"/>
      <c r="K793" s="25"/>
      <c r="L793" s="25"/>
      <c r="M793" s="25"/>
    </row>
    <row r="794" spans="1:13" ht="14.25" customHeight="1" x14ac:dyDescent="0.3">
      <c r="A794" s="25"/>
      <c r="B794" s="25"/>
      <c r="C794" s="26"/>
      <c r="D794" s="27"/>
      <c r="E794" s="26"/>
      <c r="F794" s="26"/>
      <c r="G794" s="26"/>
      <c r="H794" s="26"/>
      <c r="I794" s="25"/>
      <c r="J794" s="25"/>
      <c r="K794" s="25"/>
      <c r="L794" s="25"/>
      <c r="M794" s="25"/>
    </row>
    <row r="795" spans="1:13" ht="14.25" customHeight="1" x14ac:dyDescent="0.3">
      <c r="A795" s="25"/>
      <c r="B795" s="25"/>
      <c r="C795" s="26"/>
      <c r="D795" s="27"/>
      <c r="E795" s="26"/>
      <c r="F795" s="26"/>
      <c r="G795" s="26"/>
      <c r="H795" s="26"/>
      <c r="I795" s="25"/>
      <c r="J795" s="25"/>
      <c r="K795" s="25"/>
      <c r="L795" s="25"/>
      <c r="M795" s="25"/>
    </row>
    <row r="796" spans="1:13" ht="14.25" customHeight="1" x14ac:dyDescent="0.3">
      <c r="A796" s="25"/>
      <c r="B796" s="25"/>
      <c r="C796" s="26"/>
      <c r="D796" s="27"/>
      <c r="E796" s="26"/>
      <c r="F796" s="26"/>
      <c r="G796" s="26"/>
      <c r="H796" s="26"/>
      <c r="I796" s="25"/>
      <c r="J796" s="25"/>
      <c r="K796" s="25"/>
      <c r="L796" s="25"/>
      <c r="M796" s="25"/>
    </row>
    <row r="797" spans="1:13" ht="14.25" customHeight="1" x14ac:dyDescent="0.3">
      <c r="A797" s="25"/>
      <c r="B797" s="25"/>
      <c r="C797" s="26"/>
      <c r="D797" s="27"/>
      <c r="E797" s="26"/>
      <c r="F797" s="26"/>
      <c r="G797" s="26"/>
      <c r="H797" s="26"/>
      <c r="I797" s="25"/>
      <c r="J797" s="25"/>
      <c r="K797" s="25"/>
      <c r="L797" s="25"/>
      <c r="M797" s="25"/>
    </row>
    <row r="798" spans="1:13" ht="14.25" customHeight="1" x14ac:dyDescent="0.3">
      <c r="A798" s="25"/>
      <c r="B798" s="25"/>
      <c r="C798" s="26"/>
      <c r="D798" s="27"/>
      <c r="E798" s="26"/>
      <c r="F798" s="26"/>
      <c r="G798" s="26"/>
      <c r="H798" s="26"/>
      <c r="I798" s="25"/>
      <c r="J798" s="25"/>
      <c r="K798" s="25"/>
      <c r="L798" s="25"/>
      <c r="M798" s="25"/>
    </row>
    <row r="799" spans="1:13" ht="14.25" customHeight="1" x14ac:dyDescent="0.3">
      <c r="A799" s="25"/>
      <c r="B799" s="25"/>
      <c r="C799" s="26"/>
      <c r="D799" s="27"/>
      <c r="E799" s="26"/>
      <c r="F799" s="26"/>
      <c r="G799" s="26"/>
      <c r="H799" s="26"/>
      <c r="I799" s="25"/>
      <c r="J799" s="25"/>
      <c r="K799" s="25"/>
      <c r="L799" s="25"/>
      <c r="M799" s="25"/>
    </row>
    <row r="800" spans="1:13" ht="14.25" customHeight="1" x14ac:dyDescent="0.3">
      <c r="A800" s="25"/>
      <c r="B800" s="25"/>
      <c r="C800" s="26"/>
      <c r="D800" s="27"/>
      <c r="E800" s="26"/>
      <c r="F800" s="26"/>
      <c r="G800" s="26"/>
      <c r="H800" s="26"/>
      <c r="I800" s="25"/>
      <c r="J800" s="25"/>
      <c r="K800" s="25"/>
      <c r="L800" s="25"/>
      <c r="M800" s="25"/>
    </row>
    <row r="801" spans="1:13" ht="14.25" customHeight="1" x14ac:dyDescent="0.3">
      <c r="A801" s="25"/>
      <c r="B801" s="25"/>
      <c r="C801" s="26"/>
      <c r="D801" s="27"/>
      <c r="E801" s="26"/>
      <c r="F801" s="26"/>
      <c r="G801" s="26"/>
      <c r="H801" s="26"/>
      <c r="I801" s="25"/>
      <c r="J801" s="25"/>
      <c r="K801" s="25"/>
      <c r="L801" s="25"/>
      <c r="M801" s="25"/>
    </row>
    <row r="802" spans="1:13" ht="14.25" customHeight="1" x14ac:dyDescent="0.3">
      <c r="A802" s="25"/>
      <c r="B802" s="25"/>
      <c r="C802" s="26"/>
      <c r="D802" s="27"/>
      <c r="E802" s="26"/>
      <c r="F802" s="26"/>
      <c r="G802" s="26"/>
      <c r="H802" s="26"/>
      <c r="I802" s="25"/>
      <c r="J802" s="25"/>
      <c r="K802" s="25"/>
      <c r="L802" s="25"/>
      <c r="M802" s="25"/>
    </row>
    <row r="803" spans="1:13" ht="14.25" customHeight="1" x14ac:dyDescent="0.3">
      <c r="A803" s="25"/>
      <c r="B803" s="25"/>
      <c r="C803" s="26"/>
      <c r="D803" s="27"/>
      <c r="E803" s="26"/>
      <c r="F803" s="26"/>
      <c r="G803" s="26"/>
      <c r="H803" s="26"/>
      <c r="I803" s="25"/>
      <c r="J803" s="25"/>
      <c r="K803" s="25"/>
      <c r="L803" s="25"/>
      <c r="M803" s="25"/>
    </row>
    <row r="804" spans="1:13" ht="14.25" customHeight="1" x14ac:dyDescent="0.3">
      <c r="A804" s="25"/>
      <c r="B804" s="25"/>
      <c r="C804" s="26"/>
      <c r="D804" s="27"/>
      <c r="E804" s="26"/>
      <c r="F804" s="26"/>
      <c r="G804" s="26"/>
      <c r="H804" s="26"/>
      <c r="I804" s="25"/>
      <c r="J804" s="25"/>
      <c r="K804" s="25"/>
      <c r="L804" s="25"/>
      <c r="M804" s="25"/>
    </row>
    <row r="805" spans="1:13" ht="14.25" customHeight="1" x14ac:dyDescent="0.3">
      <c r="A805" s="25"/>
      <c r="B805" s="25"/>
      <c r="C805" s="26"/>
      <c r="D805" s="27"/>
      <c r="E805" s="26"/>
      <c r="F805" s="26"/>
      <c r="G805" s="26"/>
      <c r="H805" s="26"/>
      <c r="I805" s="25"/>
      <c r="J805" s="25"/>
      <c r="K805" s="25"/>
      <c r="L805" s="25"/>
      <c r="M805" s="25"/>
    </row>
    <row r="806" spans="1:13" ht="14.25" customHeight="1" x14ac:dyDescent="0.3">
      <c r="A806" s="25"/>
      <c r="B806" s="25"/>
      <c r="C806" s="26"/>
      <c r="D806" s="27"/>
      <c r="E806" s="26"/>
      <c r="F806" s="26"/>
      <c r="G806" s="26"/>
      <c r="H806" s="26"/>
      <c r="I806" s="25"/>
      <c r="J806" s="25"/>
      <c r="K806" s="25"/>
      <c r="L806" s="25"/>
      <c r="M806" s="25"/>
    </row>
    <row r="807" spans="1:13" ht="14.25" customHeight="1" x14ac:dyDescent="0.3">
      <c r="A807" s="25"/>
      <c r="B807" s="25"/>
      <c r="C807" s="26"/>
      <c r="D807" s="27"/>
      <c r="E807" s="26"/>
      <c r="F807" s="26"/>
      <c r="G807" s="26"/>
      <c r="H807" s="26"/>
      <c r="I807" s="25"/>
      <c r="J807" s="25"/>
      <c r="K807" s="25"/>
      <c r="L807" s="25"/>
      <c r="M807" s="25"/>
    </row>
    <row r="808" spans="1:13" ht="14.25" customHeight="1" x14ac:dyDescent="0.3">
      <c r="A808" s="25"/>
      <c r="B808" s="25"/>
      <c r="C808" s="26"/>
      <c r="D808" s="27"/>
      <c r="E808" s="26"/>
      <c r="F808" s="26"/>
      <c r="G808" s="26"/>
      <c r="H808" s="26"/>
      <c r="I808" s="25"/>
      <c r="J808" s="25"/>
      <c r="K808" s="25"/>
      <c r="L808" s="25"/>
      <c r="M808" s="25"/>
    </row>
    <row r="809" spans="1:13" ht="14.25" customHeight="1" x14ac:dyDescent="0.3">
      <c r="A809" s="25"/>
      <c r="B809" s="25"/>
      <c r="C809" s="26"/>
      <c r="D809" s="27"/>
      <c r="E809" s="26"/>
      <c r="F809" s="26"/>
      <c r="G809" s="26"/>
      <c r="H809" s="26"/>
      <c r="I809" s="25"/>
      <c r="J809" s="25"/>
      <c r="K809" s="25"/>
      <c r="L809" s="25"/>
      <c r="M809" s="25"/>
    </row>
    <row r="810" spans="1:13" ht="14.25" customHeight="1" x14ac:dyDescent="0.3">
      <c r="A810" s="25"/>
      <c r="B810" s="25"/>
      <c r="C810" s="26"/>
      <c r="D810" s="27"/>
      <c r="E810" s="26"/>
      <c r="F810" s="26"/>
      <c r="G810" s="26"/>
      <c r="H810" s="26"/>
      <c r="I810" s="25"/>
      <c r="J810" s="25"/>
      <c r="K810" s="25"/>
      <c r="L810" s="25"/>
      <c r="M810" s="25"/>
    </row>
    <row r="811" spans="1:13" ht="14.25" customHeight="1" x14ac:dyDescent="0.3">
      <c r="A811" s="25"/>
      <c r="B811" s="25"/>
      <c r="C811" s="26"/>
      <c r="D811" s="27"/>
      <c r="E811" s="26"/>
      <c r="F811" s="26"/>
      <c r="G811" s="26"/>
      <c r="H811" s="26"/>
      <c r="I811" s="25"/>
      <c r="J811" s="25"/>
      <c r="K811" s="25"/>
      <c r="L811" s="25"/>
      <c r="M811" s="25"/>
    </row>
    <row r="812" spans="1:13" ht="14.25" customHeight="1" x14ac:dyDescent="0.3">
      <c r="A812" s="25"/>
      <c r="B812" s="25"/>
      <c r="C812" s="26"/>
      <c r="D812" s="27"/>
      <c r="E812" s="26"/>
      <c r="F812" s="26"/>
      <c r="G812" s="26"/>
      <c r="H812" s="26"/>
      <c r="I812" s="25"/>
      <c r="J812" s="25"/>
      <c r="K812" s="25"/>
      <c r="L812" s="25"/>
      <c r="M812" s="25"/>
    </row>
    <row r="813" spans="1:13" ht="14.25" customHeight="1" x14ac:dyDescent="0.3">
      <c r="A813" s="25"/>
      <c r="B813" s="25"/>
      <c r="C813" s="26"/>
      <c r="D813" s="27"/>
      <c r="E813" s="26"/>
      <c r="F813" s="26"/>
      <c r="G813" s="26"/>
      <c r="H813" s="26"/>
      <c r="I813" s="25"/>
      <c r="J813" s="25"/>
      <c r="K813" s="25"/>
      <c r="L813" s="25"/>
      <c r="M813" s="25"/>
    </row>
    <row r="814" spans="1:13" ht="14.25" customHeight="1" x14ac:dyDescent="0.3">
      <c r="A814" s="25"/>
      <c r="B814" s="25"/>
      <c r="C814" s="26"/>
      <c r="D814" s="27"/>
      <c r="E814" s="26"/>
      <c r="F814" s="26"/>
      <c r="G814" s="26"/>
      <c r="H814" s="26"/>
      <c r="I814" s="25"/>
      <c r="J814" s="25"/>
      <c r="K814" s="25"/>
      <c r="L814" s="25"/>
      <c r="M814" s="25"/>
    </row>
    <row r="815" spans="1:13" ht="14.25" customHeight="1" x14ac:dyDescent="0.3">
      <c r="A815" s="25"/>
      <c r="B815" s="25"/>
      <c r="C815" s="26"/>
      <c r="D815" s="27"/>
      <c r="E815" s="26"/>
      <c r="F815" s="26"/>
      <c r="G815" s="26"/>
      <c r="H815" s="26"/>
      <c r="I815" s="25"/>
      <c r="J815" s="25"/>
      <c r="K815" s="25"/>
      <c r="L815" s="25"/>
      <c r="M815" s="25"/>
    </row>
    <row r="816" spans="1:13" ht="14.25" customHeight="1" x14ac:dyDescent="0.3">
      <c r="A816" s="25"/>
      <c r="B816" s="25"/>
      <c r="C816" s="26"/>
      <c r="D816" s="27"/>
      <c r="E816" s="26"/>
      <c r="F816" s="26"/>
      <c r="G816" s="26"/>
      <c r="H816" s="26"/>
      <c r="I816" s="25"/>
      <c r="J816" s="25"/>
      <c r="K816" s="25"/>
      <c r="L816" s="25"/>
      <c r="M816" s="25"/>
    </row>
    <row r="817" spans="1:13" ht="14.25" customHeight="1" x14ac:dyDescent="0.3">
      <c r="A817" s="25"/>
      <c r="B817" s="25"/>
      <c r="C817" s="26"/>
      <c r="D817" s="27"/>
      <c r="E817" s="26"/>
      <c r="F817" s="26"/>
      <c r="G817" s="26"/>
      <c r="H817" s="26"/>
      <c r="I817" s="25"/>
      <c r="J817" s="25"/>
      <c r="K817" s="25"/>
      <c r="L817" s="25"/>
      <c r="M817" s="25"/>
    </row>
    <row r="818" spans="1:13" ht="14.25" customHeight="1" x14ac:dyDescent="0.3">
      <c r="A818" s="25"/>
      <c r="B818" s="25"/>
      <c r="C818" s="26"/>
      <c r="D818" s="27"/>
      <c r="E818" s="26"/>
      <c r="F818" s="26"/>
      <c r="G818" s="26"/>
      <c r="H818" s="26"/>
      <c r="I818" s="25"/>
      <c r="J818" s="25"/>
      <c r="K818" s="25"/>
      <c r="L818" s="25"/>
      <c r="M818" s="25"/>
    </row>
    <row r="819" spans="1:13" ht="14.25" customHeight="1" x14ac:dyDescent="0.3">
      <c r="A819" s="25"/>
      <c r="B819" s="25"/>
      <c r="C819" s="26"/>
      <c r="D819" s="27"/>
      <c r="E819" s="26"/>
      <c r="F819" s="26"/>
      <c r="G819" s="26"/>
      <c r="H819" s="26"/>
      <c r="I819" s="25"/>
      <c r="J819" s="25"/>
      <c r="K819" s="25"/>
      <c r="L819" s="25"/>
      <c r="M819" s="25"/>
    </row>
    <row r="820" spans="1:13" ht="14.25" customHeight="1" x14ac:dyDescent="0.3">
      <c r="A820" s="25"/>
      <c r="B820" s="25"/>
      <c r="C820" s="26"/>
      <c r="D820" s="27"/>
      <c r="E820" s="26"/>
      <c r="F820" s="26"/>
      <c r="G820" s="26"/>
      <c r="H820" s="26"/>
      <c r="I820" s="25"/>
      <c r="J820" s="25"/>
      <c r="K820" s="25"/>
      <c r="L820" s="25"/>
      <c r="M820" s="25"/>
    </row>
    <row r="821" spans="1:13" ht="14.25" customHeight="1" x14ac:dyDescent="0.3">
      <c r="A821" s="25"/>
      <c r="B821" s="25"/>
      <c r="C821" s="26"/>
      <c r="D821" s="27"/>
      <c r="E821" s="26"/>
      <c r="F821" s="26"/>
      <c r="G821" s="26"/>
      <c r="H821" s="26"/>
      <c r="I821" s="25"/>
      <c r="J821" s="25"/>
      <c r="K821" s="25"/>
      <c r="L821" s="25"/>
      <c r="M821" s="25"/>
    </row>
    <row r="822" spans="1:13" ht="14.25" customHeight="1" x14ac:dyDescent="0.3">
      <c r="A822" s="25"/>
      <c r="B822" s="25"/>
      <c r="C822" s="26"/>
      <c r="D822" s="27"/>
      <c r="E822" s="26"/>
      <c r="F822" s="26"/>
      <c r="G822" s="26"/>
      <c r="H822" s="26"/>
      <c r="I822" s="25"/>
      <c r="J822" s="25"/>
      <c r="K822" s="25"/>
      <c r="L822" s="25"/>
      <c r="M822" s="25"/>
    </row>
    <row r="823" spans="1:13" ht="14.25" customHeight="1" x14ac:dyDescent="0.3">
      <c r="A823" s="25"/>
      <c r="B823" s="25"/>
      <c r="C823" s="26"/>
      <c r="D823" s="27"/>
      <c r="E823" s="26"/>
      <c r="F823" s="26"/>
      <c r="G823" s="26"/>
      <c r="H823" s="26"/>
      <c r="I823" s="25"/>
      <c r="J823" s="25"/>
      <c r="K823" s="25"/>
      <c r="L823" s="25"/>
      <c r="M823" s="25"/>
    </row>
    <row r="824" spans="1:13" ht="14.25" customHeight="1" x14ac:dyDescent="0.3">
      <c r="A824" s="25"/>
      <c r="B824" s="25"/>
      <c r="C824" s="26"/>
      <c r="D824" s="27"/>
      <c r="E824" s="26"/>
      <c r="F824" s="26"/>
      <c r="G824" s="26"/>
      <c r="H824" s="26"/>
      <c r="I824" s="25"/>
      <c r="J824" s="25"/>
      <c r="K824" s="25"/>
      <c r="L824" s="25"/>
      <c r="M824" s="25"/>
    </row>
    <row r="825" spans="1:13" ht="14.25" customHeight="1" x14ac:dyDescent="0.3">
      <c r="A825" s="25"/>
      <c r="B825" s="25"/>
      <c r="C825" s="26"/>
      <c r="D825" s="27"/>
      <c r="E825" s="26"/>
      <c r="F825" s="26"/>
      <c r="G825" s="26"/>
      <c r="H825" s="26"/>
      <c r="I825" s="25"/>
      <c r="J825" s="25"/>
      <c r="K825" s="25"/>
      <c r="L825" s="25"/>
      <c r="M825" s="25"/>
    </row>
    <row r="826" spans="1:13" ht="14.25" customHeight="1" x14ac:dyDescent="0.3">
      <c r="A826" s="25"/>
      <c r="B826" s="25"/>
      <c r="C826" s="26"/>
      <c r="D826" s="27"/>
      <c r="E826" s="26"/>
      <c r="F826" s="26"/>
      <c r="G826" s="26"/>
      <c r="H826" s="26"/>
      <c r="I826" s="25"/>
      <c r="J826" s="25"/>
      <c r="K826" s="25"/>
      <c r="L826" s="25"/>
      <c r="M826" s="25"/>
    </row>
    <row r="827" spans="1:13" ht="14.25" customHeight="1" x14ac:dyDescent="0.3">
      <c r="A827" s="25"/>
      <c r="B827" s="25"/>
      <c r="C827" s="26"/>
      <c r="D827" s="27"/>
      <c r="E827" s="26"/>
      <c r="F827" s="26"/>
      <c r="G827" s="26"/>
      <c r="H827" s="26"/>
      <c r="I827" s="25"/>
      <c r="J827" s="25"/>
      <c r="K827" s="25"/>
      <c r="L827" s="25"/>
      <c r="M827" s="25"/>
    </row>
    <row r="828" spans="1:13" ht="14.25" customHeight="1" x14ac:dyDescent="0.3">
      <c r="A828" s="25"/>
      <c r="B828" s="25"/>
      <c r="C828" s="26"/>
      <c r="D828" s="27"/>
      <c r="E828" s="26"/>
      <c r="F828" s="26"/>
      <c r="G828" s="26"/>
      <c r="H828" s="26"/>
      <c r="I828" s="25"/>
      <c r="J828" s="25"/>
      <c r="K828" s="25"/>
      <c r="L828" s="25"/>
      <c r="M828" s="25"/>
    </row>
    <row r="829" spans="1:13" ht="14.25" customHeight="1" x14ac:dyDescent="0.3">
      <c r="A829" s="25"/>
      <c r="B829" s="25"/>
      <c r="C829" s="26"/>
      <c r="D829" s="27"/>
      <c r="E829" s="26"/>
      <c r="F829" s="26"/>
      <c r="G829" s="26"/>
      <c r="H829" s="26"/>
      <c r="I829" s="25"/>
      <c r="J829" s="25"/>
      <c r="K829" s="25"/>
      <c r="L829" s="25"/>
      <c r="M829" s="25"/>
    </row>
    <row r="830" spans="1:13" ht="14.25" customHeight="1" x14ac:dyDescent="0.3">
      <c r="A830" s="25"/>
      <c r="B830" s="25"/>
      <c r="C830" s="26"/>
      <c r="D830" s="27"/>
      <c r="E830" s="26"/>
      <c r="F830" s="26"/>
      <c r="G830" s="26"/>
      <c r="H830" s="26"/>
      <c r="I830" s="25"/>
      <c r="J830" s="25"/>
      <c r="K830" s="25"/>
      <c r="L830" s="25"/>
      <c r="M830" s="25"/>
    </row>
    <row r="831" spans="1:13" ht="14.25" customHeight="1" x14ac:dyDescent="0.3">
      <c r="A831" s="25"/>
      <c r="B831" s="25"/>
      <c r="C831" s="26"/>
      <c r="D831" s="27"/>
      <c r="E831" s="26"/>
      <c r="F831" s="26"/>
      <c r="G831" s="26"/>
      <c r="H831" s="26"/>
      <c r="I831" s="25"/>
      <c r="J831" s="25"/>
      <c r="K831" s="25"/>
      <c r="L831" s="25"/>
      <c r="M831" s="25"/>
    </row>
    <row r="832" spans="1:13" ht="14.25" customHeight="1" x14ac:dyDescent="0.3">
      <c r="A832" s="25"/>
      <c r="B832" s="25"/>
      <c r="C832" s="26"/>
      <c r="D832" s="27"/>
      <c r="E832" s="26"/>
      <c r="F832" s="26"/>
      <c r="G832" s="26"/>
      <c r="H832" s="26"/>
      <c r="I832" s="25"/>
      <c r="J832" s="25"/>
      <c r="K832" s="25"/>
      <c r="L832" s="25"/>
      <c r="M832" s="25"/>
    </row>
    <row r="833" spans="1:13" ht="14.25" customHeight="1" x14ac:dyDescent="0.3">
      <c r="A833" s="25"/>
      <c r="B833" s="25"/>
      <c r="C833" s="26"/>
      <c r="D833" s="27"/>
      <c r="E833" s="26"/>
      <c r="F833" s="26"/>
      <c r="G833" s="26"/>
      <c r="H833" s="26"/>
      <c r="I833" s="25"/>
      <c r="J833" s="25"/>
      <c r="K833" s="25"/>
      <c r="L833" s="25"/>
      <c r="M833" s="25"/>
    </row>
    <row r="834" spans="1:13" ht="14.25" customHeight="1" x14ac:dyDescent="0.3">
      <c r="A834" s="25"/>
      <c r="B834" s="25"/>
      <c r="C834" s="26"/>
      <c r="D834" s="27"/>
      <c r="E834" s="26"/>
      <c r="F834" s="26"/>
      <c r="G834" s="26"/>
      <c r="H834" s="26"/>
      <c r="I834" s="25"/>
      <c r="J834" s="25"/>
      <c r="K834" s="25"/>
      <c r="L834" s="25"/>
      <c r="M834" s="25"/>
    </row>
    <row r="835" spans="1:13" ht="14.25" customHeight="1" x14ac:dyDescent="0.3">
      <c r="A835" s="25"/>
      <c r="B835" s="25"/>
      <c r="C835" s="26"/>
      <c r="D835" s="27"/>
      <c r="E835" s="26"/>
      <c r="F835" s="26"/>
      <c r="G835" s="26"/>
      <c r="H835" s="26"/>
      <c r="I835" s="25"/>
      <c r="J835" s="25"/>
      <c r="K835" s="25"/>
      <c r="L835" s="25"/>
      <c r="M835" s="25"/>
    </row>
    <row r="836" spans="1:13" ht="14.25" customHeight="1" x14ac:dyDescent="0.3">
      <c r="A836" s="25"/>
      <c r="B836" s="25"/>
      <c r="C836" s="26"/>
      <c r="D836" s="27"/>
      <c r="E836" s="26"/>
      <c r="F836" s="26"/>
      <c r="G836" s="26"/>
      <c r="H836" s="26"/>
      <c r="I836" s="25"/>
      <c r="J836" s="25"/>
      <c r="K836" s="25"/>
      <c r="L836" s="25"/>
      <c r="M836" s="25"/>
    </row>
    <row r="837" spans="1:13" ht="14.25" customHeight="1" x14ac:dyDescent="0.3">
      <c r="A837" s="25"/>
      <c r="B837" s="25"/>
      <c r="C837" s="26"/>
      <c r="D837" s="27"/>
      <c r="E837" s="26"/>
      <c r="F837" s="26"/>
      <c r="G837" s="26"/>
      <c r="H837" s="26"/>
      <c r="I837" s="25"/>
      <c r="J837" s="25"/>
      <c r="K837" s="25"/>
      <c r="L837" s="25"/>
      <c r="M837" s="25"/>
    </row>
    <row r="838" spans="1:13" ht="14.25" customHeight="1" x14ac:dyDescent="0.3">
      <c r="A838" s="25"/>
      <c r="B838" s="25"/>
      <c r="C838" s="26"/>
      <c r="D838" s="27"/>
      <c r="E838" s="26"/>
      <c r="F838" s="26"/>
      <c r="G838" s="26"/>
      <c r="H838" s="26"/>
      <c r="I838" s="25"/>
      <c r="J838" s="25"/>
      <c r="K838" s="25"/>
      <c r="L838" s="25"/>
      <c r="M838" s="25"/>
    </row>
    <row r="839" spans="1:13" ht="14.25" customHeight="1" x14ac:dyDescent="0.3">
      <c r="A839" s="25"/>
      <c r="B839" s="25"/>
      <c r="C839" s="26"/>
      <c r="D839" s="27"/>
      <c r="E839" s="26"/>
      <c r="F839" s="26"/>
      <c r="G839" s="26"/>
      <c r="H839" s="26"/>
      <c r="I839" s="25"/>
      <c r="J839" s="25"/>
      <c r="K839" s="25"/>
      <c r="L839" s="25"/>
      <c r="M839" s="25"/>
    </row>
    <row r="840" spans="1:13" ht="14.25" customHeight="1" x14ac:dyDescent="0.3">
      <c r="A840" s="25"/>
      <c r="B840" s="25"/>
      <c r="C840" s="26"/>
      <c r="D840" s="27"/>
      <c r="E840" s="26"/>
      <c r="F840" s="26"/>
      <c r="G840" s="26"/>
      <c r="H840" s="26"/>
      <c r="I840" s="25"/>
      <c r="J840" s="25"/>
      <c r="K840" s="25"/>
      <c r="L840" s="25"/>
      <c r="M840" s="25"/>
    </row>
    <row r="841" spans="1:13" ht="14.25" customHeight="1" x14ac:dyDescent="0.3">
      <c r="A841" s="25"/>
      <c r="B841" s="25"/>
      <c r="C841" s="26"/>
      <c r="D841" s="27"/>
      <c r="E841" s="26"/>
      <c r="F841" s="26"/>
      <c r="G841" s="26"/>
      <c r="H841" s="26"/>
      <c r="I841" s="25"/>
      <c r="J841" s="25"/>
      <c r="K841" s="25"/>
      <c r="L841" s="25"/>
      <c r="M841" s="25"/>
    </row>
    <row r="842" spans="1:13" ht="14.25" customHeight="1" x14ac:dyDescent="0.3">
      <c r="A842" s="25"/>
      <c r="B842" s="25"/>
      <c r="C842" s="26"/>
      <c r="D842" s="27"/>
      <c r="E842" s="26"/>
      <c r="F842" s="26"/>
      <c r="G842" s="26"/>
      <c r="H842" s="26"/>
      <c r="I842" s="25"/>
      <c r="J842" s="25"/>
      <c r="K842" s="25"/>
      <c r="L842" s="25"/>
      <c r="M842" s="25"/>
    </row>
    <row r="843" spans="1:13" ht="14.25" customHeight="1" x14ac:dyDescent="0.3">
      <c r="A843" s="25"/>
      <c r="B843" s="25"/>
      <c r="C843" s="26"/>
      <c r="D843" s="27"/>
      <c r="E843" s="26"/>
      <c r="F843" s="26"/>
      <c r="G843" s="26"/>
      <c r="H843" s="26"/>
      <c r="I843" s="25"/>
      <c r="J843" s="25"/>
      <c r="K843" s="25"/>
      <c r="L843" s="25"/>
      <c r="M843" s="25"/>
    </row>
    <row r="844" spans="1:13" ht="14.25" customHeight="1" x14ac:dyDescent="0.3">
      <c r="A844" s="25"/>
      <c r="B844" s="25"/>
      <c r="C844" s="26"/>
      <c r="D844" s="27"/>
      <c r="E844" s="26"/>
      <c r="F844" s="26"/>
      <c r="G844" s="26"/>
      <c r="H844" s="26"/>
      <c r="I844" s="25"/>
      <c r="J844" s="25"/>
      <c r="K844" s="25"/>
      <c r="L844" s="25"/>
      <c r="M844" s="25"/>
    </row>
    <row r="845" spans="1:13" ht="14.25" customHeight="1" x14ac:dyDescent="0.3">
      <c r="A845" s="25"/>
      <c r="B845" s="25"/>
      <c r="C845" s="26"/>
      <c r="D845" s="27"/>
      <c r="E845" s="26"/>
      <c r="F845" s="26"/>
      <c r="G845" s="26"/>
      <c r="H845" s="26"/>
      <c r="I845" s="25"/>
      <c r="J845" s="25"/>
      <c r="K845" s="25"/>
      <c r="L845" s="25"/>
      <c r="M845" s="25"/>
    </row>
    <row r="846" spans="1:13" ht="14.25" customHeight="1" x14ac:dyDescent="0.3">
      <c r="A846" s="25"/>
      <c r="B846" s="25"/>
      <c r="C846" s="26"/>
      <c r="D846" s="27"/>
      <c r="E846" s="26"/>
      <c r="F846" s="26"/>
      <c r="G846" s="26"/>
      <c r="H846" s="26"/>
      <c r="I846" s="25"/>
      <c r="J846" s="25"/>
      <c r="K846" s="25"/>
      <c r="L846" s="25"/>
      <c r="M846" s="25"/>
    </row>
    <row r="847" spans="1:13" ht="14.25" customHeight="1" x14ac:dyDescent="0.3">
      <c r="A847" s="25"/>
      <c r="B847" s="25"/>
      <c r="C847" s="26"/>
      <c r="D847" s="27"/>
      <c r="E847" s="26"/>
      <c r="F847" s="26"/>
      <c r="G847" s="26"/>
      <c r="H847" s="26"/>
      <c r="I847" s="25"/>
      <c r="J847" s="25"/>
      <c r="K847" s="25"/>
      <c r="L847" s="25"/>
      <c r="M847" s="25"/>
    </row>
    <row r="848" spans="1:13" ht="14.25" customHeight="1" x14ac:dyDescent="0.3">
      <c r="A848" s="25"/>
      <c r="B848" s="25"/>
      <c r="C848" s="26"/>
      <c r="D848" s="27"/>
      <c r="E848" s="26"/>
      <c r="F848" s="26"/>
      <c r="G848" s="26"/>
      <c r="H848" s="26"/>
      <c r="I848" s="25"/>
      <c r="J848" s="25"/>
      <c r="K848" s="25"/>
      <c r="L848" s="25"/>
      <c r="M848" s="25"/>
    </row>
    <row r="849" spans="1:13" ht="14.25" customHeight="1" x14ac:dyDescent="0.3">
      <c r="A849" s="25"/>
      <c r="B849" s="25"/>
      <c r="C849" s="26"/>
      <c r="D849" s="27"/>
      <c r="E849" s="26"/>
      <c r="F849" s="26"/>
      <c r="G849" s="26"/>
      <c r="H849" s="26"/>
      <c r="I849" s="25"/>
      <c r="J849" s="25"/>
      <c r="K849" s="25"/>
      <c r="L849" s="25"/>
      <c r="M849" s="25"/>
    </row>
    <row r="850" spans="1:13" ht="14.25" customHeight="1" x14ac:dyDescent="0.3">
      <c r="A850" s="25"/>
      <c r="B850" s="25"/>
      <c r="C850" s="26"/>
      <c r="D850" s="27"/>
      <c r="E850" s="26"/>
      <c r="F850" s="26"/>
      <c r="G850" s="26"/>
      <c r="H850" s="26"/>
      <c r="I850" s="25"/>
      <c r="J850" s="25"/>
      <c r="K850" s="25"/>
      <c r="L850" s="25"/>
      <c r="M850" s="25"/>
    </row>
    <row r="851" spans="1:13" ht="14.25" customHeight="1" x14ac:dyDescent="0.3">
      <c r="A851" s="25"/>
      <c r="B851" s="25"/>
      <c r="C851" s="26"/>
      <c r="D851" s="27"/>
      <c r="E851" s="26"/>
      <c r="F851" s="26"/>
      <c r="G851" s="26"/>
      <c r="H851" s="26"/>
      <c r="I851" s="25"/>
      <c r="J851" s="25"/>
      <c r="K851" s="25"/>
      <c r="L851" s="25"/>
      <c r="M851" s="25"/>
    </row>
    <row r="852" spans="1:13" ht="14.25" customHeight="1" x14ac:dyDescent="0.3">
      <c r="A852" s="25"/>
      <c r="B852" s="25"/>
      <c r="C852" s="26"/>
      <c r="D852" s="27"/>
      <c r="E852" s="26"/>
      <c r="F852" s="26"/>
      <c r="G852" s="26"/>
      <c r="H852" s="26"/>
      <c r="I852" s="25"/>
      <c r="J852" s="25"/>
      <c r="K852" s="25"/>
      <c r="L852" s="25"/>
      <c r="M852" s="25"/>
    </row>
    <row r="853" spans="1:13" ht="14.25" customHeight="1" x14ac:dyDescent="0.3">
      <c r="A853" s="25"/>
      <c r="B853" s="25"/>
      <c r="C853" s="26"/>
      <c r="D853" s="27"/>
      <c r="E853" s="26"/>
      <c r="F853" s="26"/>
      <c r="G853" s="26"/>
      <c r="H853" s="26"/>
      <c r="I853" s="25"/>
      <c r="J853" s="25"/>
      <c r="K853" s="25"/>
      <c r="L853" s="25"/>
      <c r="M853" s="25"/>
    </row>
    <row r="854" spans="1:13" ht="14.25" customHeight="1" x14ac:dyDescent="0.3">
      <c r="A854" s="25"/>
      <c r="B854" s="25"/>
      <c r="C854" s="26"/>
      <c r="D854" s="27"/>
      <c r="E854" s="26"/>
      <c r="F854" s="26"/>
      <c r="G854" s="26"/>
      <c r="H854" s="26"/>
      <c r="I854" s="25"/>
      <c r="J854" s="25"/>
      <c r="K854" s="25"/>
      <c r="L854" s="25"/>
      <c r="M854" s="25"/>
    </row>
    <row r="855" spans="1:13" ht="14.25" customHeight="1" x14ac:dyDescent="0.3">
      <c r="A855" s="25"/>
      <c r="B855" s="25"/>
      <c r="C855" s="26"/>
      <c r="D855" s="27"/>
      <c r="E855" s="26"/>
      <c r="F855" s="26"/>
      <c r="G855" s="26"/>
      <c r="H855" s="26"/>
      <c r="I855" s="25"/>
      <c r="J855" s="25"/>
      <c r="K855" s="25"/>
      <c r="L855" s="25"/>
      <c r="M855" s="25"/>
    </row>
    <row r="856" spans="1:13" ht="14.25" customHeight="1" x14ac:dyDescent="0.3">
      <c r="A856" s="25"/>
      <c r="B856" s="25"/>
      <c r="C856" s="26"/>
      <c r="D856" s="27"/>
      <c r="E856" s="26"/>
      <c r="F856" s="26"/>
      <c r="G856" s="26"/>
      <c r="H856" s="26"/>
      <c r="I856" s="25"/>
      <c r="J856" s="25"/>
      <c r="K856" s="25"/>
      <c r="L856" s="25"/>
      <c r="M856" s="25"/>
    </row>
    <row r="857" spans="1:13" ht="14.25" customHeight="1" x14ac:dyDescent="0.3">
      <c r="A857" s="25"/>
      <c r="B857" s="25"/>
      <c r="C857" s="26"/>
      <c r="D857" s="27"/>
      <c r="E857" s="26"/>
      <c r="F857" s="26"/>
      <c r="G857" s="26"/>
      <c r="H857" s="26"/>
      <c r="I857" s="25"/>
      <c r="J857" s="25"/>
      <c r="K857" s="25"/>
      <c r="L857" s="25"/>
      <c r="M857" s="25"/>
    </row>
    <row r="858" spans="1:13" ht="14.25" customHeight="1" x14ac:dyDescent="0.3">
      <c r="A858" s="25"/>
      <c r="B858" s="25"/>
      <c r="C858" s="26"/>
      <c r="D858" s="27"/>
      <c r="E858" s="26"/>
      <c r="F858" s="26"/>
      <c r="G858" s="26"/>
      <c r="H858" s="26"/>
      <c r="I858" s="25"/>
      <c r="J858" s="25"/>
      <c r="K858" s="25"/>
      <c r="L858" s="25"/>
      <c r="M858" s="25"/>
    </row>
    <row r="859" spans="1:13" ht="14.25" customHeight="1" x14ac:dyDescent="0.3">
      <c r="A859" s="25"/>
      <c r="B859" s="25"/>
      <c r="C859" s="26"/>
      <c r="D859" s="27"/>
      <c r="E859" s="26"/>
      <c r="F859" s="26"/>
      <c r="G859" s="26"/>
      <c r="H859" s="26"/>
      <c r="I859" s="25"/>
      <c r="J859" s="25"/>
      <c r="K859" s="25"/>
      <c r="L859" s="25"/>
      <c r="M859" s="25"/>
    </row>
    <row r="860" spans="1:13" ht="14.25" customHeight="1" x14ac:dyDescent="0.3">
      <c r="A860" s="25"/>
      <c r="B860" s="25"/>
      <c r="C860" s="26"/>
      <c r="D860" s="27"/>
      <c r="E860" s="26"/>
      <c r="F860" s="26"/>
      <c r="G860" s="26"/>
      <c r="H860" s="26"/>
      <c r="I860" s="25"/>
      <c r="J860" s="25"/>
      <c r="K860" s="25"/>
      <c r="L860" s="25"/>
      <c r="M860" s="25"/>
    </row>
    <row r="861" spans="1:13" ht="14.25" customHeight="1" x14ac:dyDescent="0.3">
      <c r="A861" s="25"/>
      <c r="B861" s="25"/>
      <c r="C861" s="26"/>
      <c r="D861" s="27"/>
      <c r="E861" s="26"/>
      <c r="F861" s="26"/>
      <c r="G861" s="26"/>
      <c r="H861" s="26"/>
      <c r="I861" s="25"/>
      <c r="J861" s="25"/>
      <c r="K861" s="25"/>
      <c r="L861" s="25"/>
      <c r="M861" s="25"/>
    </row>
    <row r="862" spans="1:13" ht="14.25" customHeight="1" x14ac:dyDescent="0.3">
      <c r="A862" s="25"/>
      <c r="B862" s="25"/>
      <c r="C862" s="26"/>
      <c r="D862" s="27"/>
      <c r="E862" s="26"/>
      <c r="F862" s="26"/>
      <c r="G862" s="26"/>
      <c r="H862" s="26"/>
      <c r="I862" s="25"/>
      <c r="J862" s="25"/>
      <c r="K862" s="25"/>
      <c r="L862" s="25"/>
      <c r="M862" s="25"/>
    </row>
    <row r="863" spans="1:13" ht="14.25" customHeight="1" x14ac:dyDescent="0.3">
      <c r="A863" s="25"/>
      <c r="B863" s="25"/>
      <c r="C863" s="26"/>
      <c r="D863" s="27"/>
      <c r="E863" s="26"/>
      <c r="F863" s="26"/>
      <c r="G863" s="26"/>
      <c r="H863" s="26"/>
      <c r="I863" s="25"/>
      <c r="J863" s="25"/>
      <c r="K863" s="25"/>
      <c r="L863" s="25"/>
      <c r="M863" s="25"/>
    </row>
    <row r="864" spans="1:13" ht="14.25" customHeight="1" x14ac:dyDescent="0.3">
      <c r="A864" s="25"/>
      <c r="B864" s="25"/>
      <c r="C864" s="26"/>
      <c r="D864" s="27"/>
      <c r="E864" s="26"/>
      <c r="F864" s="26"/>
      <c r="G864" s="26"/>
      <c r="H864" s="26"/>
      <c r="I864" s="25"/>
      <c r="J864" s="25"/>
      <c r="K864" s="25"/>
      <c r="L864" s="25"/>
      <c r="M864" s="25"/>
    </row>
    <row r="865" spans="1:13" ht="14.25" customHeight="1" x14ac:dyDescent="0.3">
      <c r="A865" s="25"/>
      <c r="B865" s="25"/>
      <c r="C865" s="26"/>
      <c r="D865" s="27"/>
      <c r="E865" s="26"/>
      <c r="F865" s="26"/>
      <c r="G865" s="26"/>
      <c r="H865" s="26"/>
      <c r="I865" s="25"/>
      <c r="J865" s="25"/>
      <c r="K865" s="25"/>
      <c r="L865" s="25"/>
      <c r="M865" s="25"/>
    </row>
    <row r="866" spans="1:13" ht="14.25" customHeight="1" x14ac:dyDescent="0.3">
      <c r="A866" s="25"/>
      <c r="B866" s="25"/>
      <c r="C866" s="26"/>
      <c r="D866" s="27"/>
      <c r="E866" s="26"/>
      <c r="F866" s="26"/>
      <c r="G866" s="26"/>
      <c r="H866" s="26"/>
      <c r="I866" s="25"/>
      <c r="J866" s="25"/>
      <c r="K866" s="25"/>
      <c r="L866" s="25"/>
      <c r="M866" s="25"/>
    </row>
    <row r="867" spans="1:13" ht="14.25" customHeight="1" x14ac:dyDescent="0.3">
      <c r="A867" s="25"/>
      <c r="B867" s="25"/>
      <c r="C867" s="26"/>
      <c r="D867" s="27"/>
      <c r="E867" s="26"/>
      <c r="F867" s="26"/>
      <c r="G867" s="26"/>
      <c r="H867" s="26"/>
      <c r="I867" s="25"/>
      <c r="J867" s="25"/>
      <c r="K867" s="25"/>
      <c r="L867" s="25"/>
      <c r="M867" s="25"/>
    </row>
    <row r="868" spans="1:13" ht="14.25" customHeight="1" x14ac:dyDescent="0.3">
      <c r="A868" s="25"/>
      <c r="B868" s="25"/>
      <c r="C868" s="26"/>
      <c r="D868" s="27"/>
      <c r="E868" s="26"/>
      <c r="F868" s="26"/>
      <c r="G868" s="26"/>
      <c r="H868" s="26"/>
      <c r="I868" s="25"/>
      <c r="J868" s="25"/>
      <c r="K868" s="25"/>
      <c r="L868" s="25"/>
      <c r="M868" s="25"/>
    </row>
    <row r="869" spans="1:13" ht="14.25" customHeight="1" x14ac:dyDescent="0.3">
      <c r="A869" s="25"/>
      <c r="B869" s="25"/>
      <c r="C869" s="26"/>
      <c r="D869" s="27"/>
      <c r="E869" s="26"/>
      <c r="F869" s="26"/>
      <c r="G869" s="26"/>
      <c r="H869" s="26"/>
      <c r="I869" s="25"/>
      <c r="J869" s="25"/>
      <c r="K869" s="25"/>
      <c r="L869" s="25"/>
      <c r="M869" s="25"/>
    </row>
    <row r="870" spans="1:13" ht="14.25" customHeight="1" x14ac:dyDescent="0.3">
      <c r="A870" s="25"/>
      <c r="B870" s="25"/>
      <c r="C870" s="26"/>
      <c r="D870" s="27"/>
      <c r="E870" s="26"/>
      <c r="F870" s="26"/>
      <c r="G870" s="26"/>
      <c r="H870" s="26"/>
      <c r="I870" s="25"/>
      <c r="J870" s="25"/>
      <c r="K870" s="25"/>
      <c r="L870" s="25"/>
      <c r="M870" s="25"/>
    </row>
    <row r="871" spans="1:13" ht="14.25" customHeight="1" x14ac:dyDescent="0.3">
      <c r="A871" s="25"/>
      <c r="B871" s="25"/>
      <c r="C871" s="26"/>
      <c r="D871" s="27"/>
      <c r="E871" s="26"/>
      <c r="F871" s="26"/>
      <c r="G871" s="26"/>
      <c r="H871" s="26"/>
      <c r="I871" s="25"/>
      <c r="J871" s="25"/>
      <c r="K871" s="25"/>
      <c r="L871" s="25"/>
      <c r="M871" s="25"/>
    </row>
    <row r="872" spans="1:13" ht="14.25" customHeight="1" x14ac:dyDescent="0.3">
      <c r="A872" s="25"/>
      <c r="B872" s="25"/>
      <c r="C872" s="26"/>
      <c r="D872" s="27"/>
      <c r="E872" s="26"/>
      <c r="F872" s="26"/>
      <c r="G872" s="26"/>
      <c r="H872" s="26"/>
      <c r="I872" s="25"/>
      <c r="J872" s="25"/>
      <c r="K872" s="25"/>
      <c r="L872" s="25"/>
      <c r="M872" s="25"/>
    </row>
    <row r="873" spans="1:13" ht="14.25" customHeight="1" x14ac:dyDescent="0.3">
      <c r="A873" s="25"/>
      <c r="B873" s="25"/>
      <c r="C873" s="26"/>
      <c r="D873" s="27"/>
      <c r="E873" s="26"/>
      <c r="F873" s="26"/>
      <c r="G873" s="26"/>
      <c r="H873" s="26"/>
      <c r="I873" s="25"/>
      <c r="J873" s="25"/>
      <c r="K873" s="25"/>
      <c r="L873" s="25"/>
      <c r="M873" s="25"/>
    </row>
    <row r="874" spans="1:13" ht="14.25" customHeight="1" x14ac:dyDescent="0.3">
      <c r="A874" s="25"/>
      <c r="B874" s="25"/>
      <c r="C874" s="26"/>
      <c r="D874" s="27"/>
      <c r="E874" s="26"/>
      <c r="F874" s="26"/>
      <c r="G874" s="26"/>
      <c r="H874" s="26"/>
      <c r="I874" s="25"/>
      <c r="J874" s="25"/>
      <c r="K874" s="25"/>
      <c r="L874" s="25"/>
      <c r="M874" s="25"/>
    </row>
    <row r="875" spans="1:13" ht="14.25" customHeight="1" x14ac:dyDescent="0.3">
      <c r="A875" s="25"/>
      <c r="B875" s="25"/>
      <c r="C875" s="26"/>
      <c r="D875" s="27"/>
      <c r="E875" s="26"/>
      <c r="F875" s="26"/>
      <c r="G875" s="26"/>
      <c r="H875" s="26"/>
      <c r="I875" s="25"/>
      <c r="J875" s="25"/>
      <c r="K875" s="25"/>
      <c r="L875" s="25"/>
      <c r="M875" s="25"/>
    </row>
    <row r="876" spans="1:13" ht="14.25" customHeight="1" x14ac:dyDescent="0.3">
      <c r="A876" s="25"/>
      <c r="B876" s="25"/>
      <c r="C876" s="26"/>
      <c r="D876" s="27"/>
      <c r="E876" s="26"/>
      <c r="F876" s="26"/>
      <c r="G876" s="26"/>
      <c r="H876" s="26"/>
      <c r="I876" s="25"/>
      <c r="J876" s="25"/>
      <c r="K876" s="25"/>
      <c r="L876" s="25"/>
      <c r="M876" s="25"/>
    </row>
    <row r="877" spans="1:13" ht="14.25" customHeight="1" x14ac:dyDescent="0.3">
      <c r="A877" s="25"/>
      <c r="B877" s="25"/>
      <c r="C877" s="26"/>
      <c r="D877" s="27"/>
      <c r="E877" s="26"/>
      <c r="F877" s="26"/>
      <c r="G877" s="26"/>
      <c r="H877" s="26"/>
      <c r="I877" s="25"/>
      <c r="J877" s="25"/>
      <c r="K877" s="25"/>
      <c r="L877" s="25"/>
      <c r="M877" s="25"/>
    </row>
    <row r="878" spans="1:13" ht="14.25" customHeight="1" x14ac:dyDescent="0.3">
      <c r="A878" s="25"/>
      <c r="B878" s="25"/>
      <c r="C878" s="26"/>
      <c r="D878" s="27"/>
      <c r="E878" s="26"/>
      <c r="F878" s="26"/>
      <c r="G878" s="26"/>
      <c r="H878" s="26"/>
      <c r="I878" s="25"/>
      <c r="J878" s="25"/>
      <c r="K878" s="25"/>
      <c r="L878" s="25"/>
      <c r="M878" s="25"/>
    </row>
    <row r="879" spans="1:13" ht="14.25" customHeight="1" x14ac:dyDescent="0.3">
      <c r="A879" s="25"/>
      <c r="B879" s="25"/>
      <c r="C879" s="26"/>
      <c r="D879" s="27"/>
      <c r="E879" s="26"/>
      <c r="F879" s="26"/>
      <c r="G879" s="26"/>
      <c r="H879" s="26"/>
      <c r="I879" s="25"/>
      <c r="J879" s="25"/>
      <c r="K879" s="25"/>
      <c r="L879" s="25"/>
      <c r="M879" s="25"/>
    </row>
    <row r="880" spans="1:13" ht="14.25" customHeight="1" x14ac:dyDescent="0.3">
      <c r="A880" s="25"/>
      <c r="B880" s="25"/>
      <c r="C880" s="26"/>
      <c r="D880" s="27"/>
      <c r="E880" s="26"/>
      <c r="F880" s="26"/>
      <c r="G880" s="26"/>
      <c r="H880" s="26"/>
      <c r="I880" s="25"/>
      <c r="J880" s="25"/>
      <c r="K880" s="25"/>
      <c r="L880" s="25"/>
      <c r="M880" s="25"/>
    </row>
    <row r="881" spans="1:13" ht="14.25" customHeight="1" x14ac:dyDescent="0.3">
      <c r="A881" s="25"/>
      <c r="B881" s="25"/>
      <c r="C881" s="26"/>
      <c r="D881" s="27"/>
      <c r="E881" s="26"/>
      <c r="F881" s="26"/>
      <c r="G881" s="26"/>
      <c r="H881" s="26"/>
      <c r="I881" s="25"/>
      <c r="J881" s="25"/>
      <c r="K881" s="25"/>
      <c r="L881" s="25"/>
      <c r="M881" s="25"/>
    </row>
    <row r="882" spans="1:13" ht="14.25" customHeight="1" x14ac:dyDescent="0.3">
      <c r="A882" s="25"/>
      <c r="B882" s="25"/>
      <c r="C882" s="26"/>
      <c r="D882" s="27"/>
      <c r="E882" s="26"/>
      <c r="F882" s="26"/>
      <c r="G882" s="26"/>
      <c r="H882" s="26"/>
      <c r="I882" s="25"/>
      <c r="J882" s="25"/>
      <c r="K882" s="25"/>
      <c r="L882" s="25"/>
      <c r="M882" s="25"/>
    </row>
    <row r="883" spans="1:13" ht="14.25" customHeight="1" x14ac:dyDescent="0.3">
      <c r="A883" s="25"/>
      <c r="B883" s="25"/>
      <c r="C883" s="26"/>
      <c r="D883" s="27"/>
      <c r="E883" s="26"/>
      <c r="F883" s="26"/>
      <c r="G883" s="26"/>
      <c r="H883" s="26"/>
      <c r="I883" s="25"/>
      <c r="J883" s="25"/>
      <c r="K883" s="25"/>
      <c r="L883" s="25"/>
      <c r="M883" s="25"/>
    </row>
    <row r="884" spans="1:13" ht="14.25" customHeight="1" x14ac:dyDescent="0.3">
      <c r="A884" s="25"/>
      <c r="B884" s="25"/>
      <c r="C884" s="26"/>
      <c r="D884" s="27"/>
      <c r="E884" s="26"/>
      <c r="F884" s="26"/>
      <c r="G884" s="26"/>
      <c r="H884" s="26"/>
      <c r="I884" s="25"/>
      <c r="J884" s="25"/>
      <c r="K884" s="25"/>
      <c r="L884" s="25"/>
      <c r="M884" s="25"/>
    </row>
    <row r="885" spans="1:13" ht="14.25" customHeight="1" x14ac:dyDescent="0.3">
      <c r="A885" s="25"/>
      <c r="B885" s="25"/>
      <c r="C885" s="26"/>
      <c r="D885" s="27"/>
      <c r="E885" s="26"/>
      <c r="F885" s="26"/>
      <c r="G885" s="26"/>
      <c r="H885" s="26"/>
      <c r="I885" s="25"/>
      <c r="J885" s="25"/>
      <c r="K885" s="25"/>
      <c r="L885" s="25"/>
      <c r="M885" s="25"/>
    </row>
    <row r="886" spans="1:13" ht="14.25" customHeight="1" x14ac:dyDescent="0.3">
      <c r="A886" s="25"/>
      <c r="B886" s="25"/>
      <c r="C886" s="26"/>
      <c r="D886" s="27"/>
      <c r="E886" s="26"/>
      <c r="F886" s="26"/>
      <c r="G886" s="26"/>
      <c r="H886" s="26"/>
      <c r="I886" s="25"/>
      <c r="J886" s="25"/>
      <c r="K886" s="25"/>
      <c r="L886" s="25"/>
      <c r="M886" s="25"/>
    </row>
    <row r="887" spans="1:13" ht="14.25" customHeight="1" x14ac:dyDescent="0.3">
      <c r="A887" s="25"/>
      <c r="B887" s="25"/>
      <c r="C887" s="26"/>
      <c r="D887" s="27"/>
      <c r="E887" s="26"/>
      <c r="F887" s="26"/>
      <c r="G887" s="26"/>
      <c r="H887" s="26"/>
      <c r="I887" s="25"/>
      <c r="J887" s="25"/>
      <c r="K887" s="25"/>
      <c r="L887" s="25"/>
      <c r="M887" s="25"/>
    </row>
    <row r="888" spans="1:13" ht="14.25" customHeight="1" x14ac:dyDescent="0.3">
      <c r="A888" s="25"/>
      <c r="B888" s="25"/>
      <c r="C888" s="26"/>
      <c r="D888" s="27"/>
      <c r="E888" s="26"/>
      <c r="F888" s="26"/>
      <c r="G888" s="26"/>
      <c r="H888" s="26"/>
      <c r="I888" s="25"/>
      <c r="J888" s="25"/>
      <c r="K888" s="25"/>
      <c r="L888" s="25"/>
      <c r="M888" s="25"/>
    </row>
    <row r="889" spans="1:13" ht="14.25" customHeight="1" x14ac:dyDescent="0.3">
      <c r="A889" s="25"/>
      <c r="B889" s="25"/>
      <c r="C889" s="26"/>
      <c r="D889" s="27"/>
      <c r="E889" s="26"/>
      <c r="F889" s="26"/>
      <c r="G889" s="26"/>
      <c r="H889" s="26"/>
      <c r="I889" s="25"/>
      <c r="J889" s="25"/>
      <c r="K889" s="25"/>
      <c r="L889" s="25"/>
      <c r="M889" s="25"/>
    </row>
    <row r="890" spans="1:13" ht="14.25" customHeight="1" x14ac:dyDescent="0.3">
      <c r="A890" s="25"/>
      <c r="B890" s="25"/>
      <c r="C890" s="26"/>
      <c r="D890" s="27"/>
      <c r="E890" s="26"/>
      <c r="F890" s="26"/>
      <c r="G890" s="26"/>
      <c r="H890" s="26"/>
      <c r="I890" s="25"/>
      <c r="J890" s="25"/>
      <c r="K890" s="25"/>
      <c r="L890" s="25"/>
      <c r="M890" s="25"/>
    </row>
    <row r="891" spans="1:13" ht="14.25" customHeight="1" x14ac:dyDescent="0.3">
      <c r="A891" s="25"/>
      <c r="B891" s="25"/>
      <c r="C891" s="26"/>
      <c r="D891" s="27"/>
      <c r="E891" s="26"/>
      <c r="F891" s="26"/>
      <c r="G891" s="26"/>
      <c r="H891" s="26"/>
      <c r="I891" s="25"/>
      <c r="J891" s="25"/>
      <c r="K891" s="25"/>
      <c r="L891" s="25"/>
      <c r="M891" s="25"/>
    </row>
    <row r="892" spans="1:13" ht="14.25" customHeight="1" x14ac:dyDescent="0.3">
      <c r="A892" s="25"/>
      <c r="B892" s="25"/>
      <c r="C892" s="26"/>
      <c r="D892" s="27"/>
      <c r="E892" s="26"/>
      <c r="F892" s="26"/>
      <c r="G892" s="26"/>
      <c r="H892" s="26"/>
      <c r="I892" s="25"/>
      <c r="J892" s="25"/>
      <c r="K892" s="25"/>
      <c r="L892" s="25"/>
      <c r="M892" s="25"/>
    </row>
    <row r="893" spans="1:13" ht="14.25" customHeight="1" x14ac:dyDescent="0.3">
      <c r="A893" s="25"/>
      <c r="B893" s="25"/>
      <c r="C893" s="26"/>
      <c r="D893" s="27"/>
      <c r="E893" s="26"/>
      <c r="F893" s="26"/>
      <c r="G893" s="26"/>
      <c r="H893" s="26"/>
      <c r="I893" s="25"/>
      <c r="J893" s="25"/>
      <c r="K893" s="25"/>
      <c r="L893" s="25"/>
      <c r="M893" s="25"/>
    </row>
    <row r="894" spans="1:13" ht="14.25" customHeight="1" x14ac:dyDescent="0.3">
      <c r="A894" s="25"/>
      <c r="B894" s="25"/>
      <c r="C894" s="26"/>
      <c r="D894" s="27"/>
      <c r="E894" s="26"/>
      <c r="F894" s="26"/>
      <c r="G894" s="26"/>
      <c r="H894" s="26"/>
      <c r="I894" s="25"/>
      <c r="J894" s="25"/>
      <c r="K894" s="25"/>
      <c r="L894" s="25"/>
      <c r="M894" s="25"/>
    </row>
    <row r="895" spans="1:13" ht="14.25" customHeight="1" x14ac:dyDescent="0.3">
      <c r="A895" s="25"/>
      <c r="B895" s="25"/>
      <c r="C895" s="26"/>
      <c r="D895" s="27"/>
      <c r="E895" s="26"/>
      <c r="F895" s="26"/>
      <c r="G895" s="26"/>
      <c r="H895" s="26"/>
      <c r="I895" s="25"/>
      <c r="J895" s="25"/>
      <c r="K895" s="25"/>
      <c r="L895" s="25"/>
      <c r="M895" s="25"/>
    </row>
    <row r="896" spans="1:13" ht="14.25" customHeight="1" x14ac:dyDescent="0.3">
      <c r="A896" s="25"/>
      <c r="B896" s="25"/>
      <c r="C896" s="26"/>
      <c r="D896" s="27"/>
      <c r="E896" s="26"/>
      <c r="F896" s="26"/>
      <c r="G896" s="26"/>
      <c r="H896" s="26"/>
      <c r="I896" s="25"/>
      <c r="J896" s="25"/>
      <c r="K896" s="25"/>
      <c r="L896" s="25"/>
      <c r="M896" s="25"/>
    </row>
    <row r="897" spans="1:13" ht="14.25" customHeight="1" x14ac:dyDescent="0.3">
      <c r="A897" s="25"/>
      <c r="B897" s="25"/>
      <c r="C897" s="26"/>
      <c r="D897" s="27"/>
      <c r="E897" s="26"/>
      <c r="F897" s="26"/>
      <c r="G897" s="26"/>
      <c r="H897" s="26"/>
      <c r="I897" s="25"/>
      <c r="J897" s="25"/>
      <c r="K897" s="25"/>
      <c r="L897" s="25"/>
      <c r="M897" s="25"/>
    </row>
    <row r="898" spans="1:13" ht="14.25" customHeight="1" x14ac:dyDescent="0.3">
      <c r="A898" s="25"/>
      <c r="B898" s="25"/>
      <c r="C898" s="26"/>
      <c r="D898" s="27"/>
      <c r="E898" s="26"/>
      <c r="F898" s="26"/>
      <c r="G898" s="26"/>
      <c r="H898" s="26"/>
      <c r="I898" s="25"/>
      <c r="J898" s="25"/>
      <c r="K898" s="25"/>
      <c r="L898" s="25"/>
      <c r="M898" s="25"/>
    </row>
    <row r="899" spans="1:13" ht="14.25" customHeight="1" x14ac:dyDescent="0.3">
      <c r="A899" s="25"/>
      <c r="B899" s="25"/>
      <c r="C899" s="26"/>
      <c r="D899" s="27"/>
      <c r="E899" s="26"/>
      <c r="F899" s="26"/>
      <c r="G899" s="26"/>
      <c r="H899" s="26"/>
      <c r="I899" s="25"/>
      <c r="J899" s="25"/>
      <c r="K899" s="25"/>
      <c r="L899" s="25"/>
      <c r="M899" s="25"/>
    </row>
    <row r="900" spans="1:13" ht="14.25" customHeight="1" x14ac:dyDescent="0.3">
      <c r="A900" s="25"/>
      <c r="B900" s="25"/>
      <c r="C900" s="26"/>
      <c r="D900" s="27"/>
      <c r="E900" s="26"/>
      <c r="F900" s="26"/>
      <c r="G900" s="26"/>
      <c r="H900" s="26"/>
      <c r="I900" s="25"/>
      <c r="J900" s="25"/>
      <c r="K900" s="25"/>
      <c r="L900" s="25"/>
      <c r="M900" s="25"/>
    </row>
    <row r="901" spans="1:13" ht="14.25" customHeight="1" x14ac:dyDescent="0.3">
      <c r="A901" s="25"/>
      <c r="B901" s="25"/>
      <c r="C901" s="26"/>
      <c r="D901" s="27"/>
      <c r="E901" s="26"/>
      <c r="F901" s="26"/>
      <c r="G901" s="26"/>
      <c r="H901" s="26"/>
      <c r="I901" s="25"/>
      <c r="J901" s="25"/>
      <c r="K901" s="25"/>
      <c r="L901" s="25"/>
      <c r="M901" s="25"/>
    </row>
    <row r="902" spans="1:13" ht="14.25" customHeight="1" x14ac:dyDescent="0.3">
      <c r="A902" s="25"/>
      <c r="B902" s="25"/>
      <c r="C902" s="26"/>
      <c r="D902" s="27"/>
      <c r="E902" s="26"/>
      <c r="F902" s="26"/>
      <c r="G902" s="26"/>
      <c r="H902" s="26"/>
      <c r="I902" s="25"/>
      <c r="J902" s="25"/>
      <c r="K902" s="25"/>
      <c r="L902" s="25"/>
      <c r="M902" s="25"/>
    </row>
    <row r="903" spans="1:13" ht="14.25" customHeight="1" x14ac:dyDescent="0.3">
      <c r="A903" s="25"/>
      <c r="B903" s="25"/>
      <c r="C903" s="26"/>
      <c r="D903" s="27"/>
      <c r="E903" s="26"/>
      <c r="F903" s="26"/>
      <c r="G903" s="26"/>
      <c r="H903" s="26"/>
      <c r="I903" s="25"/>
      <c r="J903" s="25"/>
      <c r="K903" s="25"/>
      <c r="L903" s="25"/>
      <c r="M903" s="25"/>
    </row>
    <row r="904" spans="1:13" ht="14.25" customHeight="1" x14ac:dyDescent="0.3">
      <c r="A904" s="25"/>
      <c r="B904" s="25"/>
      <c r="C904" s="26"/>
      <c r="D904" s="27"/>
      <c r="E904" s="26"/>
      <c r="F904" s="26"/>
      <c r="G904" s="26"/>
      <c r="H904" s="26"/>
      <c r="I904" s="25"/>
      <c r="J904" s="25"/>
      <c r="K904" s="25"/>
      <c r="L904" s="25"/>
      <c r="M904" s="25"/>
    </row>
    <row r="905" spans="1:13" ht="14.25" customHeight="1" x14ac:dyDescent="0.3">
      <c r="A905" s="25"/>
      <c r="B905" s="25"/>
      <c r="C905" s="26"/>
      <c r="D905" s="27"/>
      <c r="E905" s="26"/>
      <c r="F905" s="26"/>
      <c r="G905" s="26"/>
      <c r="H905" s="26"/>
      <c r="I905" s="25"/>
      <c r="J905" s="25"/>
      <c r="K905" s="25"/>
      <c r="L905" s="25"/>
      <c r="M905" s="25"/>
    </row>
    <row r="906" spans="1:13" ht="14.25" customHeight="1" x14ac:dyDescent="0.3">
      <c r="A906" s="25"/>
      <c r="B906" s="25"/>
      <c r="C906" s="26"/>
      <c r="D906" s="27"/>
      <c r="E906" s="26"/>
      <c r="F906" s="26"/>
      <c r="G906" s="26"/>
      <c r="H906" s="26"/>
      <c r="I906" s="25"/>
      <c r="J906" s="25"/>
      <c r="K906" s="25"/>
      <c r="L906" s="25"/>
      <c r="M906" s="25"/>
    </row>
    <row r="907" spans="1:13" ht="14.25" customHeight="1" x14ac:dyDescent="0.3">
      <c r="A907" s="25"/>
      <c r="B907" s="25"/>
      <c r="C907" s="26"/>
      <c r="D907" s="27"/>
      <c r="E907" s="26"/>
      <c r="F907" s="26"/>
      <c r="G907" s="26"/>
      <c r="H907" s="26"/>
      <c r="I907" s="25"/>
      <c r="J907" s="25"/>
      <c r="K907" s="25"/>
      <c r="L907" s="25"/>
      <c r="M907" s="25"/>
    </row>
    <row r="908" spans="1:13" ht="14.25" customHeight="1" x14ac:dyDescent="0.3">
      <c r="A908" s="25"/>
      <c r="B908" s="25"/>
      <c r="C908" s="26"/>
      <c r="D908" s="27"/>
      <c r="E908" s="26"/>
      <c r="F908" s="26"/>
      <c r="G908" s="26"/>
      <c r="H908" s="26"/>
      <c r="I908" s="25"/>
      <c r="J908" s="25"/>
      <c r="K908" s="25"/>
      <c r="L908" s="25"/>
      <c r="M908" s="25"/>
    </row>
    <row r="909" spans="1:13" ht="14.25" customHeight="1" x14ac:dyDescent="0.3">
      <c r="A909" s="25"/>
      <c r="B909" s="25"/>
      <c r="C909" s="26"/>
      <c r="D909" s="27"/>
      <c r="E909" s="26"/>
      <c r="F909" s="26"/>
      <c r="G909" s="26"/>
      <c r="H909" s="26"/>
      <c r="I909" s="25"/>
      <c r="J909" s="25"/>
      <c r="K909" s="25"/>
      <c r="L909" s="25"/>
      <c r="M909" s="25"/>
    </row>
    <row r="910" spans="1:13" ht="14.25" customHeight="1" x14ac:dyDescent="0.3">
      <c r="A910" s="25"/>
      <c r="B910" s="25"/>
      <c r="C910" s="26"/>
      <c r="D910" s="27"/>
      <c r="E910" s="26"/>
      <c r="F910" s="26"/>
      <c r="G910" s="26"/>
      <c r="H910" s="26"/>
      <c r="I910" s="25"/>
      <c r="J910" s="25"/>
      <c r="K910" s="25"/>
      <c r="L910" s="25"/>
      <c r="M910" s="25"/>
    </row>
    <row r="911" spans="1:13" ht="14.25" customHeight="1" x14ac:dyDescent="0.3">
      <c r="A911" s="25"/>
      <c r="B911" s="25"/>
      <c r="C911" s="26"/>
      <c r="D911" s="27"/>
      <c r="E911" s="26"/>
      <c r="F911" s="26"/>
      <c r="G911" s="26"/>
      <c r="H911" s="26"/>
      <c r="I911" s="25"/>
      <c r="J911" s="25"/>
      <c r="K911" s="25"/>
      <c r="L911" s="25"/>
      <c r="M911" s="25"/>
    </row>
    <row r="912" spans="1:13" ht="14.25" customHeight="1" x14ac:dyDescent="0.3">
      <c r="A912" s="25"/>
      <c r="B912" s="25"/>
      <c r="C912" s="26"/>
      <c r="D912" s="27"/>
      <c r="E912" s="26"/>
      <c r="F912" s="26"/>
      <c r="G912" s="26"/>
      <c r="H912" s="26"/>
      <c r="I912" s="25"/>
      <c r="J912" s="25"/>
      <c r="K912" s="25"/>
      <c r="L912" s="25"/>
      <c r="M912" s="25"/>
    </row>
    <row r="913" spans="1:13" ht="14.25" customHeight="1" x14ac:dyDescent="0.3">
      <c r="A913" s="25"/>
      <c r="B913" s="25"/>
      <c r="C913" s="26"/>
      <c r="D913" s="27"/>
      <c r="E913" s="26"/>
      <c r="F913" s="26"/>
      <c r="G913" s="26"/>
      <c r="H913" s="26"/>
      <c r="I913" s="25"/>
      <c r="J913" s="25"/>
      <c r="K913" s="25"/>
      <c r="L913" s="25"/>
      <c r="M913" s="25"/>
    </row>
    <row r="914" spans="1:13" ht="14.25" customHeight="1" x14ac:dyDescent="0.3">
      <c r="A914" s="25"/>
      <c r="B914" s="25"/>
      <c r="C914" s="26"/>
      <c r="D914" s="27"/>
      <c r="E914" s="26"/>
      <c r="F914" s="26"/>
      <c r="G914" s="26"/>
      <c r="H914" s="26"/>
      <c r="I914" s="25"/>
      <c r="J914" s="25"/>
      <c r="K914" s="25"/>
      <c r="L914" s="25"/>
      <c r="M914" s="25"/>
    </row>
    <row r="915" spans="1:13" ht="14.25" customHeight="1" x14ac:dyDescent="0.3">
      <c r="A915" s="25"/>
      <c r="B915" s="25"/>
      <c r="C915" s="26"/>
      <c r="D915" s="27"/>
      <c r="E915" s="26"/>
      <c r="F915" s="26"/>
      <c r="G915" s="26"/>
      <c r="H915" s="26"/>
      <c r="I915" s="25"/>
      <c r="J915" s="25"/>
      <c r="K915" s="25"/>
      <c r="L915" s="25"/>
      <c r="M915" s="25"/>
    </row>
    <row r="916" spans="1:13" ht="14.25" customHeight="1" x14ac:dyDescent="0.3">
      <c r="A916" s="25"/>
      <c r="B916" s="25"/>
      <c r="C916" s="26"/>
      <c r="D916" s="27"/>
      <c r="E916" s="26"/>
      <c r="F916" s="26"/>
      <c r="G916" s="26"/>
      <c r="H916" s="26"/>
      <c r="I916" s="25"/>
      <c r="J916" s="25"/>
      <c r="K916" s="25"/>
      <c r="L916" s="25"/>
      <c r="M916" s="25"/>
    </row>
    <row r="917" spans="1:13" ht="14.25" customHeight="1" x14ac:dyDescent="0.3">
      <c r="A917" s="25"/>
      <c r="B917" s="25"/>
      <c r="C917" s="26"/>
      <c r="D917" s="27"/>
      <c r="E917" s="26"/>
      <c r="F917" s="26"/>
      <c r="G917" s="26"/>
      <c r="H917" s="26"/>
      <c r="I917" s="25"/>
      <c r="J917" s="25"/>
      <c r="K917" s="25"/>
      <c r="L917" s="25"/>
      <c r="M917" s="25"/>
    </row>
    <row r="918" spans="1:13" ht="14.25" customHeight="1" x14ac:dyDescent="0.3">
      <c r="A918" s="25"/>
      <c r="B918" s="25"/>
      <c r="C918" s="26"/>
      <c r="D918" s="27"/>
      <c r="E918" s="26"/>
      <c r="F918" s="26"/>
      <c r="G918" s="26"/>
      <c r="H918" s="26"/>
      <c r="I918" s="25"/>
      <c r="J918" s="25"/>
      <c r="K918" s="25"/>
      <c r="L918" s="25"/>
      <c r="M918" s="25"/>
    </row>
    <row r="919" spans="1:13" ht="14.25" customHeight="1" x14ac:dyDescent="0.3">
      <c r="A919" s="25"/>
      <c r="B919" s="25"/>
      <c r="C919" s="26"/>
      <c r="D919" s="27"/>
      <c r="E919" s="26"/>
      <c r="F919" s="26"/>
      <c r="G919" s="26"/>
      <c r="H919" s="26"/>
      <c r="I919" s="25"/>
      <c r="J919" s="25"/>
      <c r="K919" s="25"/>
      <c r="L919" s="25"/>
      <c r="M919" s="25"/>
    </row>
    <row r="920" spans="1:13" ht="14.25" customHeight="1" x14ac:dyDescent="0.3">
      <c r="A920" s="25"/>
      <c r="B920" s="25"/>
      <c r="C920" s="26"/>
      <c r="D920" s="27"/>
      <c r="E920" s="26"/>
      <c r="F920" s="26"/>
      <c r="G920" s="26"/>
      <c r="H920" s="26"/>
      <c r="I920" s="25"/>
      <c r="J920" s="25"/>
      <c r="K920" s="25"/>
      <c r="L920" s="25"/>
      <c r="M920" s="25"/>
    </row>
    <row r="921" spans="1:13" ht="14.25" customHeight="1" x14ac:dyDescent="0.3">
      <c r="A921" s="25"/>
      <c r="B921" s="25"/>
      <c r="C921" s="26"/>
      <c r="D921" s="27"/>
      <c r="E921" s="26"/>
      <c r="F921" s="26"/>
      <c r="G921" s="26"/>
      <c r="H921" s="26"/>
      <c r="I921" s="25"/>
      <c r="J921" s="25"/>
      <c r="K921" s="25"/>
      <c r="L921" s="25"/>
      <c r="M921" s="25"/>
    </row>
    <row r="922" spans="1:13" ht="14.25" customHeight="1" x14ac:dyDescent="0.3">
      <c r="A922" s="25"/>
      <c r="B922" s="25"/>
      <c r="C922" s="26"/>
      <c r="D922" s="27"/>
      <c r="E922" s="26"/>
      <c r="F922" s="26"/>
      <c r="G922" s="26"/>
      <c r="H922" s="26"/>
      <c r="I922" s="25"/>
      <c r="J922" s="25"/>
      <c r="K922" s="25"/>
      <c r="L922" s="25"/>
      <c r="M922" s="25"/>
    </row>
    <row r="923" spans="1:13" ht="14.25" customHeight="1" x14ac:dyDescent="0.3">
      <c r="A923" s="25"/>
      <c r="B923" s="25"/>
      <c r="C923" s="26"/>
      <c r="D923" s="27"/>
      <c r="E923" s="26"/>
      <c r="F923" s="26"/>
      <c r="G923" s="26"/>
      <c r="H923" s="26"/>
      <c r="I923" s="25"/>
      <c r="J923" s="25"/>
      <c r="K923" s="25"/>
      <c r="L923" s="25"/>
      <c r="M923" s="25"/>
    </row>
    <row r="924" spans="1:13" ht="14.25" customHeight="1" x14ac:dyDescent="0.3">
      <c r="A924" s="25"/>
      <c r="B924" s="25"/>
      <c r="C924" s="26"/>
      <c r="D924" s="27"/>
      <c r="E924" s="26"/>
      <c r="F924" s="26"/>
      <c r="G924" s="26"/>
      <c r="H924" s="26"/>
      <c r="I924" s="25"/>
      <c r="J924" s="25"/>
      <c r="K924" s="25"/>
      <c r="L924" s="25"/>
      <c r="M924" s="25"/>
    </row>
    <row r="925" spans="1:13" ht="14.25" customHeight="1" x14ac:dyDescent="0.3">
      <c r="A925" s="25"/>
      <c r="B925" s="25"/>
      <c r="C925" s="26"/>
      <c r="D925" s="27"/>
      <c r="E925" s="26"/>
      <c r="F925" s="26"/>
      <c r="G925" s="26"/>
      <c r="H925" s="26"/>
      <c r="I925" s="25"/>
      <c r="J925" s="25"/>
      <c r="K925" s="25"/>
      <c r="L925" s="25"/>
      <c r="M925" s="25"/>
    </row>
    <row r="926" spans="1:13" ht="14.25" customHeight="1" x14ac:dyDescent="0.3">
      <c r="A926" s="25"/>
      <c r="B926" s="25"/>
      <c r="C926" s="26"/>
      <c r="D926" s="27"/>
      <c r="E926" s="26"/>
      <c r="F926" s="26"/>
      <c r="G926" s="26"/>
      <c r="H926" s="26"/>
      <c r="I926" s="25"/>
      <c r="J926" s="25"/>
      <c r="K926" s="25"/>
      <c r="L926" s="25"/>
      <c r="M926" s="25"/>
    </row>
    <row r="927" spans="1:13" ht="14.25" customHeight="1" x14ac:dyDescent="0.3">
      <c r="A927" s="25"/>
      <c r="B927" s="25"/>
      <c r="C927" s="26"/>
      <c r="D927" s="27"/>
      <c r="E927" s="26"/>
      <c r="F927" s="26"/>
      <c r="G927" s="26"/>
      <c r="H927" s="26"/>
      <c r="I927" s="25"/>
      <c r="J927" s="25"/>
      <c r="K927" s="25"/>
      <c r="L927" s="25"/>
      <c r="M927" s="25"/>
    </row>
    <row r="928" spans="1:13" ht="14.25" customHeight="1" x14ac:dyDescent="0.3">
      <c r="A928" s="25"/>
      <c r="B928" s="25"/>
      <c r="C928" s="26"/>
      <c r="D928" s="27"/>
      <c r="E928" s="26"/>
      <c r="F928" s="26"/>
      <c r="G928" s="26"/>
      <c r="H928" s="26"/>
      <c r="I928" s="25"/>
      <c r="J928" s="25"/>
      <c r="K928" s="25"/>
      <c r="L928" s="25"/>
      <c r="M928" s="25"/>
    </row>
    <row r="929" spans="1:13" ht="14.25" customHeight="1" x14ac:dyDescent="0.3">
      <c r="A929" s="25"/>
      <c r="B929" s="25"/>
      <c r="C929" s="26"/>
      <c r="D929" s="27"/>
      <c r="E929" s="26"/>
      <c r="F929" s="26"/>
      <c r="G929" s="26"/>
      <c r="H929" s="26"/>
      <c r="I929" s="25"/>
      <c r="J929" s="25"/>
      <c r="K929" s="25"/>
      <c r="L929" s="25"/>
      <c r="M929" s="25"/>
    </row>
    <row r="930" spans="1:13" ht="14.25" customHeight="1" x14ac:dyDescent="0.3">
      <c r="A930" s="25"/>
      <c r="B930" s="25"/>
      <c r="C930" s="26"/>
      <c r="D930" s="27"/>
      <c r="E930" s="26"/>
      <c r="F930" s="26"/>
      <c r="G930" s="26"/>
      <c r="H930" s="26"/>
      <c r="I930" s="25"/>
      <c r="J930" s="25"/>
      <c r="K930" s="25"/>
      <c r="L930" s="25"/>
      <c r="M930" s="25"/>
    </row>
    <row r="931" spans="1:13" ht="14.25" customHeight="1" x14ac:dyDescent="0.3">
      <c r="A931" s="25"/>
      <c r="B931" s="25"/>
      <c r="C931" s="26"/>
      <c r="D931" s="27"/>
      <c r="E931" s="26"/>
      <c r="F931" s="26"/>
      <c r="G931" s="26"/>
      <c r="H931" s="26"/>
      <c r="I931" s="25"/>
      <c r="J931" s="25"/>
      <c r="K931" s="25"/>
      <c r="L931" s="25"/>
      <c r="M931" s="25"/>
    </row>
    <row r="932" spans="1:13" ht="14.25" customHeight="1" x14ac:dyDescent="0.3">
      <c r="A932" s="25"/>
      <c r="B932" s="25"/>
      <c r="C932" s="26"/>
      <c r="D932" s="27"/>
      <c r="E932" s="26"/>
      <c r="F932" s="26"/>
      <c r="G932" s="26"/>
      <c r="H932" s="26"/>
      <c r="I932" s="25"/>
      <c r="J932" s="25"/>
      <c r="K932" s="25"/>
      <c r="L932" s="25"/>
      <c r="M932" s="25"/>
    </row>
    <row r="933" spans="1:13" ht="14.25" customHeight="1" x14ac:dyDescent="0.3">
      <c r="A933" s="25"/>
      <c r="B933" s="25"/>
      <c r="C933" s="26"/>
      <c r="D933" s="27"/>
      <c r="E933" s="26"/>
      <c r="F933" s="26"/>
      <c r="G933" s="26"/>
      <c r="H933" s="26"/>
      <c r="I933" s="25"/>
      <c r="J933" s="25"/>
      <c r="K933" s="25"/>
      <c r="L933" s="25"/>
      <c r="M933" s="25"/>
    </row>
    <row r="934" spans="1:13" ht="14.25" customHeight="1" x14ac:dyDescent="0.3">
      <c r="A934" s="25"/>
      <c r="B934" s="25"/>
      <c r="C934" s="26"/>
      <c r="D934" s="27"/>
      <c r="E934" s="26"/>
      <c r="F934" s="26"/>
      <c r="G934" s="26"/>
      <c r="H934" s="26"/>
      <c r="I934" s="25"/>
      <c r="J934" s="25"/>
      <c r="K934" s="25"/>
      <c r="L934" s="25"/>
      <c r="M934" s="25"/>
    </row>
    <row r="935" spans="1:13" ht="14.25" customHeight="1" x14ac:dyDescent="0.3">
      <c r="A935" s="25"/>
      <c r="B935" s="25"/>
      <c r="C935" s="26"/>
      <c r="D935" s="27"/>
      <c r="E935" s="26"/>
      <c r="F935" s="26"/>
      <c r="G935" s="26"/>
      <c r="H935" s="26"/>
      <c r="I935" s="25"/>
      <c r="J935" s="25"/>
      <c r="K935" s="25"/>
      <c r="L935" s="25"/>
      <c r="M935" s="25"/>
    </row>
    <row r="936" spans="1:13" ht="14.25" customHeight="1" x14ac:dyDescent="0.3">
      <c r="A936" s="25"/>
      <c r="B936" s="25"/>
      <c r="C936" s="26"/>
      <c r="D936" s="27"/>
      <c r="E936" s="26"/>
      <c r="F936" s="26"/>
      <c r="G936" s="26"/>
      <c r="H936" s="26"/>
      <c r="I936" s="25"/>
      <c r="J936" s="25"/>
      <c r="K936" s="25"/>
      <c r="L936" s="25"/>
      <c r="M936" s="25"/>
    </row>
    <row r="937" spans="1:13" ht="14.25" customHeight="1" x14ac:dyDescent="0.3">
      <c r="A937" s="25"/>
      <c r="B937" s="25"/>
      <c r="C937" s="26"/>
      <c r="D937" s="27"/>
      <c r="E937" s="26"/>
      <c r="F937" s="26"/>
      <c r="G937" s="26"/>
      <c r="H937" s="26"/>
      <c r="I937" s="25"/>
      <c r="J937" s="25"/>
      <c r="K937" s="25"/>
      <c r="L937" s="25"/>
      <c r="M937" s="25"/>
    </row>
    <row r="938" spans="1:13" ht="14.25" customHeight="1" x14ac:dyDescent="0.3">
      <c r="A938" s="25"/>
      <c r="B938" s="25"/>
      <c r="C938" s="26"/>
      <c r="D938" s="27"/>
      <c r="E938" s="26"/>
      <c r="F938" s="26"/>
      <c r="G938" s="26"/>
      <c r="H938" s="26"/>
      <c r="I938" s="25"/>
      <c r="J938" s="25"/>
      <c r="K938" s="25"/>
      <c r="L938" s="25"/>
      <c r="M938" s="25"/>
    </row>
    <row r="939" spans="1:13" ht="14.25" customHeight="1" x14ac:dyDescent="0.3">
      <c r="A939" s="25"/>
      <c r="B939" s="25"/>
      <c r="C939" s="26"/>
      <c r="D939" s="27"/>
      <c r="E939" s="26"/>
      <c r="F939" s="26"/>
      <c r="G939" s="26"/>
      <c r="H939" s="26"/>
      <c r="I939" s="25"/>
      <c r="J939" s="25"/>
      <c r="K939" s="25"/>
      <c r="L939" s="25"/>
      <c r="M939" s="25"/>
    </row>
    <row r="940" spans="1:13" ht="14.25" customHeight="1" x14ac:dyDescent="0.3">
      <c r="A940" s="25"/>
      <c r="B940" s="25"/>
      <c r="C940" s="26"/>
      <c r="D940" s="27"/>
      <c r="E940" s="26"/>
      <c r="F940" s="26"/>
      <c r="G940" s="26"/>
      <c r="H940" s="26"/>
      <c r="I940" s="25"/>
      <c r="J940" s="25"/>
      <c r="K940" s="25"/>
      <c r="L940" s="25"/>
      <c r="M940" s="25"/>
    </row>
    <row r="941" spans="1:13" ht="14.25" customHeight="1" x14ac:dyDescent="0.3">
      <c r="A941" s="25"/>
      <c r="B941" s="25"/>
      <c r="C941" s="26"/>
      <c r="D941" s="27"/>
      <c r="E941" s="26"/>
      <c r="F941" s="26"/>
      <c r="G941" s="26"/>
      <c r="H941" s="26"/>
      <c r="I941" s="25"/>
      <c r="J941" s="25"/>
      <c r="K941" s="25"/>
      <c r="L941" s="25"/>
      <c r="M941" s="25"/>
    </row>
    <row r="942" spans="1:13" ht="14.25" customHeight="1" x14ac:dyDescent="0.3">
      <c r="A942" s="25"/>
      <c r="B942" s="25"/>
      <c r="C942" s="26"/>
      <c r="D942" s="27"/>
      <c r="E942" s="26"/>
      <c r="F942" s="26"/>
      <c r="G942" s="26"/>
      <c r="H942" s="26"/>
      <c r="I942" s="25"/>
      <c r="J942" s="25"/>
      <c r="K942" s="25"/>
      <c r="L942" s="25"/>
      <c r="M942" s="25"/>
    </row>
    <row r="943" spans="1:13" ht="14.25" customHeight="1" x14ac:dyDescent="0.3">
      <c r="A943" s="25"/>
      <c r="B943" s="25"/>
      <c r="C943" s="26"/>
      <c r="D943" s="27"/>
      <c r="E943" s="26"/>
      <c r="F943" s="26"/>
      <c r="G943" s="26"/>
      <c r="H943" s="26"/>
      <c r="I943" s="25"/>
      <c r="J943" s="25"/>
      <c r="K943" s="25"/>
      <c r="L943" s="25"/>
      <c r="M943" s="25"/>
    </row>
    <row r="944" spans="1:13" ht="14.25" customHeight="1" x14ac:dyDescent="0.3">
      <c r="A944" s="25"/>
      <c r="B944" s="25"/>
      <c r="C944" s="26"/>
      <c r="D944" s="27"/>
      <c r="E944" s="26"/>
      <c r="F944" s="26"/>
      <c r="G944" s="26"/>
      <c r="H944" s="26"/>
      <c r="I944" s="25"/>
      <c r="J944" s="25"/>
      <c r="K944" s="25"/>
      <c r="L944" s="25"/>
      <c r="M944" s="25"/>
    </row>
    <row r="945" spans="1:13" ht="14.25" customHeight="1" x14ac:dyDescent="0.3">
      <c r="A945" s="25"/>
      <c r="B945" s="25"/>
      <c r="C945" s="26"/>
      <c r="D945" s="27"/>
      <c r="E945" s="26"/>
      <c r="F945" s="26"/>
      <c r="G945" s="26"/>
      <c r="H945" s="26"/>
      <c r="I945" s="25"/>
      <c r="J945" s="25"/>
      <c r="K945" s="25"/>
      <c r="L945" s="25"/>
      <c r="M945" s="25"/>
    </row>
    <row r="946" spans="1:13" ht="14.25" customHeight="1" x14ac:dyDescent="0.3">
      <c r="A946" s="25"/>
      <c r="B946" s="25"/>
      <c r="C946" s="26"/>
      <c r="D946" s="27"/>
      <c r="E946" s="26"/>
      <c r="F946" s="26"/>
      <c r="G946" s="26"/>
      <c r="H946" s="26"/>
      <c r="I946" s="25"/>
      <c r="J946" s="25"/>
      <c r="K946" s="25"/>
      <c r="L946" s="25"/>
      <c r="M946" s="25"/>
    </row>
    <row r="947" spans="1:13" ht="14.25" customHeight="1" x14ac:dyDescent="0.3">
      <c r="A947" s="25"/>
      <c r="B947" s="25"/>
      <c r="C947" s="26"/>
      <c r="D947" s="27"/>
      <c r="E947" s="26"/>
      <c r="F947" s="26"/>
      <c r="G947" s="26"/>
      <c r="H947" s="26"/>
      <c r="I947" s="25"/>
      <c r="J947" s="25"/>
      <c r="K947" s="25"/>
      <c r="L947" s="25"/>
      <c r="M947" s="25"/>
    </row>
    <row r="948" spans="1:13" ht="14.25" customHeight="1" x14ac:dyDescent="0.3">
      <c r="A948" s="25"/>
      <c r="B948" s="25"/>
      <c r="C948" s="26"/>
      <c r="D948" s="27"/>
      <c r="E948" s="26"/>
      <c r="F948" s="26"/>
      <c r="G948" s="26"/>
      <c r="H948" s="26"/>
      <c r="I948" s="25"/>
      <c r="J948" s="25"/>
      <c r="K948" s="25"/>
      <c r="L948" s="25"/>
      <c r="M948" s="25"/>
    </row>
    <row r="949" spans="1:13" ht="14.25" customHeight="1" x14ac:dyDescent="0.3">
      <c r="A949" s="25"/>
      <c r="B949" s="25"/>
      <c r="C949" s="26"/>
      <c r="D949" s="27"/>
      <c r="E949" s="26"/>
      <c r="F949" s="26"/>
      <c r="G949" s="26"/>
      <c r="H949" s="26"/>
      <c r="I949" s="25"/>
      <c r="J949" s="25"/>
      <c r="K949" s="25"/>
      <c r="L949" s="25"/>
      <c r="M949" s="25"/>
    </row>
    <row r="950" spans="1:13" ht="14.25" customHeight="1" x14ac:dyDescent="0.3">
      <c r="A950" s="25"/>
      <c r="B950" s="25"/>
      <c r="C950" s="26"/>
      <c r="D950" s="27"/>
      <c r="E950" s="26"/>
      <c r="F950" s="26"/>
      <c r="G950" s="26"/>
      <c r="H950" s="26"/>
      <c r="I950" s="25"/>
      <c r="J950" s="25"/>
      <c r="K950" s="25"/>
      <c r="L950" s="25"/>
      <c r="M950" s="25"/>
    </row>
    <row r="951" spans="1:13" ht="14.25" customHeight="1" x14ac:dyDescent="0.3">
      <c r="A951" s="25"/>
      <c r="B951" s="25"/>
      <c r="C951" s="26"/>
      <c r="D951" s="27"/>
      <c r="E951" s="26"/>
      <c r="F951" s="26"/>
      <c r="G951" s="26"/>
      <c r="H951" s="26"/>
      <c r="I951" s="25"/>
      <c r="J951" s="25"/>
      <c r="K951" s="25"/>
      <c r="L951" s="25"/>
      <c r="M951" s="25"/>
    </row>
    <row r="952" spans="1:13" ht="14.25" customHeight="1" x14ac:dyDescent="0.3">
      <c r="A952" s="25"/>
      <c r="B952" s="25"/>
      <c r="C952" s="26"/>
      <c r="D952" s="27"/>
      <c r="E952" s="26"/>
      <c r="F952" s="26"/>
      <c r="G952" s="26"/>
      <c r="H952" s="26"/>
      <c r="I952" s="25"/>
      <c r="J952" s="25"/>
      <c r="K952" s="25"/>
      <c r="L952" s="25"/>
      <c r="M952" s="25"/>
    </row>
    <row r="953" spans="1:13" ht="14.25" customHeight="1" x14ac:dyDescent="0.3">
      <c r="A953" s="25"/>
      <c r="B953" s="25"/>
      <c r="C953" s="26"/>
      <c r="D953" s="27"/>
      <c r="E953" s="26"/>
      <c r="F953" s="26"/>
      <c r="G953" s="26"/>
      <c r="H953" s="26"/>
      <c r="I953" s="25"/>
      <c r="J953" s="25"/>
      <c r="K953" s="25"/>
      <c r="L953" s="25"/>
      <c r="M953" s="25"/>
    </row>
    <row r="954" spans="1:13" ht="14.25" customHeight="1" x14ac:dyDescent="0.3">
      <c r="A954" s="25"/>
      <c r="B954" s="25"/>
      <c r="C954" s="26"/>
      <c r="D954" s="27"/>
      <c r="E954" s="26"/>
      <c r="F954" s="26"/>
      <c r="G954" s="26"/>
      <c r="H954" s="26"/>
      <c r="I954" s="25"/>
      <c r="J954" s="25"/>
      <c r="K954" s="25"/>
      <c r="L954" s="25"/>
      <c r="M954" s="25"/>
    </row>
    <row r="955" spans="1:13" ht="14.25" customHeight="1" x14ac:dyDescent="0.3">
      <c r="A955" s="25"/>
      <c r="B955" s="25"/>
      <c r="C955" s="26"/>
      <c r="D955" s="27"/>
      <c r="E955" s="26"/>
      <c r="F955" s="26"/>
      <c r="G955" s="26"/>
      <c r="H955" s="26"/>
      <c r="I955" s="25"/>
      <c r="J955" s="25"/>
      <c r="K955" s="25"/>
      <c r="L955" s="25"/>
      <c r="M955" s="25"/>
    </row>
    <row r="956" spans="1:13" ht="14.25" customHeight="1" x14ac:dyDescent="0.3">
      <c r="A956" s="25"/>
      <c r="B956" s="25"/>
      <c r="C956" s="26"/>
      <c r="D956" s="27"/>
      <c r="E956" s="26"/>
      <c r="F956" s="26"/>
      <c r="G956" s="26"/>
      <c r="H956" s="26"/>
      <c r="I956" s="25"/>
      <c r="J956" s="25"/>
      <c r="K956" s="25"/>
      <c r="L956" s="25"/>
      <c r="M956" s="25"/>
    </row>
    <row r="957" spans="1:13" ht="14.25" customHeight="1" x14ac:dyDescent="0.3">
      <c r="A957" s="25"/>
      <c r="B957" s="25"/>
      <c r="C957" s="26"/>
      <c r="D957" s="27"/>
      <c r="E957" s="26"/>
      <c r="F957" s="26"/>
      <c r="G957" s="26"/>
      <c r="H957" s="26"/>
      <c r="I957" s="25"/>
      <c r="J957" s="25"/>
      <c r="K957" s="25"/>
      <c r="L957" s="25"/>
      <c r="M957" s="25"/>
    </row>
    <row r="958" spans="1:13" ht="14.25" customHeight="1" x14ac:dyDescent="0.3">
      <c r="A958" s="25"/>
      <c r="B958" s="25"/>
      <c r="C958" s="26"/>
      <c r="D958" s="27"/>
      <c r="E958" s="26"/>
      <c r="F958" s="26"/>
      <c r="G958" s="26"/>
      <c r="H958" s="26"/>
      <c r="I958" s="25"/>
      <c r="J958" s="25"/>
      <c r="K958" s="25"/>
      <c r="L958" s="25"/>
      <c r="M958" s="25"/>
    </row>
    <row r="959" spans="1:13" ht="14.25" customHeight="1" x14ac:dyDescent="0.3">
      <c r="A959" s="25"/>
      <c r="B959" s="25"/>
      <c r="C959" s="26"/>
      <c r="D959" s="27"/>
      <c r="E959" s="26"/>
      <c r="F959" s="26"/>
      <c r="G959" s="26"/>
      <c r="H959" s="26"/>
      <c r="I959" s="25"/>
      <c r="J959" s="25"/>
      <c r="K959" s="25"/>
      <c r="L959" s="25"/>
      <c r="M959" s="25"/>
    </row>
    <row r="960" spans="1:13" ht="14.25" customHeight="1" x14ac:dyDescent="0.3">
      <c r="A960" s="25"/>
      <c r="B960" s="25"/>
      <c r="C960" s="26"/>
      <c r="D960" s="27"/>
      <c r="E960" s="26"/>
      <c r="F960" s="26"/>
      <c r="G960" s="26"/>
      <c r="H960" s="26"/>
      <c r="I960" s="25"/>
      <c r="J960" s="25"/>
      <c r="K960" s="25"/>
      <c r="L960" s="25"/>
      <c r="M960" s="25"/>
    </row>
    <row r="961" spans="1:13" ht="14.25" customHeight="1" x14ac:dyDescent="0.3">
      <c r="A961" s="25"/>
      <c r="B961" s="25"/>
      <c r="C961" s="26"/>
      <c r="D961" s="27"/>
      <c r="E961" s="26"/>
      <c r="F961" s="26"/>
      <c r="G961" s="26"/>
      <c r="H961" s="26"/>
      <c r="I961" s="25"/>
      <c r="J961" s="25"/>
      <c r="K961" s="25"/>
      <c r="L961" s="25"/>
      <c r="M961" s="25"/>
    </row>
    <row r="962" spans="1:13" ht="14.25" customHeight="1" x14ac:dyDescent="0.3">
      <c r="A962" s="25"/>
      <c r="B962" s="25"/>
      <c r="C962" s="26"/>
      <c r="D962" s="27"/>
      <c r="E962" s="26"/>
      <c r="F962" s="26"/>
      <c r="G962" s="26"/>
      <c r="H962" s="26"/>
      <c r="I962" s="25"/>
      <c r="J962" s="25"/>
      <c r="K962" s="25"/>
      <c r="L962" s="25"/>
      <c r="M962" s="25"/>
    </row>
    <row r="963" spans="1:13" ht="14.25" customHeight="1" x14ac:dyDescent="0.3">
      <c r="A963" s="25"/>
      <c r="B963" s="25"/>
      <c r="C963" s="26"/>
      <c r="D963" s="27"/>
      <c r="E963" s="26"/>
      <c r="F963" s="26"/>
      <c r="G963" s="26"/>
      <c r="H963" s="26"/>
      <c r="I963" s="25"/>
      <c r="J963" s="25"/>
      <c r="K963" s="25"/>
      <c r="L963" s="25"/>
      <c r="M963" s="25"/>
    </row>
    <row r="964" spans="1:13" ht="14.25" customHeight="1" x14ac:dyDescent="0.3">
      <c r="A964" s="25"/>
      <c r="B964" s="25"/>
      <c r="C964" s="26"/>
      <c r="D964" s="27"/>
      <c r="E964" s="26"/>
      <c r="F964" s="26"/>
      <c r="G964" s="26"/>
      <c r="H964" s="26"/>
      <c r="I964" s="25"/>
      <c r="J964" s="25"/>
      <c r="K964" s="25"/>
      <c r="L964" s="25"/>
      <c r="M964" s="25"/>
    </row>
    <row r="965" spans="1:13" ht="14.25" customHeight="1" x14ac:dyDescent="0.3">
      <c r="A965" s="25"/>
      <c r="B965" s="25"/>
      <c r="C965" s="26"/>
      <c r="D965" s="27"/>
      <c r="E965" s="26"/>
      <c r="F965" s="26"/>
      <c r="G965" s="26"/>
      <c r="H965" s="26"/>
      <c r="I965" s="25"/>
      <c r="J965" s="25"/>
      <c r="K965" s="25"/>
      <c r="L965" s="25"/>
      <c r="M965" s="25"/>
    </row>
    <row r="966" spans="1:13" ht="14.25" customHeight="1" x14ac:dyDescent="0.3">
      <c r="A966" s="25"/>
      <c r="B966" s="25"/>
      <c r="C966" s="26"/>
      <c r="D966" s="27"/>
      <c r="E966" s="26"/>
      <c r="F966" s="26"/>
      <c r="G966" s="26"/>
      <c r="H966" s="26"/>
      <c r="I966" s="25"/>
      <c r="J966" s="25"/>
      <c r="K966" s="25"/>
      <c r="L966" s="25"/>
      <c r="M966" s="25"/>
    </row>
    <row r="967" spans="1:13" ht="14.25" customHeight="1" x14ac:dyDescent="0.3">
      <c r="A967" s="25"/>
      <c r="B967" s="25"/>
      <c r="C967" s="26"/>
      <c r="D967" s="27"/>
      <c r="E967" s="26"/>
      <c r="F967" s="26"/>
      <c r="G967" s="26"/>
      <c r="H967" s="26"/>
      <c r="I967" s="25"/>
      <c r="J967" s="25"/>
      <c r="K967" s="25"/>
      <c r="L967" s="25"/>
      <c r="M967" s="25"/>
    </row>
    <row r="968" spans="1:13" ht="14.25" customHeight="1" x14ac:dyDescent="0.3">
      <c r="A968" s="25"/>
      <c r="B968" s="25"/>
      <c r="C968" s="26"/>
      <c r="D968" s="27"/>
      <c r="E968" s="26"/>
      <c r="F968" s="26"/>
      <c r="G968" s="26"/>
      <c r="H968" s="26"/>
      <c r="I968" s="25"/>
      <c r="J968" s="25"/>
      <c r="K968" s="25"/>
      <c r="L968" s="25"/>
      <c r="M968" s="25"/>
    </row>
    <row r="969" spans="1:13" ht="14.25" customHeight="1" x14ac:dyDescent="0.3">
      <c r="A969" s="25"/>
      <c r="B969" s="25"/>
      <c r="C969" s="26"/>
      <c r="D969" s="27"/>
      <c r="E969" s="26"/>
      <c r="F969" s="26"/>
      <c r="G969" s="26"/>
      <c r="H969" s="26"/>
      <c r="I969" s="25"/>
      <c r="J969" s="25"/>
      <c r="K969" s="25"/>
      <c r="L969" s="25"/>
      <c r="M969" s="25"/>
    </row>
    <row r="970" spans="1:13" ht="14.25" customHeight="1" x14ac:dyDescent="0.3">
      <c r="A970" s="25"/>
      <c r="B970" s="25"/>
      <c r="C970" s="26"/>
      <c r="D970" s="27"/>
      <c r="E970" s="26"/>
      <c r="F970" s="26"/>
      <c r="G970" s="26"/>
      <c r="H970" s="26"/>
      <c r="I970" s="25"/>
      <c r="J970" s="25"/>
      <c r="K970" s="25"/>
      <c r="L970" s="25"/>
      <c r="M970" s="25"/>
    </row>
    <row r="971" spans="1:13" ht="14.25" customHeight="1" x14ac:dyDescent="0.3">
      <c r="A971" s="25"/>
      <c r="B971" s="25"/>
      <c r="C971" s="26"/>
      <c r="D971" s="27"/>
      <c r="E971" s="26"/>
      <c r="F971" s="26"/>
      <c r="G971" s="26"/>
      <c r="H971" s="26"/>
      <c r="I971" s="25"/>
      <c r="J971" s="25"/>
      <c r="K971" s="25"/>
      <c r="L971" s="25"/>
      <c r="M971" s="25"/>
    </row>
    <row r="972" spans="1:13" ht="14.25" customHeight="1" x14ac:dyDescent="0.3">
      <c r="A972" s="25"/>
      <c r="B972" s="25"/>
      <c r="C972" s="26"/>
      <c r="D972" s="27"/>
      <c r="E972" s="26"/>
      <c r="F972" s="26"/>
      <c r="G972" s="26"/>
      <c r="H972" s="26"/>
      <c r="I972" s="25"/>
      <c r="J972" s="25"/>
      <c r="K972" s="25"/>
      <c r="L972" s="25"/>
      <c r="M972" s="25"/>
    </row>
    <row r="973" spans="1:13" ht="14.25" customHeight="1" x14ac:dyDescent="0.3">
      <c r="A973" s="25"/>
      <c r="B973" s="25"/>
      <c r="C973" s="26"/>
      <c r="D973" s="27"/>
      <c r="E973" s="26"/>
      <c r="F973" s="26"/>
      <c r="G973" s="26"/>
      <c r="H973" s="26"/>
      <c r="I973" s="25"/>
      <c r="J973" s="25"/>
      <c r="K973" s="25"/>
      <c r="L973" s="25"/>
      <c r="M973" s="25"/>
    </row>
    <row r="974" spans="1:13" ht="14.25" customHeight="1" x14ac:dyDescent="0.3">
      <c r="A974" s="25"/>
      <c r="B974" s="25"/>
      <c r="C974" s="26"/>
      <c r="D974" s="27"/>
      <c r="E974" s="26"/>
      <c r="F974" s="26"/>
      <c r="G974" s="26"/>
      <c r="H974" s="26"/>
      <c r="I974" s="25"/>
      <c r="J974" s="25"/>
      <c r="K974" s="25"/>
      <c r="L974" s="25"/>
      <c r="M974" s="25"/>
    </row>
    <row r="975" spans="1:13" ht="14.25" customHeight="1" x14ac:dyDescent="0.3">
      <c r="A975" s="25"/>
      <c r="B975" s="25"/>
      <c r="C975" s="26"/>
      <c r="D975" s="27"/>
      <c r="E975" s="26"/>
      <c r="F975" s="26"/>
      <c r="G975" s="26"/>
      <c r="H975" s="26"/>
      <c r="I975" s="25"/>
      <c r="J975" s="25"/>
      <c r="K975" s="25"/>
      <c r="L975" s="25"/>
      <c r="M975" s="25"/>
    </row>
    <row r="976" spans="1:13" ht="14.25" customHeight="1" x14ac:dyDescent="0.3">
      <c r="A976" s="25"/>
      <c r="B976" s="25"/>
      <c r="C976" s="26"/>
      <c r="D976" s="27"/>
      <c r="E976" s="26"/>
      <c r="F976" s="26"/>
      <c r="G976" s="26"/>
      <c r="H976" s="26"/>
      <c r="I976" s="25"/>
      <c r="J976" s="25"/>
      <c r="K976" s="25"/>
      <c r="L976" s="25"/>
      <c r="M976" s="25"/>
    </row>
    <row r="977" spans="1:13" ht="14.25" customHeight="1" x14ac:dyDescent="0.3">
      <c r="A977" s="25"/>
      <c r="B977" s="25"/>
      <c r="C977" s="26"/>
      <c r="D977" s="27"/>
      <c r="E977" s="26"/>
      <c r="F977" s="26"/>
      <c r="G977" s="26"/>
      <c r="H977" s="26"/>
      <c r="I977" s="25"/>
      <c r="J977" s="25"/>
      <c r="K977" s="25"/>
      <c r="L977" s="25"/>
      <c r="M977" s="25"/>
    </row>
    <row r="978" spans="1:13" ht="14.25" customHeight="1" x14ac:dyDescent="0.3">
      <c r="A978" s="25"/>
      <c r="B978" s="25"/>
      <c r="C978" s="26"/>
      <c r="D978" s="27"/>
      <c r="E978" s="26"/>
      <c r="F978" s="26"/>
      <c r="G978" s="26"/>
      <c r="H978" s="26"/>
      <c r="I978" s="25"/>
      <c r="J978" s="25"/>
      <c r="K978" s="25"/>
      <c r="L978" s="25"/>
      <c r="M978" s="25"/>
    </row>
    <row r="979" spans="1:13" ht="14.25" customHeight="1" x14ac:dyDescent="0.3">
      <c r="A979" s="25"/>
      <c r="B979" s="25"/>
      <c r="C979" s="26"/>
      <c r="D979" s="27"/>
      <c r="E979" s="26"/>
      <c r="F979" s="26"/>
      <c r="G979" s="26"/>
      <c r="H979" s="26"/>
      <c r="I979" s="25"/>
      <c r="J979" s="25"/>
      <c r="K979" s="25"/>
      <c r="L979" s="25"/>
      <c r="M979" s="25"/>
    </row>
    <row r="980" spans="1:13" ht="14.25" customHeight="1" x14ac:dyDescent="0.3">
      <c r="A980" s="25"/>
      <c r="B980" s="25"/>
      <c r="C980" s="26"/>
      <c r="D980" s="27"/>
      <c r="E980" s="26"/>
      <c r="F980" s="26"/>
      <c r="G980" s="26"/>
      <c r="H980" s="26"/>
      <c r="I980" s="25"/>
      <c r="J980" s="25"/>
      <c r="K980" s="25"/>
      <c r="L980" s="25"/>
      <c r="M980" s="25"/>
    </row>
    <row r="981" spans="1:13" ht="14.25" customHeight="1" x14ac:dyDescent="0.3">
      <c r="A981" s="25"/>
      <c r="B981" s="25"/>
      <c r="C981" s="26"/>
      <c r="D981" s="27"/>
      <c r="E981" s="26"/>
      <c r="F981" s="26"/>
      <c r="G981" s="26"/>
      <c r="H981" s="26"/>
      <c r="I981" s="25"/>
      <c r="J981" s="25"/>
      <c r="K981" s="25"/>
      <c r="L981" s="25"/>
      <c r="M981" s="25"/>
    </row>
    <row r="982" spans="1:13" ht="14.25" customHeight="1" x14ac:dyDescent="0.3">
      <c r="A982" s="25"/>
      <c r="B982" s="25"/>
      <c r="C982" s="26"/>
      <c r="D982" s="27"/>
      <c r="E982" s="26"/>
      <c r="F982" s="26"/>
      <c r="G982" s="26"/>
      <c r="H982" s="26"/>
      <c r="I982" s="25"/>
      <c r="J982" s="25"/>
      <c r="K982" s="25"/>
      <c r="L982" s="25"/>
      <c r="M982" s="25"/>
    </row>
    <row r="983" spans="1:13" ht="14.25" customHeight="1" x14ac:dyDescent="0.3">
      <c r="A983" s="25"/>
      <c r="B983" s="25"/>
      <c r="C983" s="26"/>
      <c r="D983" s="27"/>
      <c r="E983" s="26"/>
      <c r="F983" s="26"/>
      <c r="G983" s="26"/>
      <c r="H983" s="26"/>
      <c r="I983" s="25"/>
      <c r="J983" s="25"/>
      <c r="K983" s="25"/>
      <c r="L983" s="25"/>
      <c r="M983" s="25"/>
    </row>
    <row r="984" spans="1:13" ht="14.25" customHeight="1" x14ac:dyDescent="0.3">
      <c r="A984" s="25"/>
      <c r="B984" s="25"/>
      <c r="C984" s="26"/>
      <c r="D984" s="27"/>
      <c r="E984" s="26"/>
      <c r="F984" s="26"/>
      <c r="G984" s="26"/>
      <c r="H984" s="26"/>
      <c r="I984" s="25"/>
      <c r="J984" s="25"/>
      <c r="K984" s="25"/>
      <c r="L984" s="25"/>
      <c r="M984" s="25"/>
    </row>
    <row r="985" spans="1:13" ht="14.25" customHeight="1" x14ac:dyDescent="0.3">
      <c r="A985" s="25"/>
      <c r="B985" s="25"/>
      <c r="C985" s="26"/>
      <c r="D985" s="27"/>
      <c r="E985" s="26"/>
      <c r="F985" s="26"/>
      <c r="G985" s="26"/>
      <c r="H985" s="26"/>
      <c r="I985" s="25"/>
      <c r="J985" s="25"/>
      <c r="K985" s="25"/>
      <c r="L985" s="25"/>
      <c r="M985" s="25"/>
    </row>
    <row r="986" spans="1:13" ht="14.25" customHeight="1" x14ac:dyDescent="0.3">
      <c r="A986" s="25"/>
      <c r="B986" s="25"/>
      <c r="C986" s="26"/>
      <c r="D986" s="27"/>
      <c r="E986" s="26"/>
      <c r="F986" s="26"/>
      <c r="G986" s="26"/>
      <c r="H986" s="26"/>
      <c r="I986" s="25"/>
      <c r="J986" s="25"/>
      <c r="K986" s="25"/>
      <c r="L986" s="25"/>
      <c r="M986" s="25"/>
    </row>
    <row r="987" spans="1:13" ht="14.25" customHeight="1" x14ac:dyDescent="0.3">
      <c r="A987" s="25"/>
      <c r="B987" s="25"/>
      <c r="C987" s="26"/>
      <c r="D987" s="27"/>
      <c r="E987" s="26"/>
      <c r="F987" s="26"/>
      <c r="G987" s="26"/>
      <c r="H987" s="26"/>
      <c r="I987" s="25"/>
      <c r="J987" s="25"/>
      <c r="K987" s="25"/>
      <c r="L987" s="25"/>
      <c r="M987" s="25"/>
    </row>
    <row r="988" spans="1:13" ht="14.25" customHeight="1" x14ac:dyDescent="0.3">
      <c r="A988" s="25"/>
      <c r="B988" s="25"/>
      <c r="C988" s="26"/>
      <c r="D988" s="27"/>
      <c r="E988" s="26"/>
      <c r="F988" s="26"/>
      <c r="G988" s="26"/>
      <c r="H988" s="26"/>
      <c r="I988" s="25"/>
      <c r="J988" s="25"/>
      <c r="K988" s="25"/>
      <c r="L988" s="25"/>
      <c r="M988" s="25"/>
    </row>
    <row r="989" spans="1:13" ht="14.25" customHeight="1" x14ac:dyDescent="0.3">
      <c r="A989" s="25"/>
      <c r="B989" s="25"/>
      <c r="C989" s="26"/>
      <c r="D989" s="27"/>
      <c r="E989" s="26"/>
      <c r="F989" s="26"/>
      <c r="G989" s="26"/>
      <c r="H989" s="26"/>
      <c r="I989" s="25"/>
      <c r="J989" s="25"/>
      <c r="K989" s="25"/>
      <c r="L989" s="25"/>
      <c r="M989" s="25"/>
    </row>
    <row r="990" spans="1:13" ht="14.25" customHeight="1" x14ac:dyDescent="0.3">
      <c r="A990" s="25"/>
      <c r="B990" s="25"/>
      <c r="C990" s="26"/>
      <c r="D990" s="27"/>
      <c r="E990" s="26"/>
      <c r="F990" s="26"/>
      <c r="G990" s="26"/>
      <c r="H990" s="26"/>
      <c r="I990" s="25"/>
      <c r="J990" s="25"/>
      <c r="K990" s="25"/>
      <c r="L990" s="25"/>
      <c r="M990" s="25"/>
    </row>
    <row r="991" spans="1:13" ht="14.25" customHeight="1" x14ac:dyDescent="0.3">
      <c r="A991" s="25"/>
      <c r="B991" s="25"/>
      <c r="C991" s="26"/>
      <c r="D991" s="27"/>
      <c r="E991" s="26"/>
      <c r="F991" s="26"/>
      <c r="G991" s="26"/>
      <c r="H991" s="26"/>
      <c r="I991" s="25"/>
      <c r="J991" s="25"/>
      <c r="K991" s="25"/>
      <c r="L991" s="25"/>
      <c r="M991" s="25"/>
    </row>
    <row r="992" spans="1:13" ht="14.25" customHeight="1" x14ac:dyDescent="0.3">
      <c r="A992" s="25"/>
      <c r="B992" s="25"/>
      <c r="C992" s="26"/>
      <c r="D992" s="27"/>
      <c r="E992" s="26"/>
      <c r="F992" s="26"/>
      <c r="G992" s="26"/>
      <c r="H992" s="26"/>
      <c r="I992" s="25"/>
      <c r="J992" s="25"/>
      <c r="K992" s="25"/>
      <c r="L992" s="25"/>
      <c r="M992" s="25"/>
    </row>
    <row r="993" spans="1:13" ht="14.25" customHeight="1" x14ac:dyDescent="0.3">
      <c r="A993" s="25"/>
      <c r="B993" s="25"/>
      <c r="C993" s="26"/>
      <c r="D993" s="27"/>
      <c r="E993" s="26"/>
      <c r="F993" s="26"/>
      <c r="G993" s="26"/>
      <c r="H993" s="26"/>
      <c r="I993" s="25"/>
      <c r="J993" s="25"/>
      <c r="K993" s="25"/>
      <c r="L993" s="25"/>
      <c r="M993" s="25"/>
    </row>
    <row r="994" spans="1:13" ht="14.25" customHeight="1" x14ac:dyDescent="0.3">
      <c r="A994" s="25"/>
      <c r="B994" s="25"/>
      <c r="C994" s="26"/>
      <c r="D994" s="27"/>
      <c r="E994" s="26"/>
      <c r="F994" s="26"/>
      <c r="G994" s="26"/>
      <c r="H994" s="26"/>
      <c r="I994" s="25"/>
      <c r="J994" s="25"/>
      <c r="K994" s="25"/>
      <c r="L994" s="25"/>
      <c r="M994" s="25"/>
    </row>
    <row r="995" spans="1:13" ht="14.25" customHeight="1" x14ac:dyDescent="0.3">
      <c r="A995" s="25"/>
      <c r="B995" s="25"/>
      <c r="C995" s="26"/>
      <c r="D995" s="27"/>
      <c r="E995" s="26"/>
      <c r="F995" s="26"/>
      <c r="G995" s="26"/>
      <c r="H995" s="26"/>
      <c r="I995" s="25"/>
      <c r="J995" s="25"/>
      <c r="K995" s="25"/>
      <c r="L995" s="25"/>
      <c r="M995" s="25"/>
    </row>
    <row r="996" spans="1:13" ht="14.25" customHeight="1" x14ac:dyDescent="0.3">
      <c r="A996" s="25"/>
      <c r="B996" s="25"/>
      <c r="C996" s="26"/>
      <c r="D996" s="27"/>
      <c r="E996" s="26"/>
      <c r="F996" s="26"/>
      <c r="G996" s="26"/>
      <c r="H996" s="26"/>
      <c r="I996" s="25"/>
      <c r="J996" s="25"/>
      <c r="K996" s="25"/>
      <c r="L996" s="25"/>
      <c r="M996" s="25"/>
    </row>
    <row r="997" spans="1:13" ht="14.25" customHeight="1" x14ac:dyDescent="0.3">
      <c r="A997" s="25"/>
      <c r="B997" s="25"/>
      <c r="C997" s="26"/>
      <c r="D997" s="27"/>
      <c r="E997" s="26"/>
      <c r="F997" s="26"/>
      <c r="G997" s="26"/>
      <c r="H997" s="26"/>
      <c r="I997" s="25"/>
      <c r="J997" s="25"/>
      <c r="K997" s="25"/>
      <c r="L997" s="25"/>
      <c r="M997" s="25"/>
    </row>
    <row r="998" spans="1:13" ht="14.25" customHeight="1" x14ac:dyDescent="0.3">
      <c r="A998" s="25"/>
      <c r="B998" s="25"/>
      <c r="C998" s="26"/>
      <c r="D998" s="27"/>
      <c r="E998" s="26"/>
      <c r="F998" s="26"/>
      <c r="G998" s="26"/>
      <c r="H998" s="26"/>
      <c r="I998" s="25"/>
      <c r="J998" s="25"/>
      <c r="K998" s="25"/>
      <c r="L998" s="25"/>
      <c r="M998" s="25"/>
    </row>
    <row r="999" spans="1:13" ht="14.25" customHeight="1" x14ac:dyDescent="0.3">
      <c r="A999" s="25"/>
      <c r="B999" s="25"/>
      <c r="C999" s="26"/>
      <c r="D999" s="27"/>
      <c r="E999" s="26"/>
      <c r="F999" s="26"/>
      <c r="G999" s="26"/>
      <c r="H999" s="26"/>
      <c r="I999" s="25"/>
      <c r="J999" s="25"/>
      <c r="K999" s="25"/>
      <c r="L999" s="25"/>
      <c r="M999" s="25"/>
    </row>
    <row r="1000" spans="1:13" ht="14.25" customHeight="1" x14ac:dyDescent="0.3">
      <c r="A1000" s="25"/>
      <c r="B1000" s="25"/>
      <c r="C1000" s="26"/>
      <c r="D1000" s="27"/>
      <c r="E1000" s="26"/>
      <c r="F1000" s="26"/>
      <c r="G1000" s="26"/>
      <c r="H1000" s="26"/>
      <c r="I1000" s="25"/>
      <c r="J1000" s="25"/>
      <c r="K1000" s="25"/>
      <c r="L1000" s="25"/>
      <c r="M1000" s="25"/>
    </row>
    <row r="1001" spans="1:13" ht="14.25" customHeight="1" x14ac:dyDescent="0.3">
      <c r="A1001" s="25"/>
      <c r="B1001" s="25"/>
      <c r="C1001" s="26"/>
      <c r="D1001" s="27"/>
      <c r="E1001" s="26"/>
      <c r="F1001" s="26"/>
      <c r="G1001" s="26"/>
      <c r="H1001" s="26"/>
      <c r="I1001" s="25"/>
      <c r="J1001" s="25"/>
      <c r="K1001" s="25"/>
      <c r="L1001" s="25"/>
      <c r="M1001" s="25"/>
    </row>
    <row r="1002" spans="1:13" ht="14.25" customHeight="1" x14ac:dyDescent="0.3">
      <c r="A1002" s="25"/>
      <c r="B1002" s="25"/>
      <c r="C1002" s="26"/>
      <c r="D1002" s="27"/>
      <c r="E1002" s="26"/>
      <c r="F1002" s="26"/>
      <c r="G1002" s="26"/>
      <c r="H1002" s="26"/>
      <c r="I1002" s="25"/>
      <c r="J1002" s="25"/>
      <c r="K1002" s="25"/>
      <c r="L1002" s="25"/>
      <c r="M1002" s="25"/>
    </row>
    <row r="1003" spans="1:13" ht="14.25" customHeight="1" x14ac:dyDescent="0.3">
      <c r="A1003" s="25"/>
      <c r="B1003" s="25"/>
      <c r="C1003" s="26"/>
      <c r="D1003" s="27"/>
      <c r="E1003" s="26"/>
      <c r="F1003" s="26"/>
      <c r="G1003" s="26"/>
      <c r="H1003" s="26"/>
      <c r="I1003" s="25"/>
      <c r="J1003" s="25"/>
      <c r="K1003" s="25"/>
      <c r="L1003" s="25"/>
      <c r="M1003" s="25"/>
    </row>
    <row r="1004" spans="1:13" ht="14.25" customHeight="1" x14ac:dyDescent="0.3">
      <c r="A1004" s="25"/>
      <c r="B1004" s="25"/>
      <c r="C1004" s="26"/>
      <c r="D1004" s="27"/>
      <c r="E1004" s="26"/>
      <c r="F1004" s="26"/>
      <c r="G1004" s="26"/>
      <c r="H1004" s="26"/>
      <c r="I1004" s="25"/>
      <c r="J1004" s="25"/>
      <c r="K1004" s="25"/>
      <c r="L1004" s="25"/>
      <c r="M1004" s="25"/>
    </row>
    <row r="1005" spans="1:13" ht="14.25" customHeight="1" x14ac:dyDescent="0.3">
      <c r="A1005" s="25"/>
      <c r="B1005" s="25"/>
      <c r="C1005" s="26"/>
      <c r="D1005" s="27"/>
      <c r="E1005" s="26"/>
      <c r="F1005" s="26"/>
      <c r="G1005" s="26"/>
      <c r="H1005" s="26"/>
      <c r="I1005" s="25"/>
      <c r="J1005" s="25"/>
      <c r="K1005" s="25"/>
      <c r="L1005" s="25"/>
      <c r="M1005" s="25"/>
    </row>
    <row r="1006" spans="1:13" ht="14.25" customHeight="1" x14ac:dyDescent="0.3">
      <c r="A1006" s="25"/>
      <c r="B1006" s="25"/>
      <c r="C1006" s="26"/>
      <c r="D1006" s="27"/>
      <c r="E1006" s="26"/>
      <c r="F1006" s="26"/>
      <c r="G1006" s="26"/>
      <c r="H1006" s="26"/>
      <c r="I1006" s="25"/>
      <c r="J1006" s="25"/>
      <c r="K1006" s="25"/>
      <c r="L1006" s="25"/>
      <c r="M1006" s="25"/>
    </row>
    <row r="1007" spans="1:13" ht="14.25" customHeight="1" x14ac:dyDescent="0.3">
      <c r="A1007" s="25"/>
      <c r="B1007" s="25"/>
      <c r="C1007" s="26"/>
      <c r="D1007" s="27"/>
      <c r="E1007" s="26"/>
      <c r="F1007" s="26"/>
      <c r="G1007" s="26"/>
      <c r="H1007" s="26"/>
      <c r="I1007" s="25"/>
      <c r="J1007" s="25"/>
      <c r="K1007" s="25"/>
      <c r="L1007" s="25"/>
      <c r="M1007" s="25"/>
    </row>
    <row r="1008" spans="1:13" ht="14.25" customHeight="1" x14ac:dyDescent="0.3">
      <c r="A1008" s="25"/>
      <c r="B1008" s="25"/>
      <c r="C1008" s="26"/>
      <c r="D1008" s="27"/>
      <c r="E1008" s="26"/>
      <c r="F1008" s="26"/>
      <c r="G1008" s="26"/>
      <c r="H1008" s="26"/>
      <c r="I1008" s="25"/>
      <c r="J1008" s="25"/>
      <c r="K1008" s="25"/>
      <c r="L1008" s="25"/>
      <c r="M1008" s="25"/>
    </row>
    <row r="1009" spans="1:13" ht="14.25" customHeight="1" x14ac:dyDescent="0.3">
      <c r="A1009" s="25"/>
      <c r="B1009" s="25"/>
      <c r="C1009" s="26"/>
      <c r="D1009" s="27"/>
      <c r="E1009" s="26"/>
      <c r="F1009" s="26"/>
      <c r="G1009" s="26"/>
      <c r="H1009" s="26"/>
      <c r="I1009" s="25"/>
      <c r="J1009" s="25"/>
      <c r="K1009" s="25"/>
      <c r="L1009" s="25"/>
      <c r="M1009" s="25"/>
    </row>
    <row r="1010" spans="1:13" ht="14.25" customHeight="1" x14ac:dyDescent="0.3">
      <c r="A1010" s="25"/>
      <c r="B1010" s="25"/>
      <c r="C1010" s="26"/>
      <c r="D1010" s="27"/>
      <c r="E1010" s="26"/>
      <c r="F1010" s="26"/>
      <c r="G1010" s="26"/>
      <c r="H1010" s="26"/>
      <c r="I1010" s="25"/>
      <c r="J1010" s="25"/>
      <c r="K1010" s="25"/>
      <c r="L1010" s="25"/>
      <c r="M1010" s="25"/>
    </row>
    <row r="1011" spans="1:13" ht="14.25" customHeight="1" x14ac:dyDescent="0.3">
      <c r="A1011" s="25"/>
      <c r="B1011" s="25"/>
      <c r="C1011" s="26"/>
      <c r="D1011" s="27"/>
      <c r="E1011" s="26"/>
      <c r="F1011" s="26"/>
      <c r="G1011" s="26"/>
      <c r="H1011" s="26"/>
      <c r="I1011" s="25"/>
      <c r="J1011" s="25"/>
      <c r="K1011" s="25"/>
      <c r="L1011" s="25"/>
      <c r="M1011" s="25"/>
    </row>
    <row r="1012" spans="1:13" ht="14.25" customHeight="1" x14ac:dyDescent="0.3">
      <c r="A1012" s="25"/>
      <c r="B1012" s="25"/>
      <c r="C1012" s="26"/>
      <c r="D1012" s="27"/>
      <c r="E1012" s="26"/>
      <c r="F1012" s="26"/>
      <c r="G1012" s="26"/>
      <c r="H1012" s="26"/>
      <c r="I1012" s="25"/>
      <c r="J1012" s="25"/>
      <c r="K1012" s="25"/>
      <c r="L1012" s="25"/>
      <c r="M1012" s="25"/>
    </row>
    <row r="1013" spans="1:13" ht="14.25" customHeight="1" x14ac:dyDescent="0.3">
      <c r="A1013" s="25"/>
      <c r="B1013" s="25"/>
      <c r="C1013" s="26"/>
      <c r="D1013" s="27"/>
      <c r="E1013" s="26"/>
      <c r="F1013" s="26"/>
      <c r="G1013" s="26"/>
      <c r="H1013" s="26"/>
      <c r="I1013" s="25"/>
      <c r="J1013" s="25"/>
      <c r="K1013" s="25"/>
      <c r="L1013" s="25"/>
      <c r="M1013" s="25"/>
    </row>
    <row r="1014" spans="1:13" ht="14.25" customHeight="1" x14ac:dyDescent="0.3">
      <c r="A1014" s="25"/>
      <c r="B1014" s="25"/>
      <c r="C1014" s="26"/>
      <c r="D1014" s="27"/>
      <c r="E1014" s="26"/>
      <c r="F1014" s="26"/>
      <c r="G1014" s="26"/>
      <c r="H1014" s="26"/>
      <c r="I1014" s="25"/>
      <c r="J1014" s="25"/>
      <c r="K1014" s="25"/>
      <c r="L1014" s="25"/>
      <c r="M1014" s="25"/>
    </row>
    <row r="1015" spans="1:13" ht="14.25" customHeight="1" x14ac:dyDescent="0.3">
      <c r="A1015" s="25"/>
      <c r="B1015" s="25"/>
      <c r="C1015" s="26"/>
      <c r="D1015" s="27"/>
      <c r="E1015" s="26"/>
      <c r="F1015" s="26"/>
      <c r="G1015" s="26"/>
      <c r="H1015" s="26"/>
      <c r="I1015" s="25"/>
      <c r="J1015" s="25"/>
      <c r="K1015" s="25"/>
      <c r="L1015" s="25"/>
      <c r="M1015" s="25"/>
    </row>
    <row r="1016" spans="1:13" ht="14.25" customHeight="1" x14ac:dyDescent="0.3">
      <c r="A1016" s="25"/>
      <c r="B1016" s="25"/>
      <c r="C1016" s="26"/>
      <c r="D1016" s="27"/>
      <c r="E1016" s="26"/>
      <c r="F1016" s="26"/>
      <c r="G1016" s="26"/>
      <c r="H1016" s="26"/>
      <c r="I1016" s="25"/>
      <c r="J1016" s="25"/>
      <c r="K1016" s="25"/>
      <c r="L1016" s="25"/>
      <c r="M1016" s="25"/>
    </row>
    <row r="1017" spans="1:13" ht="14.25" customHeight="1" x14ac:dyDescent="0.3">
      <c r="A1017" s="25"/>
      <c r="B1017" s="25"/>
      <c r="C1017" s="26"/>
      <c r="D1017" s="27"/>
      <c r="E1017" s="26"/>
      <c r="F1017" s="26"/>
      <c r="G1017" s="26"/>
      <c r="H1017" s="26"/>
      <c r="I1017" s="25"/>
      <c r="J1017" s="25"/>
      <c r="K1017" s="25"/>
      <c r="L1017" s="25"/>
      <c r="M1017" s="25"/>
    </row>
    <row r="1018" spans="1:13" ht="14.25" customHeight="1" x14ac:dyDescent="0.3">
      <c r="A1018" s="25"/>
      <c r="B1018" s="25"/>
      <c r="C1018" s="26"/>
      <c r="D1018" s="27"/>
      <c r="E1018" s="26"/>
      <c r="F1018" s="26"/>
      <c r="G1018" s="26"/>
      <c r="H1018" s="26"/>
      <c r="I1018" s="25"/>
      <c r="J1018" s="25"/>
      <c r="K1018" s="25"/>
      <c r="L1018" s="25"/>
      <c r="M1018" s="25"/>
    </row>
    <row r="1019" spans="1:13" ht="14.25" customHeight="1" x14ac:dyDescent="0.3">
      <c r="A1019" s="25"/>
      <c r="B1019" s="25"/>
      <c r="C1019" s="26"/>
      <c r="D1019" s="27"/>
      <c r="E1019" s="26"/>
      <c r="F1019" s="26"/>
      <c r="G1019" s="26"/>
      <c r="H1019" s="26"/>
      <c r="I1019" s="25"/>
      <c r="J1019" s="25"/>
      <c r="K1019" s="25"/>
      <c r="L1019" s="25"/>
      <c r="M1019" s="25"/>
    </row>
  </sheetData>
  <conditionalFormatting sqref="K5:K1019">
    <cfRule type="cellIs" dxfId="13" priority="1" operator="between">
      <formula>3</formula>
      <formula>4</formula>
    </cfRule>
  </conditionalFormatting>
  <conditionalFormatting sqref="K5:K1019">
    <cfRule type="cellIs" dxfId="12" priority="2" operator="lessThanOrEqual">
      <formula>2</formula>
    </cfRule>
  </conditionalFormatting>
  <conditionalFormatting sqref="K5:K1019">
    <cfRule type="cellIs" dxfId="11" priority="3" operator="greaterThan">
      <formula>4</formula>
    </cfRule>
  </conditionalFormatting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CAF50"/>
  </sheetPr>
  <dimension ref="A1:X1002"/>
  <sheetViews>
    <sheetView workbookViewId="0"/>
  </sheetViews>
  <sheetFormatPr baseColWidth="10" defaultColWidth="14.44140625" defaultRowHeight="15" customHeight="1" x14ac:dyDescent="0.3"/>
  <cols>
    <col min="1" max="1" width="11.33203125" customWidth="1"/>
    <col min="2" max="2" width="16.33203125" customWidth="1"/>
    <col min="3" max="3" width="40.5546875" customWidth="1"/>
    <col min="4" max="4" width="9.33203125" customWidth="1"/>
    <col min="5" max="5" width="16" customWidth="1"/>
    <col min="6" max="6" width="16.33203125" customWidth="1"/>
    <col min="7" max="7" width="21.44140625" customWidth="1"/>
    <col min="8" max="8" width="21.6640625" customWidth="1"/>
    <col min="9" max="10" width="8.6640625" customWidth="1"/>
    <col min="11" max="11" width="18.5546875" customWidth="1"/>
    <col min="12" max="12" width="12.33203125" customWidth="1"/>
    <col min="13" max="13" width="16.109375" customWidth="1"/>
    <col min="14" max="14" width="14.88671875" customWidth="1"/>
    <col min="15" max="15" width="51.6640625" customWidth="1"/>
    <col min="16" max="16" width="9.88671875" customWidth="1"/>
    <col min="17" max="17" width="8.6640625" customWidth="1"/>
    <col min="18" max="18" width="9.88671875" customWidth="1"/>
    <col min="19" max="24" width="8.6640625" customWidth="1"/>
  </cols>
  <sheetData>
    <row r="1" spans="1:24" ht="14.25" customHeight="1" x14ac:dyDescent="0.3">
      <c r="A1" s="41" t="s">
        <v>422</v>
      </c>
      <c r="B1" s="41" t="s">
        <v>184</v>
      </c>
      <c r="C1" s="41" t="s">
        <v>185</v>
      </c>
      <c r="D1" s="41" t="s">
        <v>190</v>
      </c>
      <c r="E1" s="41" t="s">
        <v>191</v>
      </c>
      <c r="F1" s="41" t="s">
        <v>423</v>
      </c>
      <c r="G1" s="41" t="s">
        <v>424</v>
      </c>
      <c r="H1" s="41" t="s">
        <v>196</v>
      </c>
      <c r="I1" s="42"/>
      <c r="J1" s="42"/>
      <c r="K1" s="42"/>
      <c r="L1" s="43" t="s">
        <v>425</v>
      </c>
      <c r="M1" s="42"/>
      <c r="N1" s="44"/>
      <c r="O1" s="45" t="s">
        <v>426</v>
      </c>
      <c r="P1" s="42"/>
      <c r="Q1" s="42"/>
      <c r="R1" s="42"/>
      <c r="S1" s="42"/>
      <c r="T1" s="42"/>
      <c r="U1" s="42"/>
      <c r="V1" s="42"/>
      <c r="W1" s="42"/>
      <c r="X1" s="42"/>
    </row>
    <row r="2" spans="1:24" ht="14.25" customHeight="1" x14ac:dyDescent="0.3">
      <c r="A2" s="46">
        <v>46067</v>
      </c>
      <c r="B2" s="47" t="str">
        <f>Inventario!A82</f>
        <v>CHA-VERNEG-M</v>
      </c>
      <c r="C2" s="6" t="str">
        <f>IFERROR(VLOOKUP(B2,Inventario!A:G,2,FALSE()),"")</f>
        <v>Chaqueta Cortavientos M Verde Botella/Negro</v>
      </c>
      <c r="D2" s="17">
        <f>IFERROR(VLOOKUP(B2,Inventario!A:G,7,FALSE()),"")</f>
        <v>40000</v>
      </c>
      <c r="E2" s="17">
        <v>120000</v>
      </c>
      <c r="F2" s="6" t="s">
        <v>427</v>
      </c>
      <c r="G2" s="47" t="s">
        <v>428</v>
      </c>
      <c r="H2" s="9" t="s">
        <v>429</v>
      </c>
      <c r="K2" s="6" t="s">
        <v>430</v>
      </c>
      <c r="L2" s="16">
        <f t="shared" ref="L2:L5" si="0">SUMIF($F$2:$F$1002,K2,$E$2:$E$1002)</f>
        <v>4766000</v>
      </c>
      <c r="M2" s="16"/>
      <c r="N2" s="16"/>
      <c r="O2" s="48">
        <v>1000000</v>
      </c>
    </row>
    <row r="3" spans="1:24" ht="14.25" customHeight="1" x14ac:dyDescent="0.3">
      <c r="A3" s="46">
        <v>46067</v>
      </c>
      <c r="B3" s="47" t="str">
        <f>Inventario!A44</f>
        <v>HOOD-ACID-L</v>
      </c>
      <c r="C3" s="6" t="str">
        <f>IFERROR(VLOOKUP(B3,Inventario!A:G,2,FALSE()),"")</f>
        <v>Hoodie L Acid Wash Gris</v>
      </c>
      <c r="D3" s="17">
        <f>IFERROR(VLOOKUP(B3,Inventario!A:G,7,FALSE()),"")</f>
        <v>120000</v>
      </c>
      <c r="E3" s="17">
        <f>IFERROR(VLOOKUP(B3,Inventario!A:H,8,FALSE()),"")</f>
        <v>190000</v>
      </c>
      <c r="F3" s="6" t="s">
        <v>430</v>
      </c>
      <c r="G3" s="47" t="s">
        <v>431</v>
      </c>
      <c r="H3" s="47"/>
      <c r="K3" s="6" t="s">
        <v>427</v>
      </c>
      <c r="L3" s="16">
        <f t="shared" si="0"/>
        <v>5841000</v>
      </c>
      <c r="M3" s="16"/>
      <c r="N3" s="16"/>
      <c r="O3" s="48">
        <v>580000</v>
      </c>
    </row>
    <row r="4" spans="1:24" ht="14.25" customHeight="1" x14ac:dyDescent="0.3">
      <c r="A4" s="46">
        <v>46072</v>
      </c>
      <c r="B4" s="47" t="s">
        <v>360</v>
      </c>
      <c r="C4" s="6" t="str">
        <f>IFERROR(VLOOKUP(B4,Inventario!A:G,2,FALSE()),"")</f>
        <v>Chaqueta Cortavientos L Gris Claro</v>
      </c>
      <c r="D4" s="17">
        <f>IFERROR(VLOOKUP(B4,Inventario!A:G,7,FALSE()),"")</f>
        <v>40000</v>
      </c>
      <c r="E4" s="17">
        <f>IFERROR(VLOOKUP(B4,Inventario!A:H,8,FALSE()),"")</f>
        <v>110000</v>
      </c>
      <c r="F4" s="6" t="s">
        <v>427</v>
      </c>
      <c r="G4" s="9" t="s">
        <v>432</v>
      </c>
      <c r="H4" s="47" t="s">
        <v>429</v>
      </c>
      <c r="K4" s="6" t="s">
        <v>433</v>
      </c>
      <c r="L4" s="16">
        <f t="shared" si="0"/>
        <v>671000</v>
      </c>
      <c r="M4" s="16"/>
      <c r="N4" s="16"/>
      <c r="O4" s="48">
        <v>250000</v>
      </c>
    </row>
    <row r="5" spans="1:24" ht="14.25" customHeight="1" x14ac:dyDescent="0.3">
      <c r="A5" s="46">
        <v>46073</v>
      </c>
      <c r="B5" s="47" t="s">
        <v>269</v>
      </c>
      <c r="C5" s="6" t="str">
        <f>IFERROR(VLOOKUP(B5,Inventario!A:G,2,FALSE()),"")</f>
        <v>Camisa Boxy fit L Negro</v>
      </c>
      <c r="D5" s="17">
        <f>IFERROR(VLOOKUP(B5,Inventario!A:G,7,FALSE()),"")</f>
        <v>37000</v>
      </c>
      <c r="E5" s="17">
        <f>IFERROR(VLOOKUP(B5,Inventario!A:H,8,FALSE()),"")</f>
        <v>75000</v>
      </c>
      <c r="F5" s="6" t="s">
        <v>430</v>
      </c>
      <c r="K5" s="47" t="s">
        <v>434</v>
      </c>
      <c r="L5" s="16">
        <f t="shared" si="0"/>
        <v>0</v>
      </c>
      <c r="M5" s="16"/>
      <c r="N5" s="16"/>
      <c r="O5" s="48">
        <v>200000</v>
      </c>
    </row>
    <row r="6" spans="1:24" ht="14.25" customHeight="1" x14ac:dyDescent="0.3">
      <c r="A6" s="46">
        <v>46073</v>
      </c>
      <c r="B6" s="47" t="s">
        <v>275</v>
      </c>
      <c r="C6" s="6" t="str">
        <f>IFERROR(VLOOKUP(B6,Inventario!A:G,2,FALSE()),"")</f>
        <v>Camisa Boxy fit L Blanco</v>
      </c>
      <c r="D6" s="17">
        <f>IFERROR(VLOOKUP(B6,Inventario!A:G,7,FALSE()),"")</f>
        <v>37000</v>
      </c>
      <c r="E6" s="17">
        <f>IFERROR(VLOOKUP(B6,Inventario!A:H,8,FALSE()),"")</f>
        <v>75000</v>
      </c>
      <c r="F6" s="6" t="s">
        <v>430</v>
      </c>
      <c r="K6" s="9" t="s">
        <v>435</v>
      </c>
      <c r="L6" s="16">
        <v>10000</v>
      </c>
      <c r="M6" s="16" t="s">
        <v>436</v>
      </c>
      <c r="N6" s="16"/>
      <c r="O6" s="48">
        <v>100000</v>
      </c>
    </row>
    <row r="7" spans="1:24" ht="14.25" customHeight="1" x14ac:dyDescent="0.3">
      <c r="A7" s="46">
        <v>46077</v>
      </c>
      <c r="B7" s="38" t="s">
        <v>420</v>
      </c>
      <c r="C7" s="6" t="str">
        <f>IFERROR(VLOOKUP(B7,Inventario!A:G,2,FALSE()),"")</f>
        <v>Camisa Réplica 1.1</v>
      </c>
      <c r="D7" s="17">
        <f>IFERROR(VLOOKUP(B7,Inventario!A:G,7,FALSE()),"")</f>
        <v>54000</v>
      </c>
      <c r="E7" s="17">
        <v>70000</v>
      </c>
      <c r="F7" s="6" t="s">
        <v>430</v>
      </c>
      <c r="G7" s="9" t="s">
        <v>437</v>
      </c>
      <c r="O7" s="48">
        <f>-202500*2</f>
        <v>-405000</v>
      </c>
    </row>
    <row r="8" spans="1:24" ht="14.25" customHeight="1" x14ac:dyDescent="0.3">
      <c r="A8" s="46">
        <v>46077</v>
      </c>
      <c r="B8" s="38" t="s">
        <v>420</v>
      </c>
      <c r="C8" s="6" t="str">
        <f>IFERROR(VLOOKUP(B8,Inventario!A:G,2,FALSE()),"")</f>
        <v>Camisa Réplica 1.1</v>
      </c>
      <c r="D8" s="17">
        <f>IFERROR(VLOOKUP(B8,Inventario!A:G,7,FALSE()),"")</f>
        <v>54000</v>
      </c>
      <c r="E8" s="17">
        <v>70000</v>
      </c>
      <c r="F8" s="6" t="s">
        <v>430</v>
      </c>
      <c r="G8" s="9" t="s">
        <v>437</v>
      </c>
      <c r="K8" s="49" t="s">
        <v>438</v>
      </c>
      <c r="L8" s="16"/>
      <c r="M8" s="16"/>
      <c r="N8" s="16"/>
      <c r="O8" s="48">
        <v>100000</v>
      </c>
      <c r="P8" s="50">
        <v>46100</v>
      </c>
    </row>
    <row r="9" spans="1:24" ht="14.25" customHeight="1" x14ac:dyDescent="0.3">
      <c r="A9" s="46">
        <v>46079</v>
      </c>
      <c r="B9" s="38" t="s">
        <v>420</v>
      </c>
      <c r="C9" s="6" t="str">
        <f>IFERROR(VLOOKUP(B9,Inventario!A:G,2,FALSE()),"")</f>
        <v>Camisa Réplica 1.1</v>
      </c>
      <c r="D9" s="17">
        <f>IFERROR(VLOOKUP(B9,Inventario!A:G,7,FALSE()),"")</f>
        <v>54000</v>
      </c>
      <c r="E9" s="17">
        <v>70000</v>
      </c>
      <c r="F9" s="6" t="s">
        <v>430</v>
      </c>
      <c r="K9" s="6" t="s">
        <v>439</v>
      </c>
      <c r="L9" s="51">
        <f>COUNTA(B2:B502)</f>
        <v>109</v>
      </c>
      <c r="M9" s="16"/>
      <c r="N9" s="16"/>
      <c r="O9" s="48">
        <v>500000</v>
      </c>
      <c r="P9" s="50">
        <v>46101</v>
      </c>
    </row>
    <row r="10" spans="1:24" ht="14.25" customHeight="1" x14ac:dyDescent="0.3">
      <c r="A10" s="46">
        <v>46080</v>
      </c>
      <c r="B10" s="38" t="s">
        <v>215</v>
      </c>
      <c r="C10" s="6" t="str">
        <f>IFERROR(VLOOKUP(B10,Inventario!A:G,2,FALSE()),"")</f>
        <v>Camisa Oversize Peruana L Blanco</v>
      </c>
      <c r="D10" s="17">
        <f>IFERROR(VLOOKUP(B10,Inventario!A:G,7,FALSE()),"")</f>
        <v>37000</v>
      </c>
      <c r="E10" s="17">
        <f>IFERROR(VLOOKUP(B10,Inventario!A:H,8,FALSE()),"")</f>
        <v>75000</v>
      </c>
      <c r="F10" s="6" t="s">
        <v>430</v>
      </c>
      <c r="K10" s="6" t="s">
        <v>440</v>
      </c>
      <c r="L10" s="51">
        <f>SUM(E2:E502)</f>
        <v>11278000</v>
      </c>
      <c r="M10" s="16"/>
      <c r="N10" s="16"/>
      <c r="O10" s="48">
        <v>300000</v>
      </c>
      <c r="P10" s="50">
        <v>46107</v>
      </c>
    </row>
    <row r="11" spans="1:24" ht="14.25" customHeight="1" x14ac:dyDescent="0.3">
      <c r="A11" s="46">
        <v>46094</v>
      </c>
      <c r="B11" s="38" t="s">
        <v>283</v>
      </c>
      <c r="C11" s="6" t="str">
        <f>IFERROR(VLOOKUP(B11,Inventario!A:G,2,FALSE()),"")</f>
        <v>Hoodie L Acid Wash Gris</v>
      </c>
      <c r="D11" s="17">
        <f>IFERROR(VLOOKUP(B11,Inventario!A:G,7,FALSE()),"")</f>
        <v>120000</v>
      </c>
      <c r="E11" s="17">
        <f>IFERROR(VLOOKUP(B11,Inventario!A:H,8,FALSE()),"")</f>
        <v>190000</v>
      </c>
      <c r="F11" s="6" t="s">
        <v>427</v>
      </c>
      <c r="G11" s="9" t="s">
        <v>441</v>
      </c>
      <c r="H11" s="9" t="s">
        <v>429</v>
      </c>
      <c r="K11" s="6" t="s">
        <v>442</v>
      </c>
      <c r="L11" s="51">
        <f>SUM(D2:D502)</f>
        <v>5809000</v>
      </c>
      <c r="M11" s="16"/>
      <c r="N11" s="16"/>
      <c r="O11" s="48">
        <v>110000</v>
      </c>
      <c r="P11" s="50">
        <v>46118</v>
      </c>
    </row>
    <row r="12" spans="1:24" ht="14.25" customHeight="1" x14ac:dyDescent="0.3">
      <c r="A12" s="46">
        <v>46081</v>
      </c>
      <c r="B12" s="38" t="s">
        <v>385</v>
      </c>
      <c r="C12" s="6" t="str">
        <f>IFERROR(VLOOKUP(B12,Inventario!A:G,2,FALSE()),"")</f>
        <v>Sudadera Bota Recta L Negro</v>
      </c>
      <c r="D12" s="17">
        <f>IFERROR(VLOOKUP(B12,Inventario!A:G,7,FALSE()),"")</f>
        <v>55000</v>
      </c>
      <c r="E12" s="17">
        <v>100000</v>
      </c>
      <c r="F12" s="6" t="s">
        <v>430</v>
      </c>
      <c r="G12" s="9" t="s">
        <v>441</v>
      </c>
      <c r="K12" s="6" t="s">
        <v>443</v>
      </c>
      <c r="L12" s="51">
        <f>L10-L11</f>
        <v>5469000</v>
      </c>
      <c r="M12" s="16"/>
      <c r="N12" s="16"/>
      <c r="O12" s="48">
        <v>10000</v>
      </c>
      <c r="P12" s="52">
        <v>46128</v>
      </c>
    </row>
    <row r="13" spans="1:24" ht="14.25" customHeight="1" x14ac:dyDescent="0.3">
      <c r="A13" s="46">
        <v>46083</v>
      </c>
      <c r="B13" s="38" t="s">
        <v>202</v>
      </c>
      <c r="C13" s="6" t="str">
        <f>IFERROR(VLOOKUP(B13,Inventario!A:G,2,FALSE()),"")</f>
        <v>Camisa Oversize Peruana M Negro</v>
      </c>
      <c r="D13" s="17">
        <f>IFERROR(VLOOKUP(B13,Inventario!A:G,7,FALSE()),"")</f>
        <v>37000</v>
      </c>
      <c r="E13" s="17">
        <f>IFERROR(VLOOKUP(B13,Inventario!A:H,8,FALSE()),"")</f>
        <v>75000</v>
      </c>
      <c r="F13" s="6" t="s">
        <v>430</v>
      </c>
      <c r="G13" s="9" t="s">
        <v>444</v>
      </c>
      <c r="L13" s="16"/>
      <c r="M13" s="16"/>
      <c r="N13" s="16"/>
      <c r="O13" s="48">
        <v>500000</v>
      </c>
      <c r="P13" s="50">
        <v>46130</v>
      </c>
    </row>
    <row r="14" spans="1:24" ht="14.25" customHeight="1" x14ac:dyDescent="0.3">
      <c r="A14" s="46">
        <v>46083</v>
      </c>
      <c r="B14" s="38" t="s">
        <v>213</v>
      </c>
      <c r="C14" s="6" t="str">
        <f>IFERROR(VLOOKUP(B14,Inventario!A:G,2,FALSE()),"")</f>
        <v>Camisa Oversize Peruana M Blanco</v>
      </c>
      <c r="D14" s="17">
        <f>IFERROR(VLOOKUP(B14,Inventario!A:G,7,FALSE()),"")</f>
        <v>37000</v>
      </c>
      <c r="E14" s="17">
        <f>IFERROR(VLOOKUP(B14,Inventario!A:H,8,FALSE()),"")</f>
        <v>75000</v>
      </c>
      <c r="F14" s="6" t="s">
        <v>430</v>
      </c>
      <c r="G14" s="9" t="s">
        <v>444</v>
      </c>
      <c r="K14" s="45"/>
      <c r="L14" s="16"/>
      <c r="M14" s="16"/>
      <c r="N14" s="16"/>
      <c r="O14" s="48">
        <v>300000</v>
      </c>
      <c r="P14" s="50">
        <v>46140</v>
      </c>
    </row>
    <row r="15" spans="1:24" ht="14.25" customHeight="1" x14ac:dyDescent="0.3">
      <c r="A15" s="46">
        <v>46083</v>
      </c>
      <c r="B15" s="38" t="s">
        <v>221</v>
      </c>
      <c r="C15" s="6" t="str">
        <f>IFERROR(VLOOKUP(B15,Inventario!A:G,2,FALSE()),"")</f>
        <v>Camisa Oversize Peruana M Perla</v>
      </c>
      <c r="D15" s="17">
        <f>IFERROR(VLOOKUP(B15,Inventario!A:G,7,FALSE()),"")</f>
        <v>37000</v>
      </c>
      <c r="E15" s="17">
        <v>80000</v>
      </c>
      <c r="F15" s="6" t="s">
        <v>430</v>
      </c>
      <c r="G15" s="9" t="s">
        <v>444</v>
      </c>
      <c r="K15" s="2" t="s">
        <v>445</v>
      </c>
      <c r="L15" s="53" t="s">
        <v>446</v>
      </c>
      <c r="M15" s="54" t="s">
        <v>447</v>
      </c>
      <c r="N15" s="54" t="s">
        <v>448</v>
      </c>
      <c r="R15" s="50"/>
    </row>
    <row r="16" spans="1:24" ht="14.25" customHeight="1" x14ac:dyDescent="0.3">
      <c r="A16" s="46">
        <v>46084</v>
      </c>
      <c r="B16" s="38" t="s">
        <v>351</v>
      </c>
      <c r="C16" s="6" t="str">
        <f>IFERROR(VLOOKUP(B16,Inventario!A:G,2,FALSE()),"")</f>
        <v>Chaqueta Cortavientos M Negro</v>
      </c>
      <c r="D16" s="17">
        <f>IFERROR(VLOOKUP(B16,Inventario!A:G,7,FALSE()),"")</f>
        <v>40000</v>
      </c>
      <c r="E16" s="17">
        <v>80000</v>
      </c>
      <c r="F16" s="6" t="s">
        <v>430</v>
      </c>
      <c r="K16" s="9" t="s">
        <v>449</v>
      </c>
      <c r="L16" s="48">
        <f>L3+O18+L4</f>
        <v>10057000</v>
      </c>
      <c r="M16" s="48">
        <f>2734000+588000-26250</f>
        <v>3295750</v>
      </c>
      <c r="N16" s="48"/>
      <c r="O16" s="48"/>
    </row>
    <row r="17" spans="1:15" ht="14.25" customHeight="1" x14ac:dyDescent="0.3">
      <c r="A17" s="46">
        <v>46085</v>
      </c>
      <c r="B17" s="38" t="s">
        <v>420</v>
      </c>
      <c r="C17" s="6" t="str">
        <f>IFERROR(VLOOKUP(B17,Inventario!A:G,2,FALSE()),"")</f>
        <v>Camisa Réplica 1.1</v>
      </c>
      <c r="D17" s="17">
        <f>IFERROR(VLOOKUP(B17,Inventario!A:G,7,FALSE()),"")</f>
        <v>54000</v>
      </c>
      <c r="E17" s="17">
        <f>IFERROR(VLOOKUP(B17,Inventario!A:H,8,FALSE()),"")</f>
        <v>75000</v>
      </c>
      <c r="F17" s="6" t="s">
        <v>427</v>
      </c>
      <c r="H17" s="9" t="s">
        <v>429</v>
      </c>
      <c r="K17" s="9" t="s">
        <v>450</v>
      </c>
      <c r="L17" s="48">
        <f>L5</f>
        <v>0</v>
      </c>
      <c r="M17" s="48">
        <f>L17</f>
        <v>0</v>
      </c>
      <c r="N17" s="48"/>
      <c r="O17" s="48"/>
    </row>
    <row r="18" spans="1:15" ht="14.25" customHeight="1" x14ac:dyDescent="0.3">
      <c r="A18" s="46">
        <v>46085</v>
      </c>
      <c r="B18" s="38" t="s">
        <v>356</v>
      </c>
      <c r="C18" s="6" t="str">
        <f>IFERROR(VLOOKUP(B18,Inventario!A:G,2,FALSE()),"")</f>
        <v>Chaqueta Cortavientos XL Negro</v>
      </c>
      <c r="D18" s="17">
        <f>IFERROR(VLOOKUP(B18,Inventario!A:G,7,FALSE()),"")</f>
        <v>40000</v>
      </c>
      <c r="E18" s="17">
        <v>100000</v>
      </c>
      <c r="F18" s="6" t="s">
        <v>427</v>
      </c>
      <c r="H18" s="9" t="s">
        <v>429</v>
      </c>
      <c r="K18" s="9" t="s">
        <v>430</v>
      </c>
      <c r="L18" s="48">
        <f>L10-L16-L17-L19</f>
        <v>-7499295</v>
      </c>
      <c r="M18" s="48">
        <v>229000</v>
      </c>
      <c r="N18" s="48"/>
      <c r="O18" s="48">
        <f>SUM(O2:O17)</f>
        <v>3545000</v>
      </c>
    </row>
    <row r="19" spans="1:15" ht="14.25" customHeight="1" x14ac:dyDescent="0.3">
      <c r="A19" s="46">
        <v>46085</v>
      </c>
      <c r="B19" s="38" t="s">
        <v>215</v>
      </c>
      <c r="C19" s="6" t="str">
        <f>IFERROR(VLOOKUP(B19,Inventario!A:G,2,FALSE()),"")</f>
        <v>Camisa Oversize Peruana L Blanco</v>
      </c>
      <c r="D19" s="17">
        <f>IFERROR(VLOOKUP(B19,Inventario!A:G,7,FALSE()),"")</f>
        <v>37000</v>
      </c>
      <c r="E19" s="17">
        <f>IFERROR(VLOOKUP(B19,Inventario!A:H,8,FALSE()),"")</f>
        <v>75000</v>
      </c>
      <c r="F19" s="6" t="s">
        <v>430</v>
      </c>
      <c r="K19" s="9" t="s">
        <v>451</v>
      </c>
      <c r="L19" s="48">
        <f>Gastos!M2</f>
        <v>8720295</v>
      </c>
      <c r="M19" s="48">
        <f t="shared" ref="M19:M20" si="1">L19</f>
        <v>8720295</v>
      </c>
      <c r="N19" s="48"/>
      <c r="O19" s="48"/>
    </row>
    <row r="20" spans="1:15" ht="14.25" customHeight="1" x14ac:dyDescent="0.3">
      <c r="A20" s="46">
        <v>46085</v>
      </c>
      <c r="B20" s="38" t="s">
        <v>215</v>
      </c>
      <c r="C20" s="6" t="str">
        <f>IFERROR(VLOOKUP(B20,Inventario!A:G,2,FALSE()),"")</f>
        <v>Camisa Oversize Peruana L Blanco</v>
      </c>
      <c r="D20" s="17">
        <f>IFERROR(VLOOKUP(B20,Inventario!A:G,7,FALSE()),"")</f>
        <v>37000</v>
      </c>
      <c r="E20" s="17">
        <f>IFERROR(VLOOKUP(B20,Inventario!A:H,8,FALSE()),"")</f>
        <v>75000</v>
      </c>
      <c r="F20" s="6" t="s">
        <v>427</v>
      </c>
      <c r="H20" s="9" t="s">
        <v>429</v>
      </c>
      <c r="K20" s="45" t="str">
        <f t="shared" ref="K20:L20" si="2">K6</f>
        <v>Plan separe</v>
      </c>
      <c r="L20" s="55">
        <f t="shared" si="2"/>
        <v>10000</v>
      </c>
      <c r="M20" s="55">
        <f t="shared" si="1"/>
        <v>10000</v>
      </c>
      <c r="N20" s="55"/>
      <c r="O20" s="55"/>
    </row>
    <row r="21" spans="1:15" ht="14.25" customHeight="1" x14ac:dyDescent="0.3">
      <c r="A21" s="46">
        <v>46085</v>
      </c>
      <c r="B21" s="38" t="s">
        <v>283</v>
      </c>
      <c r="C21" s="6" t="str">
        <f>IFERROR(VLOOKUP(B21,Inventario!A:G,2,FALSE()),"")</f>
        <v>Hoodie L Acid Wash Gris</v>
      </c>
      <c r="D21" s="17">
        <f>IFERROR(VLOOKUP(B21,Inventario!A:G,7,FALSE()),"")</f>
        <v>120000</v>
      </c>
      <c r="E21" s="17">
        <v>180000</v>
      </c>
      <c r="F21" s="6" t="s">
        <v>427</v>
      </c>
      <c r="H21" s="9" t="s">
        <v>429</v>
      </c>
      <c r="K21" s="9" t="s">
        <v>452</v>
      </c>
      <c r="L21" s="56">
        <f t="shared" ref="L21:M21" si="3">L19+L18+L17+L16+L20</f>
        <v>11288000</v>
      </c>
      <c r="M21" s="48">
        <f t="shared" si="3"/>
        <v>12255045</v>
      </c>
      <c r="N21" s="57"/>
      <c r="O21" s="48"/>
    </row>
    <row r="22" spans="1:15" ht="14.25" customHeight="1" x14ac:dyDescent="0.3">
      <c r="A22" s="46">
        <v>46086</v>
      </c>
      <c r="B22" s="38" t="s">
        <v>267</v>
      </c>
      <c r="C22" s="6" t="str">
        <f>IFERROR(VLOOKUP(B22,Inventario!A:G,2,FALSE()),"")</f>
        <v>Camisa Boxy fit M Negro</v>
      </c>
      <c r="D22" s="17">
        <f>IFERROR(VLOOKUP(B22,Inventario!A:G,7,FALSE()),"")</f>
        <v>37000</v>
      </c>
      <c r="E22" s="17">
        <v>68000</v>
      </c>
      <c r="F22" s="6" t="s">
        <v>430</v>
      </c>
      <c r="G22" s="9" t="s">
        <v>453</v>
      </c>
      <c r="K22" s="55" t="s">
        <v>454</v>
      </c>
      <c r="L22" s="55">
        <f t="shared" ref="L22:M22" si="4">L16+L17+L18+L19</f>
        <v>11278000</v>
      </c>
      <c r="M22" s="55">
        <f t="shared" si="4"/>
        <v>12245045</v>
      </c>
      <c r="N22" s="58"/>
      <c r="O22" s="48"/>
    </row>
    <row r="23" spans="1:15" ht="14.25" customHeight="1" x14ac:dyDescent="0.3">
      <c r="A23" s="46">
        <v>46086</v>
      </c>
      <c r="B23" s="38" t="s">
        <v>273</v>
      </c>
      <c r="C23" s="6" t="str">
        <f>IFERROR(VLOOKUP(B23,Inventario!A:G,2,FALSE()),"")</f>
        <v>Camisa Boxy fit M Blanco</v>
      </c>
      <c r="D23" s="17">
        <f>IFERROR(VLOOKUP(B23,Inventario!A:G,7,FALSE()),"")</f>
        <v>37000</v>
      </c>
      <c r="E23" s="17">
        <v>68000</v>
      </c>
      <c r="F23" s="6" t="s">
        <v>430</v>
      </c>
      <c r="G23" s="9" t="s">
        <v>453</v>
      </c>
      <c r="N23" s="16"/>
      <c r="O23" s="48"/>
    </row>
    <row r="24" spans="1:15" ht="14.25" customHeight="1" x14ac:dyDescent="0.3">
      <c r="A24" s="46">
        <v>46086</v>
      </c>
      <c r="B24" s="38" t="s">
        <v>402</v>
      </c>
      <c r="C24" s="6" t="str">
        <f>IFERROR(VLOOKUP(B24,Inventario!A:G,2,FALSE()),"")</f>
        <v>Pantaloneta L Negro</v>
      </c>
      <c r="D24" s="17">
        <f>IFERROR(VLOOKUP(B24,Inventario!A:G,7,FALSE()),"")</f>
        <v>45000</v>
      </c>
      <c r="E24" s="17">
        <f>IFERROR(VLOOKUP(B24,Inventario!A:H,8,FALSE()),"")</f>
        <v>90000</v>
      </c>
      <c r="F24" s="6" t="s">
        <v>430</v>
      </c>
      <c r="G24" s="9" t="s">
        <v>453</v>
      </c>
      <c r="L24" s="54" t="s">
        <v>455</v>
      </c>
      <c r="M24" s="48">
        <f>M22-L22</f>
        <v>967045</v>
      </c>
      <c r="N24" s="16"/>
      <c r="O24" s="48"/>
    </row>
    <row r="25" spans="1:15" ht="14.25" customHeight="1" x14ac:dyDescent="0.3">
      <c r="A25" s="46">
        <v>46088</v>
      </c>
      <c r="B25" s="38" t="s">
        <v>370</v>
      </c>
      <c r="C25" s="6" t="str">
        <f>IFERROR(VLOOKUP(B25,Inventario!A:G,2,FALSE()),"")</f>
        <v>Chaqueta Cortavientos XL Gris Oscuro</v>
      </c>
      <c r="D25" s="17">
        <f>IFERROR(VLOOKUP(B25,Inventario!A:G,7,FALSE()),"")</f>
        <v>40000</v>
      </c>
      <c r="E25" s="17">
        <f>IFERROR(VLOOKUP(B25,Inventario!A:H,8,FALSE()),"")</f>
        <v>110000</v>
      </c>
      <c r="F25" s="6" t="s">
        <v>430</v>
      </c>
      <c r="L25" s="16"/>
      <c r="M25" s="16"/>
      <c r="N25" s="16"/>
      <c r="O25" s="48"/>
    </row>
    <row r="26" spans="1:15" ht="14.25" customHeight="1" x14ac:dyDescent="0.3">
      <c r="A26" s="46">
        <v>46088</v>
      </c>
      <c r="B26" s="38" t="s">
        <v>213</v>
      </c>
      <c r="C26" s="6" t="str">
        <f>IFERROR(VLOOKUP(B26,Inventario!A:G,2,FALSE()),"")</f>
        <v>Camisa Oversize Peruana M Blanco</v>
      </c>
      <c r="D26" s="17">
        <f>IFERROR(VLOOKUP(B26,Inventario!A:G,7,FALSE()),"")</f>
        <v>37000</v>
      </c>
      <c r="E26" s="17">
        <f>IFERROR(VLOOKUP(B26,Inventario!A:H,8,FALSE()),"")</f>
        <v>75000</v>
      </c>
      <c r="F26" s="6" t="s">
        <v>427</v>
      </c>
      <c r="H26" s="9" t="s">
        <v>429</v>
      </c>
      <c r="K26" s="59" t="s">
        <v>456</v>
      </c>
      <c r="L26" s="60"/>
      <c r="M26" s="60"/>
      <c r="N26" s="16"/>
    </row>
    <row r="27" spans="1:15" ht="14.25" customHeight="1" x14ac:dyDescent="0.3">
      <c r="A27" s="46">
        <v>46088</v>
      </c>
      <c r="B27" s="38" t="s">
        <v>418</v>
      </c>
      <c r="C27" s="6" t="str">
        <f>IFERROR(VLOOKUP(B27,Inventario!A:G,2,FALSE()),"")</f>
        <v>Camisa Réplica Y/Out</v>
      </c>
      <c r="D27" s="17">
        <f>IFERROR(VLOOKUP(B27,Inventario!A:G,7,FALSE()),"")</f>
        <v>60000</v>
      </c>
      <c r="E27" s="17">
        <f>IFERROR(VLOOKUP(B27,Inventario!A:H,8,FALSE()),"")</f>
        <v>75000</v>
      </c>
      <c r="F27" s="6" t="s">
        <v>427</v>
      </c>
      <c r="H27" s="9" t="s">
        <v>429</v>
      </c>
      <c r="L27" s="16"/>
      <c r="M27" s="16"/>
      <c r="N27" s="16"/>
    </row>
    <row r="28" spans="1:15" ht="14.25" customHeight="1" x14ac:dyDescent="0.3">
      <c r="A28" s="46">
        <v>46090</v>
      </c>
      <c r="B28" s="38" t="s">
        <v>356</v>
      </c>
      <c r="C28" s="6" t="str">
        <f>IFERROR(VLOOKUP(B28,Inventario!A:G,2,FALSE()),"")</f>
        <v>Chaqueta Cortavientos XL Negro</v>
      </c>
      <c r="D28" s="17">
        <f>IFERROR(VLOOKUP(B28,Inventario!A:G,7,FALSE()),"")</f>
        <v>40000</v>
      </c>
      <c r="E28" s="17">
        <f>IFERROR(VLOOKUP(B28,Inventario!A:H,8,FALSE()),"")</f>
        <v>110000</v>
      </c>
      <c r="F28" s="6" t="s">
        <v>430</v>
      </c>
      <c r="L28" s="16"/>
      <c r="M28" s="16"/>
      <c r="N28" s="16"/>
    </row>
    <row r="29" spans="1:15" ht="14.25" customHeight="1" x14ac:dyDescent="0.3">
      <c r="A29" s="46">
        <v>46090</v>
      </c>
      <c r="B29" s="38" t="s">
        <v>387</v>
      </c>
      <c r="C29" s="6" t="str">
        <f>IFERROR(VLOOKUP(B29,Inventario!A:G,2,FALSE()),"")</f>
        <v>Sudadera Bota Recta XL Negro</v>
      </c>
      <c r="D29" s="17">
        <f>IFERROR(VLOOKUP(B29,Inventario!A:G,7,FALSE()),"")</f>
        <v>55000</v>
      </c>
      <c r="E29" s="17">
        <f>IFERROR(VLOOKUP(B29,Inventario!A:H,8,FALSE()),"")</f>
        <v>100000</v>
      </c>
      <c r="F29" s="6" t="s">
        <v>430</v>
      </c>
      <c r="N29" s="16"/>
    </row>
    <row r="30" spans="1:15" ht="14.25" customHeight="1" x14ac:dyDescent="0.3">
      <c r="A30" s="46">
        <v>46091</v>
      </c>
      <c r="B30" s="9" t="s">
        <v>316</v>
      </c>
      <c r="C30" s="6" t="str">
        <f>IFERROR(VLOOKUP(B30,Inventario!A:G,2,FALSE()),"")</f>
        <v>Buzo Cuello Redondo Oversized XL Negro</v>
      </c>
      <c r="D30" s="17">
        <f>IFERROR(VLOOKUP(B30,Inventario!A:G,7,FALSE()),"")</f>
        <v>55000</v>
      </c>
      <c r="E30" s="17">
        <f>IFERROR(VLOOKUP(B30,Inventario!A:H,8,FALSE()),"")</f>
        <v>120000</v>
      </c>
      <c r="F30" s="6" t="s">
        <v>430</v>
      </c>
      <c r="G30" s="9" t="s">
        <v>457</v>
      </c>
      <c r="L30" s="16"/>
      <c r="M30" s="16"/>
      <c r="N30" s="16"/>
    </row>
    <row r="31" spans="1:15" ht="14.25" customHeight="1" x14ac:dyDescent="0.3">
      <c r="A31" s="46">
        <v>46091</v>
      </c>
      <c r="B31" s="9" t="s">
        <v>223</v>
      </c>
      <c r="C31" s="6" t="str">
        <f>IFERROR(VLOOKUP(B31,Inventario!A:G,2,FALSE()),"")</f>
        <v>Camisa Oversize Peruana L Perla</v>
      </c>
      <c r="D31" s="17">
        <f>IFERROR(VLOOKUP(B31,Inventario!A:G,7,FALSE()),"")</f>
        <v>37000</v>
      </c>
      <c r="E31" s="17">
        <v>110000</v>
      </c>
      <c r="F31" s="6" t="s">
        <v>427</v>
      </c>
      <c r="H31" s="9" t="s">
        <v>429</v>
      </c>
      <c r="L31" s="16"/>
      <c r="M31" s="16"/>
      <c r="N31" s="16"/>
    </row>
    <row r="32" spans="1:15" ht="14.25" customHeight="1" x14ac:dyDescent="0.3">
      <c r="A32" s="46">
        <v>46091</v>
      </c>
      <c r="B32" s="9" t="s">
        <v>283</v>
      </c>
      <c r="C32" s="6" t="str">
        <f>IFERROR(VLOOKUP(B32,Inventario!A:G,2,FALSE()),"")</f>
        <v>Hoodie L Acid Wash Gris</v>
      </c>
      <c r="D32" s="17">
        <f>IFERROR(VLOOKUP(B32,Inventario!A:G,7,FALSE()),"")</f>
        <v>120000</v>
      </c>
      <c r="E32" s="17">
        <f>IFERROR(VLOOKUP(B32,Inventario!A:H,8,FALSE()),"")</f>
        <v>190000</v>
      </c>
      <c r="F32" s="6" t="s">
        <v>427</v>
      </c>
      <c r="H32" s="9" t="s">
        <v>429</v>
      </c>
      <c r="L32" s="16"/>
      <c r="M32" s="16"/>
      <c r="N32" s="16"/>
    </row>
    <row r="33" spans="1:14" ht="14.25" customHeight="1" x14ac:dyDescent="0.3">
      <c r="A33" s="46">
        <v>46091</v>
      </c>
      <c r="B33" s="9" t="s">
        <v>385</v>
      </c>
      <c r="C33" s="6" t="str">
        <f>IFERROR(VLOOKUP(B33,Inventario!A:G,2,FALSE()),"")</f>
        <v>Sudadera Bota Recta L Negro</v>
      </c>
      <c r="D33" s="17">
        <f>IFERROR(VLOOKUP(B33,Inventario!A:G,7,FALSE()),"")</f>
        <v>55000</v>
      </c>
      <c r="E33" s="17">
        <v>120000</v>
      </c>
      <c r="F33" s="6" t="s">
        <v>427</v>
      </c>
      <c r="H33" s="9" t="s">
        <v>429</v>
      </c>
      <c r="L33" s="16"/>
      <c r="M33" s="16"/>
      <c r="N33" s="16"/>
    </row>
    <row r="34" spans="1:14" ht="14.25" customHeight="1" x14ac:dyDescent="0.3">
      <c r="A34" s="46">
        <v>46091</v>
      </c>
      <c r="B34" s="9" t="s">
        <v>399</v>
      </c>
      <c r="C34" s="6" t="str">
        <f>IFERROR(VLOOKUP(B34,Inventario!A:G,2,FALSE()),"")</f>
        <v>Pantaloneta M Negro</v>
      </c>
      <c r="D34" s="17">
        <f>IFERROR(VLOOKUP(B34,Inventario!A:G,7,FALSE()),"")</f>
        <v>45000</v>
      </c>
      <c r="E34" s="17">
        <v>85000</v>
      </c>
      <c r="F34" s="6" t="s">
        <v>427</v>
      </c>
      <c r="H34" s="9" t="s">
        <v>429</v>
      </c>
      <c r="L34" s="16"/>
      <c r="M34" s="16"/>
      <c r="N34" s="16"/>
    </row>
    <row r="35" spans="1:14" ht="14.25" customHeight="1" x14ac:dyDescent="0.3">
      <c r="A35" s="46">
        <v>46091</v>
      </c>
      <c r="B35" s="9" t="s">
        <v>213</v>
      </c>
      <c r="C35" s="6" t="str">
        <f>IFERROR(VLOOKUP(B35,Inventario!A:G,2,FALSE()),"")</f>
        <v>Camisa Oversize Peruana M Blanco</v>
      </c>
      <c r="D35" s="17">
        <f>IFERROR(VLOOKUP(B35,Inventario!A:G,7,FALSE()),"")</f>
        <v>37000</v>
      </c>
      <c r="E35" s="17">
        <v>50000</v>
      </c>
      <c r="F35" s="6" t="s">
        <v>430</v>
      </c>
      <c r="G35" s="9" t="s">
        <v>458</v>
      </c>
      <c r="L35" s="16"/>
      <c r="M35" s="16"/>
      <c r="N35" s="16"/>
    </row>
    <row r="36" spans="1:14" ht="14.25" customHeight="1" x14ac:dyDescent="0.3">
      <c r="A36" s="46">
        <v>46092</v>
      </c>
      <c r="B36" s="9" t="s">
        <v>420</v>
      </c>
      <c r="C36" s="6" t="str">
        <f>IFERROR(VLOOKUP(B36,Inventario!A:G,2,FALSE()),"")</f>
        <v>Camisa Réplica 1.1</v>
      </c>
      <c r="D36" s="17">
        <f>IFERROR(VLOOKUP(B36,Inventario!A:G,7,FALSE()),"")</f>
        <v>54000</v>
      </c>
      <c r="E36" s="17">
        <f>IFERROR(VLOOKUP(B36,Inventario!A:H,8,FALSE()),"")</f>
        <v>75000</v>
      </c>
      <c r="F36" s="6" t="s">
        <v>430</v>
      </c>
      <c r="L36" s="16"/>
      <c r="M36" s="16"/>
      <c r="N36" s="16"/>
    </row>
    <row r="37" spans="1:14" ht="14.25" customHeight="1" x14ac:dyDescent="0.3">
      <c r="A37" s="46">
        <v>46092</v>
      </c>
      <c r="B37" s="9" t="s">
        <v>208</v>
      </c>
      <c r="C37" s="6" t="str">
        <f>IFERROR(VLOOKUP(B37,Inventario!A:G,2,FALSE()),"")</f>
        <v>Camisa Oversize Peruana XL Negro</v>
      </c>
      <c r="D37" s="17">
        <f>IFERROR(VLOOKUP(B37,Inventario!A:G,7,FALSE()),"")</f>
        <v>37000</v>
      </c>
      <c r="E37" s="17">
        <f>IFERROR(VLOOKUP(B37,Inventario!A:H,8,FALSE()),"")</f>
        <v>75000</v>
      </c>
      <c r="F37" s="6" t="s">
        <v>430</v>
      </c>
      <c r="G37" s="9" t="s">
        <v>459</v>
      </c>
      <c r="L37" s="16"/>
      <c r="M37" s="16"/>
      <c r="N37" s="16"/>
    </row>
    <row r="38" spans="1:14" ht="14.25" customHeight="1" x14ac:dyDescent="0.3">
      <c r="A38" s="46">
        <v>46092</v>
      </c>
      <c r="B38" s="47" t="s">
        <v>364</v>
      </c>
      <c r="C38" s="6" t="str">
        <f>IFERROR(VLOOKUP(B38,Inventario!A:G,2,FALSE()),"")</f>
        <v>Chaqueta Cortavientos M Verde Botella/Negro</v>
      </c>
      <c r="D38" s="17">
        <f>IFERROR(VLOOKUP(B38,Inventario!A:G,7,FALSE()),"")</f>
        <v>40000</v>
      </c>
      <c r="E38" s="17">
        <v>100000</v>
      </c>
      <c r="F38" s="6" t="s">
        <v>430</v>
      </c>
      <c r="L38" s="16"/>
      <c r="M38" s="16"/>
      <c r="N38" s="16"/>
    </row>
    <row r="39" spans="1:14" ht="14.25" customHeight="1" x14ac:dyDescent="0.3">
      <c r="A39" s="46">
        <v>46093</v>
      </c>
      <c r="B39" s="9" t="s">
        <v>205</v>
      </c>
      <c r="C39" s="6" t="str">
        <f>IFERROR(VLOOKUP(B39,Inventario!A:G,2,FALSE()),"")</f>
        <v>Camisa Oversize Peruana L Negro</v>
      </c>
      <c r="D39" s="17">
        <f>IFERROR(VLOOKUP(B39,Inventario!A:G,7,FALSE()),"")</f>
        <v>37000</v>
      </c>
      <c r="E39" s="17">
        <v>110000</v>
      </c>
      <c r="F39" s="6" t="s">
        <v>427</v>
      </c>
      <c r="G39" s="9" t="s">
        <v>460</v>
      </c>
      <c r="H39" s="9" t="s">
        <v>429</v>
      </c>
      <c r="L39" s="16"/>
      <c r="M39" s="16"/>
      <c r="N39" s="16"/>
    </row>
    <row r="40" spans="1:14" ht="14.25" customHeight="1" x14ac:dyDescent="0.3">
      <c r="A40" s="46">
        <v>46093</v>
      </c>
      <c r="B40" s="9" t="s">
        <v>213</v>
      </c>
      <c r="C40" s="6" t="str">
        <f>IFERROR(VLOOKUP(B40,Inventario!A:G,2,FALSE()),"")</f>
        <v>Camisa Oversize Peruana M Blanco</v>
      </c>
      <c r="D40" s="17">
        <f>IFERROR(VLOOKUP(B40,Inventario!A:G,7,FALSE()),"")</f>
        <v>37000</v>
      </c>
      <c r="E40" s="17">
        <v>110000</v>
      </c>
      <c r="F40" s="6" t="s">
        <v>427</v>
      </c>
      <c r="G40" s="9" t="s">
        <v>461</v>
      </c>
      <c r="H40" s="9" t="s">
        <v>429</v>
      </c>
      <c r="L40" s="16"/>
      <c r="M40" s="16"/>
      <c r="N40" s="16"/>
    </row>
    <row r="41" spans="1:14" ht="14.25" customHeight="1" x14ac:dyDescent="0.3">
      <c r="A41" s="46">
        <v>46094</v>
      </c>
      <c r="B41" s="9" t="s">
        <v>223</v>
      </c>
      <c r="C41" s="6" t="str">
        <f>IFERROR(VLOOKUP(B41,Inventario!A:G,2,FALSE()),"")</f>
        <v>Camisa Oversize Peruana L Perla</v>
      </c>
      <c r="D41" s="17">
        <f>IFERROR(VLOOKUP(B41,Inventario!A:G,7,FALSE()),"")</f>
        <v>37000</v>
      </c>
      <c r="E41" s="17">
        <v>120000</v>
      </c>
      <c r="F41" s="6" t="s">
        <v>430</v>
      </c>
      <c r="G41" s="9" t="s">
        <v>462</v>
      </c>
      <c r="L41" s="16"/>
      <c r="M41" s="16"/>
      <c r="N41" s="16"/>
    </row>
    <row r="42" spans="1:14" ht="14.25" customHeight="1" x14ac:dyDescent="0.3">
      <c r="A42" s="46">
        <v>46094</v>
      </c>
      <c r="B42" s="38" t="s">
        <v>283</v>
      </c>
      <c r="C42" s="6" t="str">
        <f>IFERROR(VLOOKUP(B42,Inventario!A:G,2,FALSE()),"")</f>
        <v>Hoodie L Acid Wash Gris</v>
      </c>
      <c r="D42" s="17">
        <f>IFERROR(VLOOKUP(B42,Inventario!A:G,7,FALSE()),"")</f>
        <v>120000</v>
      </c>
      <c r="E42" s="17">
        <f>IFERROR(VLOOKUP(B42,Inventario!A:H,8,FALSE()),"")</f>
        <v>190000</v>
      </c>
      <c r="F42" s="6" t="s">
        <v>427</v>
      </c>
      <c r="H42" s="9" t="s">
        <v>429</v>
      </c>
      <c r="L42" s="16"/>
      <c r="M42" s="16"/>
      <c r="N42" s="16"/>
    </row>
    <row r="43" spans="1:14" ht="14.25" customHeight="1" x14ac:dyDescent="0.3">
      <c r="A43" s="46">
        <v>46098</v>
      </c>
      <c r="B43" s="9" t="s">
        <v>291</v>
      </c>
      <c r="C43" s="6" t="str">
        <f>IFERROR(VLOOKUP(B43,Inventario!A:G,2,FALSE()),"")</f>
        <v>Chompa Capucha L Negro</v>
      </c>
      <c r="D43" s="17">
        <f>IFERROR(VLOOKUP(B43,Inventario!A:G,7,FALSE()),"")</f>
        <v>90000</v>
      </c>
      <c r="E43" s="17">
        <v>200000</v>
      </c>
      <c r="F43" s="6" t="s">
        <v>427</v>
      </c>
      <c r="G43" s="9" t="s">
        <v>463</v>
      </c>
      <c r="L43" s="16"/>
      <c r="M43" s="16"/>
      <c r="N43" s="16"/>
    </row>
    <row r="44" spans="1:14" ht="14.25" customHeight="1" x14ac:dyDescent="0.3">
      <c r="A44" s="46">
        <v>46094</v>
      </c>
      <c r="B44" s="9" t="s">
        <v>420</v>
      </c>
      <c r="C44" s="6" t="str">
        <f>IFERROR(VLOOKUP(B44,Inventario!A:G,2,FALSE()),"")</f>
        <v>Camisa Réplica 1.1</v>
      </c>
      <c r="D44" s="17">
        <f>IFERROR(VLOOKUP(B44,Inventario!A:G,7,FALSE()),"")</f>
        <v>54000</v>
      </c>
      <c r="E44" s="17">
        <f>IFERROR(VLOOKUP(B44,Inventario!A:H,8,FALSE()),"")</f>
        <v>75000</v>
      </c>
      <c r="F44" s="6" t="s">
        <v>430</v>
      </c>
      <c r="L44" s="16"/>
      <c r="M44" s="16"/>
      <c r="N44" s="16"/>
    </row>
    <row r="45" spans="1:14" ht="14.25" customHeight="1" x14ac:dyDescent="0.3">
      <c r="A45" s="46">
        <v>46095</v>
      </c>
      <c r="B45" s="9" t="s">
        <v>208</v>
      </c>
      <c r="C45" s="6" t="str">
        <f>IFERROR(VLOOKUP(B45,Inventario!A:G,2,FALSE()),"")</f>
        <v>Camisa Oversize Peruana XL Negro</v>
      </c>
      <c r="D45" s="17">
        <f>IFERROR(VLOOKUP(B45,Inventario!A:G,7,FALSE()),"")</f>
        <v>37000</v>
      </c>
      <c r="E45" s="17">
        <f>IFERROR(VLOOKUP(B45,Inventario!A:H,8,FALSE()),"")</f>
        <v>75000</v>
      </c>
      <c r="F45" s="6" t="s">
        <v>427</v>
      </c>
      <c r="G45" s="9" t="s">
        <v>464</v>
      </c>
      <c r="H45" s="9" t="s">
        <v>429</v>
      </c>
      <c r="L45" s="16"/>
      <c r="M45" s="16"/>
      <c r="N45" s="16"/>
    </row>
    <row r="46" spans="1:14" ht="14.25" customHeight="1" x14ac:dyDescent="0.3">
      <c r="A46" s="46">
        <v>46095</v>
      </c>
      <c r="B46" s="9" t="s">
        <v>420</v>
      </c>
      <c r="C46" s="6" t="str">
        <f>IFERROR(VLOOKUP(B46,Inventario!A:G,2,FALSE()),"")</f>
        <v>Camisa Réplica 1.1</v>
      </c>
      <c r="D46" s="17">
        <f>IFERROR(VLOOKUP(B46,Inventario!A:G,7,FALSE()),"")</f>
        <v>54000</v>
      </c>
      <c r="E46" s="17">
        <f>IFERROR(VLOOKUP(B46,Inventario!A:H,8,FALSE()),"")</f>
        <v>75000</v>
      </c>
      <c r="F46" s="6" t="s">
        <v>427</v>
      </c>
      <c r="H46" s="9" t="s">
        <v>429</v>
      </c>
      <c r="L46" s="16"/>
      <c r="M46" s="16"/>
      <c r="N46" s="16"/>
    </row>
    <row r="47" spans="1:14" ht="14.25" customHeight="1" x14ac:dyDescent="0.3">
      <c r="A47" s="46">
        <v>46095</v>
      </c>
      <c r="B47" s="9" t="s">
        <v>420</v>
      </c>
      <c r="C47" s="6" t="str">
        <f>IFERROR(VLOOKUP(B47,Inventario!A:G,2,FALSE()),"")</f>
        <v>Camisa Réplica 1.1</v>
      </c>
      <c r="D47" s="17">
        <f>IFERROR(VLOOKUP(B47,Inventario!A:G,7,FALSE()),"")</f>
        <v>54000</v>
      </c>
      <c r="E47" s="17">
        <f>IFERROR(VLOOKUP(B47,Inventario!A:H,8,FALSE()),"")</f>
        <v>75000</v>
      </c>
      <c r="F47" s="6" t="s">
        <v>427</v>
      </c>
      <c r="H47" s="9" t="s">
        <v>429</v>
      </c>
      <c r="L47" s="16"/>
      <c r="M47" s="16"/>
      <c r="N47" s="16"/>
    </row>
    <row r="48" spans="1:14" ht="14.25" customHeight="1" x14ac:dyDescent="0.3">
      <c r="A48" s="46">
        <v>46097</v>
      </c>
      <c r="B48" s="9" t="s">
        <v>418</v>
      </c>
      <c r="C48" s="6" t="str">
        <f>IFERROR(VLOOKUP(B48,Inventario!A:G,2,FALSE()),"")</f>
        <v>Camisa Réplica Y/Out</v>
      </c>
      <c r="D48" s="17">
        <f>IFERROR(VLOOKUP(B48,Inventario!A:G,7,FALSE()),"")</f>
        <v>60000</v>
      </c>
      <c r="E48" s="17">
        <f>IFERROR(VLOOKUP(B48,Inventario!A:H,8,FALSE()),"")</f>
        <v>75000</v>
      </c>
      <c r="F48" s="6" t="s">
        <v>430</v>
      </c>
      <c r="L48" s="16"/>
      <c r="M48" s="16"/>
      <c r="N48" s="16"/>
    </row>
    <row r="49" spans="1:14" ht="14.25" customHeight="1" x14ac:dyDescent="0.3">
      <c r="A49" s="46">
        <v>46099</v>
      </c>
      <c r="B49" s="9" t="s">
        <v>420</v>
      </c>
      <c r="C49" s="6" t="str">
        <f>IFERROR(VLOOKUP(B49,Inventario!A:G,2,FALSE()),"")</f>
        <v>Camisa Réplica 1.1</v>
      </c>
      <c r="D49" s="17">
        <f>IFERROR(VLOOKUP(B49,Inventario!A:G,7,FALSE()),"")</f>
        <v>54000</v>
      </c>
      <c r="E49" s="17">
        <f>IFERROR(VLOOKUP(B49,Inventario!A:H,8,FALSE()),"")</f>
        <v>75000</v>
      </c>
      <c r="F49" s="6" t="s">
        <v>427</v>
      </c>
      <c r="H49" s="9" t="s">
        <v>429</v>
      </c>
      <c r="L49" s="16"/>
      <c r="M49" s="16"/>
      <c r="N49" s="16"/>
    </row>
    <row r="50" spans="1:14" ht="14.25" customHeight="1" x14ac:dyDescent="0.3">
      <c r="A50" s="46">
        <v>46100</v>
      </c>
      <c r="B50" s="9" t="s">
        <v>420</v>
      </c>
      <c r="C50" s="6" t="str">
        <f>IFERROR(VLOOKUP(B50,Inventario!A:G,2,FALSE()),"")</f>
        <v>Camisa Réplica 1.1</v>
      </c>
      <c r="D50" s="17">
        <f>IFERROR(VLOOKUP(B50,Inventario!A:G,7,FALSE()),"")</f>
        <v>54000</v>
      </c>
      <c r="E50" s="17">
        <f>IFERROR(VLOOKUP(B50,Inventario!A:H,8,FALSE()),"")</f>
        <v>75000</v>
      </c>
      <c r="F50" s="6" t="s">
        <v>427</v>
      </c>
      <c r="H50" s="9" t="s">
        <v>429</v>
      </c>
      <c r="L50" s="16"/>
      <c r="M50" s="16"/>
      <c r="N50" s="16"/>
    </row>
    <row r="51" spans="1:14" ht="14.25" customHeight="1" x14ac:dyDescent="0.3">
      <c r="A51" s="46">
        <v>46100</v>
      </c>
      <c r="B51" s="9" t="s">
        <v>420</v>
      </c>
      <c r="C51" s="6" t="str">
        <f>IFERROR(VLOOKUP(B51,Inventario!A:G,2,FALSE()),"")</f>
        <v>Camisa Réplica 1.1</v>
      </c>
      <c r="D51" s="17">
        <f>IFERROR(VLOOKUP(B51,Inventario!A:G,7,FALSE()),"")</f>
        <v>54000</v>
      </c>
      <c r="E51" s="17">
        <f>IFERROR(VLOOKUP(B51,Inventario!A:H,8,FALSE()),"")</f>
        <v>75000</v>
      </c>
      <c r="F51" s="6" t="s">
        <v>430</v>
      </c>
      <c r="L51" s="16"/>
      <c r="M51" s="16"/>
      <c r="N51" s="16"/>
    </row>
    <row r="52" spans="1:14" ht="14.25" customHeight="1" x14ac:dyDescent="0.3">
      <c r="A52" s="46">
        <v>46100</v>
      </c>
      <c r="B52" s="9" t="s">
        <v>215</v>
      </c>
      <c r="C52" s="6" t="str">
        <f>IFERROR(VLOOKUP(B52,Inventario!A:G,2,FALSE()),"")</f>
        <v>Camisa Oversize Peruana L Blanco</v>
      </c>
      <c r="D52" s="17">
        <f>IFERROR(VLOOKUP(B52,Inventario!A:G,7,FALSE()),"")</f>
        <v>37000</v>
      </c>
      <c r="E52" s="17">
        <f>IFERROR(VLOOKUP(B52,Inventario!A:H,8,FALSE()),"")</f>
        <v>75000</v>
      </c>
      <c r="F52" s="6" t="s">
        <v>427</v>
      </c>
      <c r="H52" s="9" t="s">
        <v>429</v>
      </c>
      <c r="L52" s="16"/>
      <c r="M52" s="16"/>
      <c r="N52" s="16"/>
    </row>
    <row r="53" spans="1:14" ht="14.25" customHeight="1" x14ac:dyDescent="0.3">
      <c r="A53" s="46">
        <v>46100</v>
      </c>
      <c r="B53" s="9" t="s">
        <v>420</v>
      </c>
      <c r="C53" s="6" t="str">
        <f>IFERROR(VLOOKUP(B53,Inventario!A:G,2,FALSE()),"")</f>
        <v>Camisa Réplica 1.1</v>
      </c>
      <c r="D53" s="17">
        <f>IFERROR(VLOOKUP(B53,Inventario!A:G,7,FALSE()),"")</f>
        <v>54000</v>
      </c>
      <c r="E53" s="17">
        <f>IFERROR(VLOOKUP(B53,Inventario!A:H,8,FALSE()),"")</f>
        <v>75000</v>
      </c>
      <c r="F53" s="6" t="s">
        <v>430</v>
      </c>
      <c r="L53" s="16"/>
      <c r="M53" s="16"/>
      <c r="N53" s="16"/>
    </row>
    <row r="54" spans="1:14" ht="14.25" customHeight="1" x14ac:dyDescent="0.3">
      <c r="A54" s="46">
        <v>46100</v>
      </c>
      <c r="B54" s="9" t="s">
        <v>217</v>
      </c>
      <c r="C54" s="6" t="str">
        <f>IFERROR(VLOOKUP(B54,Inventario!A:G,2,FALSE()),"")</f>
        <v>Camisa Oversize Peruana XL Blanco</v>
      </c>
      <c r="D54" s="17">
        <f>IFERROR(VLOOKUP(B54,Inventario!A:G,7,FALSE()),"")</f>
        <v>37000</v>
      </c>
      <c r="E54" s="17">
        <v>37000</v>
      </c>
      <c r="F54" s="6" t="s">
        <v>430</v>
      </c>
      <c r="G54" s="9" t="s">
        <v>457</v>
      </c>
      <c r="L54" s="16"/>
      <c r="M54" s="16"/>
      <c r="N54" s="16"/>
    </row>
    <row r="55" spans="1:14" ht="14.25" customHeight="1" x14ac:dyDescent="0.3">
      <c r="A55" s="46">
        <v>46101</v>
      </c>
      <c r="B55" s="38" t="s">
        <v>283</v>
      </c>
      <c r="C55" s="6" t="str">
        <f>IFERROR(VLOOKUP(B55,Inventario!A:G,2,FALSE()),"")</f>
        <v>Hoodie L Acid Wash Gris</v>
      </c>
      <c r="D55" s="17">
        <f>IFERROR(VLOOKUP(B55,Inventario!A:G,7,FALSE()),"")</f>
        <v>120000</v>
      </c>
      <c r="E55" s="17">
        <f>IFERROR(VLOOKUP(B55,Inventario!A:H,8,FALSE()),"")</f>
        <v>190000</v>
      </c>
      <c r="F55" s="6" t="s">
        <v>430</v>
      </c>
      <c r="L55" s="16"/>
      <c r="M55" s="16"/>
      <c r="N55" s="16"/>
    </row>
    <row r="56" spans="1:14" ht="14.25" customHeight="1" x14ac:dyDescent="0.3">
      <c r="A56" s="46">
        <v>46101</v>
      </c>
      <c r="B56" s="9" t="s">
        <v>376</v>
      </c>
      <c r="C56" s="6" t="str">
        <f>IFERROR(VLOOKUP(B56,Inventario!A:G,2,FALSE()),"")</f>
        <v>Chaqueta Cortavientos M Gris Claro/Negro</v>
      </c>
      <c r="D56" s="17">
        <f>IFERROR(VLOOKUP(B56,Inventario!A:G,7,FALSE()),"")</f>
        <v>40000</v>
      </c>
      <c r="E56" s="17">
        <f>IFERROR(VLOOKUP(B56,Inventario!A:H,8,FALSE()),"")</f>
        <v>110000</v>
      </c>
      <c r="F56" s="6" t="s">
        <v>430</v>
      </c>
      <c r="L56" s="16"/>
      <c r="M56" s="16"/>
      <c r="N56" s="16"/>
    </row>
    <row r="57" spans="1:14" ht="14.25" customHeight="1" x14ac:dyDescent="0.3">
      <c r="A57" s="46">
        <v>46101</v>
      </c>
      <c r="B57" s="9" t="s">
        <v>273</v>
      </c>
      <c r="C57" s="6" t="str">
        <f>IFERROR(VLOOKUP(B57,Inventario!A:G,2,FALSE()),"")</f>
        <v>Camisa Boxy fit M Blanco</v>
      </c>
      <c r="D57" s="17">
        <f>IFERROR(VLOOKUP(B57,Inventario!A:G,7,FALSE()),"")</f>
        <v>37000</v>
      </c>
      <c r="E57" s="17">
        <f>IFERROR(VLOOKUP(B57,Inventario!A:H,8,FALSE()),"")</f>
        <v>75000</v>
      </c>
      <c r="F57" s="6" t="s">
        <v>430</v>
      </c>
      <c r="L57" s="16"/>
      <c r="M57" s="16"/>
      <c r="N57" s="16"/>
    </row>
    <row r="58" spans="1:14" ht="14.25" customHeight="1" x14ac:dyDescent="0.3">
      <c r="A58" s="46">
        <v>46101</v>
      </c>
      <c r="B58" s="9" t="s">
        <v>420</v>
      </c>
      <c r="C58" s="6" t="str">
        <f>IFERROR(VLOOKUP(B58,Inventario!A:G,2,FALSE()),"")</f>
        <v>Camisa Réplica 1.1</v>
      </c>
      <c r="D58" s="17">
        <f>IFERROR(VLOOKUP(B58,Inventario!A:G,7,FALSE()),"")</f>
        <v>54000</v>
      </c>
      <c r="E58" s="17">
        <f>IFERROR(VLOOKUP(B58,Inventario!A:H,8,FALSE()),"")</f>
        <v>75000</v>
      </c>
      <c r="F58" s="6" t="s">
        <v>427</v>
      </c>
      <c r="G58" s="9" t="s">
        <v>465</v>
      </c>
      <c r="H58" s="9" t="s">
        <v>429</v>
      </c>
      <c r="L58" s="16"/>
      <c r="M58" s="16"/>
      <c r="N58" s="16"/>
    </row>
    <row r="59" spans="1:14" ht="14.25" customHeight="1" x14ac:dyDescent="0.3">
      <c r="A59" s="61">
        <v>46102</v>
      </c>
      <c r="B59" s="9" t="s">
        <v>283</v>
      </c>
      <c r="C59" s="6" t="str">
        <f>IFERROR(VLOOKUP(B59,Inventario!A:G,2,FALSE()),"")</f>
        <v>Hoodie L Acid Wash Gris</v>
      </c>
      <c r="D59" s="17">
        <f>IFERROR(VLOOKUP(B59,Inventario!A:G,7,FALSE()),"")</f>
        <v>120000</v>
      </c>
      <c r="E59" s="17">
        <f>IFERROR(VLOOKUP(B59,Inventario!A:H,8,FALSE()),"")</f>
        <v>190000</v>
      </c>
      <c r="F59" s="6" t="s">
        <v>427</v>
      </c>
      <c r="H59" s="9" t="s">
        <v>429</v>
      </c>
      <c r="L59" s="16"/>
      <c r="M59" s="16"/>
      <c r="N59" s="16"/>
    </row>
    <row r="60" spans="1:14" ht="14.25" customHeight="1" x14ac:dyDescent="0.3">
      <c r="A60" s="61">
        <v>46102</v>
      </c>
      <c r="B60" s="9" t="s">
        <v>205</v>
      </c>
      <c r="C60" s="6" t="str">
        <f>IFERROR(VLOOKUP(B60,Inventario!A:G,2,FALSE()),"")</f>
        <v>Camisa Oversize Peruana L Negro</v>
      </c>
      <c r="D60" s="17">
        <f>IFERROR(VLOOKUP(B60,Inventario!A:G,7,FALSE()),"")</f>
        <v>37000</v>
      </c>
      <c r="E60" s="17">
        <v>120000</v>
      </c>
      <c r="F60" s="6" t="s">
        <v>427</v>
      </c>
      <c r="H60" s="9" t="s">
        <v>429</v>
      </c>
      <c r="L60" s="16"/>
      <c r="M60" s="16"/>
      <c r="N60" s="16"/>
    </row>
    <row r="61" spans="1:14" ht="14.25" customHeight="1" x14ac:dyDescent="0.3">
      <c r="A61" s="61">
        <v>46102</v>
      </c>
      <c r="B61" s="9" t="s">
        <v>215</v>
      </c>
      <c r="C61" s="6" t="str">
        <f>IFERROR(VLOOKUP(B61,Inventario!A:G,2,FALSE()),"")</f>
        <v>Camisa Oversize Peruana L Blanco</v>
      </c>
      <c r="D61" s="17">
        <f>IFERROR(VLOOKUP(B61,Inventario!A:G,7,FALSE()),"")</f>
        <v>37000</v>
      </c>
      <c r="E61" s="17">
        <v>120000</v>
      </c>
      <c r="F61" s="6" t="s">
        <v>430</v>
      </c>
      <c r="L61" s="16"/>
      <c r="M61" s="16"/>
      <c r="N61" s="16"/>
    </row>
    <row r="62" spans="1:14" ht="14.25" customHeight="1" x14ac:dyDescent="0.3">
      <c r="A62" s="61">
        <v>46102</v>
      </c>
      <c r="B62" s="9" t="s">
        <v>420</v>
      </c>
      <c r="C62" s="6" t="str">
        <f>IFERROR(VLOOKUP(B62,Inventario!A:G,2,FALSE()),"")</f>
        <v>Camisa Réplica 1.1</v>
      </c>
      <c r="D62" s="17">
        <f>IFERROR(VLOOKUP(B62,Inventario!A:G,7,FALSE()),"")</f>
        <v>54000</v>
      </c>
      <c r="E62" s="17">
        <f>IFERROR(VLOOKUP(B62,Inventario!A:H,8,FALSE()),"")</f>
        <v>75000</v>
      </c>
      <c r="F62" s="6" t="s">
        <v>430</v>
      </c>
      <c r="L62" s="16"/>
      <c r="M62" s="16"/>
      <c r="N62" s="16"/>
    </row>
    <row r="63" spans="1:14" ht="14.25" customHeight="1" x14ac:dyDescent="0.3">
      <c r="A63" s="61">
        <v>46102</v>
      </c>
      <c r="B63" s="9" t="s">
        <v>291</v>
      </c>
      <c r="C63" s="6" t="str">
        <f>IFERROR(VLOOKUP(B63,Inventario!A:G,2,FALSE()),"")</f>
        <v>Chompa Capucha L Negro</v>
      </c>
      <c r="D63" s="17">
        <f>IFERROR(VLOOKUP(B63,Inventario!A:G,7,FALSE()),"")</f>
        <v>90000</v>
      </c>
      <c r="E63" s="17">
        <f>IFERROR(VLOOKUP(B63,Inventario!A:H,8,FALSE()),"")</f>
        <v>180000</v>
      </c>
      <c r="F63" s="6" t="s">
        <v>427</v>
      </c>
      <c r="H63" s="9" t="s">
        <v>429</v>
      </c>
      <c r="L63" s="16"/>
      <c r="M63" s="16"/>
      <c r="N63" s="16"/>
    </row>
    <row r="64" spans="1:14" ht="14.25" customHeight="1" x14ac:dyDescent="0.3">
      <c r="A64" s="61">
        <v>46102</v>
      </c>
      <c r="B64" s="9" t="s">
        <v>283</v>
      </c>
      <c r="C64" s="6" t="str">
        <f>IFERROR(VLOOKUP(B64,Inventario!A:G,2,FALSE()),"")</f>
        <v>Hoodie L Acid Wash Gris</v>
      </c>
      <c r="D64" s="17">
        <f>IFERROR(VLOOKUP(B64,Inventario!A:G,7,FALSE()),"")</f>
        <v>120000</v>
      </c>
      <c r="E64" s="17">
        <v>171000</v>
      </c>
      <c r="F64" s="6" t="s">
        <v>427</v>
      </c>
      <c r="G64" s="9" t="s">
        <v>466</v>
      </c>
      <c r="H64" s="9" t="s">
        <v>429</v>
      </c>
      <c r="L64" s="16"/>
      <c r="M64" s="16"/>
      <c r="N64" s="16"/>
    </row>
    <row r="65" spans="1:14" ht="14.25" customHeight="1" x14ac:dyDescent="0.3">
      <c r="A65" s="61">
        <v>46102</v>
      </c>
      <c r="B65" s="9" t="s">
        <v>351</v>
      </c>
      <c r="C65" s="6" t="str">
        <f>IFERROR(VLOOKUP(B65,Inventario!A:G,2,FALSE()),"")</f>
        <v>Chaqueta Cortavientos M Negro</v>
      </c>
      <c r="D65" s="17">
        <f>IFERROR(VLOOKUP(B65,Inventario!A:G,7,FALSE()),"")</f>
        <v>40000</v>
      </c>
      <c r="E65" s="17">
        <v>90000</v>
      </c>
      <c r="F65" s="6" t="s">
        <v>427</v>
      </c>
      <c r="G65" s="9" t="s">
        <v>466</v>
      </c>
      <c r="H65" s="9" t="s">
        <v>429</v>
      </c>
      <c r="L65" s="16"/>
      <c r="M65" s="16"/>
      <c r="N65" s="16"/>
    </row>
    <row r="66" spans="1:14" ht="14.25" customHeight="1" x14ac:dyDescent="0.3">
      <c r="A66" s="61">
        <v>46102</v>
      </c>
      <c r="B66" s="9" t="s">
        <v>385</v>
      </c>
      <c r="C66" s="6" t="str">
        <f>IFERROR(VLOOKUP(B66,Inventario!A:G,2,FALSE()),"")</f>
        <v>Sudadera Bota Recta L Negro</v>
      </c>
      <c r="D66" s="17">
        <f>IFERROR(VLOOKUP(B66,Inventario!A:G,7,FALSE()),"")</f>
        <v>55000</v>
      </c>
      <c r="E66" s="17">
        <f>IFERROR(VLOOKUP(B66,Inventario!A:H,8,FALSE()),"")</f>
        <v>100000</v>
      </c>
      <c r="F66" s="6" t="s">
        <v>430</v>
      </c>
      <c r="L66" s="16"/>
      <c r="M66" s="16"/>
      <c r="N66" s="16"/>
    </row>
    <row r="67" spans="1:14" ht="14.25" customHeight="1" x14ac:dyDescent="0.3">
      <c r="A67" s="61">
        <v>46102</v>
      </c>
      <c r="B67" s="9" t="s">
        <v>267</v>
      </c>
      <c r="C67" s="6" t="str">
        <f>IFERROR(VLOOKUP(B67,Inventario!A:G,2,FALSE()),"")</f>
        <v>Camisa Boxy fit M Negro</v>
      </c>
      <c r="D67" s="17">
        <f>IFERROR(VLOOKUP(B67,Inventario!A:G,7,FALSE()),"")</f>
        <v>37000</v>
      </c>
      <c r="E67" s="17">
        <v>120000</v>
      </c>
      <c r="F67" s="6" t="s">
        <v>433</v>
      </c>
      <c r="G67" s="9" t="s">
        <v>467</v>
      </c>
      <c r="L67" s="16"/>
      <c r="M67" s="16"/>
      <c r="N67" s="16"/>
    </row>
    <row r="68" spans="1:14" ht="14.25" customHeight="1" x14ac:dyDescent="0.3">
      <c r="A68" s="61">
        <v>46102</v>
      </c>
      <c r="B68" s="9" t="s">
        <v>215</v>
      </c>
      <c r="C68" s="6" t="str">
        <f>IFERROR(VLOOKUP(B68,Inventario!A:G,2,FALSE()),"")</f>
        <v>Camisa Oversize Peruana L Blanco</v>
      </c>
      <c r="D68" s="17">
        <f>IFERROR(VLOOKUP(B68,Inventario!A:G,7,FALSE()),"")</f>
        <v>37000</v>
      </c>
      <c r="E68" s="17">
        <v>120000</v>
      </c>
      <c r="F68" s="6" t="s">
        <v>433</v>
      </c>
      <c r="G68" s="9" t="s">
        <v>468</v>
      </c>
      <c r="L68" s="16"/>
      <c r="M68" s="16"/>
      <c r="N68" s="16"/>
    </row>
    <row r="69" spans="1:14" ht="14.25" customHeight="1" x14ac:dyDescent="0.3">
      <c r="A69" s="61">
        <v>46102</v>
      </c>
      <c r="B69" s="9" t="s">
        <v>205</v>
      </c>
      <c r="C69" s="6" t="str">
        <f>IFERROR(VLOOKUP(B69,Inventario!A:G,2,FALSE()),"")</f>
        <v>Camisa Oversize Peruana L Negro</v>
      </c>
      <c r="D69" s="17">
        <f>IFERROR(VLOOKUP(B69,Inventario!A:G,7,FALSE()),"")</f>
        <v>37000</v>
      </c>
      <c r="E69" s="17">
        <v>120000</v>
      </c>
      <c r="F69" s="6" t="s">
        <v>433</v>
      </c>
      <c r="G69" s="9" t="s">
        <v>468</v>
      </c>
      <c r="L69" s="16"/>
      <c r="M69" s="16"/>
      <c r="N69" s="16"/>
    </row>
    <row r="70" spans="1:14" ht="14.25" customHeight="1" x14ac:dyDescent="0.3">
      <c r="A70" s="61">
        <v>46102</v>
      </c>
      <c r="B70" s="9" t="s">
        <v>311</v>
      </c>
      <c r="C70" s="6" t="str">
        <f>IFERROR(VLOOKUP(B70,Inventario!A:G,2,FALSE()),"")</f>
        <v>Buzo Cuello Redondo Oversized M Negro</v>
      </c>
      <c r="D70" s="17">
        <f>IFERROR(VLOOKUP(B70,Inventario!A:G,7,FALSE()),"")</f>
        <v>55000</v>
      </c>
      <c r="E70" s="17">
        <v>98000</v>
      </c>
      <c r="F70" s="6" t="s">
        <v>433</v>
      </c>
      <c r="G70" s="9" t="s">
        <v>468</v>
      </c>
      <c r="L70" s="16"/>
      <c r="M70" s="16"/>
      <c r="N70" s="16"/>
    </row>
    <row r="71" spans="1:14" ht="14.25" customHeight="1" x14ac:dyDescent="0.3">
      <c r="A71" s="61">
        <v>46102</v>
      </c>
      <c r="B71" s="9" t="s">
        <v>217</v>
      </c>
      <c r="C71" s="6" t="str">
        <f>IFERROR(VLOOKUP(B71,Inventario!A:G,2,FALSE()),"")</f>
        <v>Camisa Oversize Peruana XL Blanco</v>
      </c>
      <c r="D71" s="17">
        <f>IFERROR(VLOOKUP(B71,Inventario!A:G,7,FALSE()),"")</f>
        <v>37000</v>
      </c>
      <c r="E71" s="17">
        <v>103000</v>
      </c>
      <c r="F71" s="6" t="s">
        <v>433</v>
      </c>
      <c r="G71" s="9" t="s">
        <v>469</v>
      </c>
      <c r="L71" s="16"/>
      <c r="M71" s="16"/>
      <c r="N71" s="16"/>
    </row>
    <row r="72" spans="1:14" ht="14.25" customHeight="1" x14ac:dyDescent="0.3">
      <c r="A72" s="61">
        <v>46102</v>
      </c>
      <c r="B72" s="9" t="s">
        <v>283</v>
      </c>
      <c r="C72" s="6" t="str">
        <f>IFERROR(VLOOKUP(B72,Inventario!A:G,2,FALSE()),"")</f>
        <v>Hoodie L Acid Wash Gris</v>
      </c>
      <c r="D72" s="17">
        <f>IFERROR(VLOOKUP(B72,Inventario!A:G,7,FALSE()),"")</f>
        <v>120000</v>
      </c>
      <c r="E72" s="17">
        <v>171000</v>
      </c>
      <c r="F72" s="6" t="s">
        <v>427</v>
      </c>
      <c r="G72" s="9" t="s">
        <v>470</v>
      </c>
      <c r="H72" s="9" t="s">
        <v>429</v>
      </c>
      <c r="L72" s="16"/>
      <c r="M72" s="16"/>
      <c r="N72" s="16"/>
    </row>
    <row r="73" spans="1:14" ht="14.25" customHeight="1" x14ac:dyDescent="0.3">
      <c r="A73" s="61">
        <v>46102</v>
      </c>
      <c r="B73" s="9" t="s">
        <v>283</v>
      </c>
      <c r="C73" s="6" t="str">
        <f>IFERROR(VLOOKUP(B73,Inventario!A:G,2,FALSE()),"")</f>
        <v>Hoodie L Acid Wash Gris</v>
      </c>
      <c r="D73" s="17">
        <f>IFERROR(VLOOKUP(B73,Inventario!A:G,7,FALSE()),"")</f>
        <v>120000</v>
      </c>
      <c r="E73" s="17">
        <v>171000</v>
      </c>
      <c r="F73" s="6" t="s">
        <v>427</v>
      </c>
      <c r="G73" s="9" t="s">
        <v>471</v>
      </c>
      <c r="H73" s="9" t="s">
        <v>429</v>
      </c>
      <c r="L73" s="16"/>
      <c r="M73" s="16"/>
      <c r="N73" s="16"/>
    </row>
    <row r="74" spans="1:14" ht="14.25" customHeight="1" x14ac:dyDescent="0.3">
      <c r="A74" s="61">
        <v>46102</v>
      </c>
      <c r="B74" s="9" t="s">
        <v>283</v>
      </c>
      <c r="C74" s="6" t="str">
        <f>IFERROR(VLOOKUP(B74,Inventario!A:G,2,FALSE()),"")</f>
        <v>Hoodie L Acid Wash Gris</v>
      </c>
      <c r="D74" s="17">
        <f>IFERROR(VLOOKUP(B74,Inventario!A:G,7,FALSE()),"")</f>
        <v>120000</v>
      </c>
      <c r="E74" s="17">
        <v>171000</v>
      </c>
      <c r="F74" s="6" t="s">
        <v>427</v>
      </c>
      <c r="G74" s="9" t="s">
        <v>472</v>
      </c>
      <c r="H74" s="9" t="s">
        <v>429</v>
      </c>
      <c r="L74" s="16"/>
      <c r="M74" s="16"/>
      <c r="N74" s="16"/>
    </row>
    <row r="75" spans="1:14" ht="14.25" customHeight="1" x14ac:dyDescent="0.3">
      <c r="A75" s="61">
        <v>46106</v>
      </c>
      <c r="B75" s="9" t="s">
        <v>283</v>
      </c>
      <c r="C75" s="6" t="str">
        <f>IFERROR(VLOOKUP(B75,Inventario!A:G,2,FALSE()),"")</f>
        <v>Hoodie L Acid Wash Gris</v>
      </c>
      <c r="D75" s="17">
        <f>IFERROR(VLOOKUP(B75,Inventario!A:G,7,FALSE()),"")</f>
        <v>120000</v>
      </c>
      <c r="E75" s="17">
        <v>180000</v>
      </c>
      <c r="F75" s="6" t="s">
        <v>430</v>
      </c>
      <c r="G75" s="9" t="s">
        <v>473</v>
      </c>
      <c r="L75" s="16"/>
      <c r="M75" s="16"/>
      <c r="N75" s="16"/>
    </row>
    <row r="76" spans="1:14" ht="14.25" customHeight="1" x14ac:dyDescent="0.3">
      <c r="A76" s="61">
        <v>46109</v>
      </c>
      <c r="B76" s="9" t="s">
        <v>406</v>
      </c>
      <c r="C76" s="6" t="str">
        <f>IFERROR(VLOOKUP(B76,Inventario!A:G,2,FALSE()),"")</f>
        <v>Pantaloneta M Beige</v>
      </c>
      <c r="D76" s="17">
        <f>IFERROR(VLOOKUP(B76,Inventario!A:G,7,FALSE()),"")</f>
        <v>45000</v>
      </c>
      <c r="E76" s="17">
        <v>100000</v>
      </c>
      <c r="F76" s="6" t="s">
        <v>427</v>
      </c>
      <c r="G76" s="9" t="s">
        <v>474</v>
      </c>
      <c r="H76" s="9" t="s">
        <v>429</v>
      </c>
      <c r="L76" s="16"/>
      <c r="M76" s="16"/>
      <c r="N76" s="16"/>
    </row>
    <row r="77" spans="1:14" ht="14.25" customHeight="1" x14ac:dyDescent="0.3">
      <c r="A77" s="61">
        <v>46111</v>
      </c>
      <c r="B77" s="9" t="s">
        <v>356</v>
      </c>
      <c r="C77" s="6" t="str">
        <f>IFERROR(VLOOKUP(B77,Inventario!A:G,2,FALSE()),"")</f>
        <v>Chaqueta Cortavientos XL Negro</v>
      </c>
      <c r="D77" s="17">
        <f>IFERROR(VLOOKUP(B77,Inventario!A:G,7,FALSE()),"")</f>
        <v>40000</v>
      </c>
      <c r="E77" s="17">
        <f>IFERROR(VLOOKUP(B77,Inventario!A:H,8,FALSE()),"")</f>
        <v>110000</v>
      </c>
      <c r="F77" s="6" t="s">
        <v>427</v>
      </c>
      <c r="H77" s="9" t="s">
        <v>429</v>
      </c>
      <c r="L77" s="16"/>
      <c r="M77" s="16"/>
      <c r="N77" s="16"/>
    </row>
    <row r="78" spans="1:14" ht="14.25" customHeight="1" x14ac:dyDescent="0.3">
      <c r="A78" s="61">
        <v>46111</v>
      </c>
      <c r="B78" s="9" t="s">
        <v>389</v>
      </c>
      <c r="C78" s="6" t="str">
        <f>IFERROR(VLOOKUP(B78,Inventario!A:G,2,FALSE()),"")</f>
        <v>Sudadera Bota Recta S Beige</v>
      </c>
      <c r="D78" s="17">
        <f>IFERROR(VLOOKUP(B78,Inventario!A:G,7,FALSE()),"")</f>
        <v>55000</v>
      </c>
      <c r="E78" s="17">
        <f>IFERROR(VLOOKUP(B78,Inventario!A:H,8,FALSE()),"")</f>
        <v>100000</v>
      </c>
      <c r="F78" s="6" t="s">
        <v>430</v>
      </c>
      <c r="G78" s="9" t="s">
        <v>474</v>
      </c>
      <c r="L78" s="16"/>
      <c r="M78" s="16"/>
      <c r="N78" s="16"/>
    </row>
    <row r="79" spans="1:14" ht="14.25" customHeight="1" x14ac:dyDescent="0.3">
      <c r="A79" s="61">
        <v>46113</v>
      </c>
      <c r="B79" s="9" t="s">
        <v>221</v>
      </c>
      <c r="C79" s="6" t="str">
        <f>IFERROR(VLOOKUP(B79,Inventario!A:G,2,FALSE()),"")</f>
        <v>Camisa Oversize Peruana M Perla</v>
      </c>
      <c r="D79" s="17">
        <f>IFERROR(VLOOKUP(B79,Inventario!A:G,7,FALSE()),"")</f>
        <v>37000</v>
      </c>
      <c r="E79" s="17">
        <v>120000</v>
      </c>
      <c r="F79" s="6" t="s">
        <v>427</v>
      </c>
      <c r="H79" s="9" t="s">
        <v>475</v>
      </c>
      <c r="L79" s="16"/>
      <c r="M79" s="16"/>
      <c r="N79" s="16"/>
    </row>
    <row r="80" spans="1:14" ht="14.25" customHeight="1" x14ac:dyDescent="0.3">
      <c r="A80" s="61">
        <v>46113</v>
      </c>
      <c r="B80" s="9" t="s">
        <v>320</v>
      </c>
      <c r="C80" s="6" t="str">
        <f>IFERROR(VLOOKUP(B80,Inventario!A:G,2,FALSE()),"")</f>
        <v>Buzo Cuello Redondo Oversized L Beige</v>
      </c>
      <c r="D80" s="17">
        <f>IFERROR(VLOOKUP(B80,Inventario!A:G,7,FALSE()),"")</f>
        <v>55000</v>
      </c>
      <c r="E80" s="17">
        <f>IFERROR(VLOOKUP(B80,Inventario!A:H,8,FALSE()),"")</f>
        <v>120000</v>
      </c>
      <c r="F80" s="6" t="s">
        <v>427</v>
      </c>
      <c r="H80" s="9" t="s">
        <v>429</v>
      </c>
      <c r="L80" s="16"/>
      <c r="M80" s="16"/>
      <c r="N80" s="16"/>
    </row>
    <row r="81" spans="1:14" ht="14.25" customHeight="1" x14ac:dyDescent="0.3">
      <c r="A81" s="61">
        <v>46113</v>
      </c>
      <c r="B81" s="9" t="s">
        <v>420</v>
      </c>
      <c r="C81" s="6" t="str">
        <f>IFERROR(VLOOKUP(B81,Inventario!A:G,2,FALSE()),"")</f>
        <v>Camisa Réplica 1.1</v>
      </c>
      <c r="D81" s="17">
        <f>IFERROR(VLOOKUP(B81,Inventario!A:G,7,FALSE()),"")</f>
        <v>54000</v>
      </c>
      <c r="E81" s="17">
        <f>IFERROR(VLOOKUP(B81,Inventario!A:H,8,FALSE()),"")</f>
        <v>75000</v>
      </c>
      <c r="F81" s="6" t="s">
        <v>430</v>
      </c>
      <c r="L81" s="16"/>
      <c r="M81" s="16"/>
      <c r="N81" s="16"/>
    </row>
    <row r="82" spans="1:14" ht="14.25" customHeight="1" x14ac:dyDescent="0.3">
      <c r="A82" s="61">
        <v>46113</v>
      </c>
      <c r="B82" s="9" t="s">
        <v>420</v>
      </c>
      <c r="C82" s="6" t="str">
        <f>IFERROR(VLOOKUP(B82,Inventario!A:G,2,FALSE()),"")</f>
        <v>Camisa Réplica 1.1</v>
      </c>
      <c r="D82" s="17">
        <f>IFERROR(VLOOKUP(B82,Inventario!A:G,7,FALSE()),"")</f>
        <v>54000</v>
      </c>
      <c r="E82" s="17">
        <f>IFERROR(VLOOKUP(B82,Inventario!A:H,8,FALSE()),"")</f>
        <v>75000</v>
      </c>
      <c r="F82" s="6" t="s">
        <v>427</v>
      </c>
      <c r="H82" s="9" t="s">
        <v>429</v>
      </c>
      <c r="L82" s="16"/>
      <c r="M82" s="16"/>
      <c r="N82" s="16"/>
    </row>
    <row r="83" spans="1:14" ht="14.25" customHeight="1" x14ac:dyDescent="0.3">
      <c r="A83" s="61">
        <v>46118</v>
      </c>
      <c r="B83" s="9" t="s">
        <v>213</v>
      </c>
      <c r="C83" s="6" t="str">
        <f>IFERROR(VLOOKUP(B83,Inventario!A:G,2,FALSE()),"")</f>
        <v>Camisa Oversize Peruana M Blanco</v>
      </c>
      <c r="D83" s="17">
        <f>IFERROR(VLOOKUP(B83,Inventario!A:G,7,FALSE()),"")</f>
        <v>37000</v>
      </c>
      <c r="E83" s="17">
        <v>120000</v>
      </c>
      <c r="F83" s="6" t="s">
        <v>430</v>
      </c>
      <c r="G83" s="9" t="s">
        <v>476</v>
      </c>
      <c r="H83" s="9" t="s">
        <v>477</v>
      </c>
      <c r="L83" s="16"/>
      <c r="M83" s="16"/>
      <c r="N83" s="16"/>
    </row>
    <row r="84" spans="1:14" ht="14.25" customHeight="1" x14ac:dyDescent="0.3">
      <c r="A84" s="61">
        <v>46118</v>
      </c>
      <c r="B84" s="9" t="s">
        <v>275</v>
      </c>
      <c r="C84" s="6" t="str">
        <f>IFERROR(VLOOKUP(B84,Inventario!A:G,2,FALSE()),"")</f>
        <v>Camisa Boxy fit L Blanco</v>
      </c>
      <c r="D84" s="17">
        <f>IFERROR(VLOOKUP(B84,Inventario!A:G,7,FALSE()),"")</f>
        <v>37000</v>
      </c>
      <c r="E84" s="17">
        <v>0</v>
      </c>
      <c r="F84" s="6" t="s">
        <v>430</v>
      </c>
      <c r="H84" s="9" t="s">
        <v>478</v>
      </c>
      <c r="L84" s="16"/>
      <c r="M84" s="16"/>
      <c r="N84" s="16"/>
    </row>
    <row r="85" spans="1:14" ht="14.25" customHeight="1" x14ac:dyDescent="0.3">
      <c r="A85" s="61">
        <v>46118</v>
      </c>
      <c r="B85" s="9" t="s">
        <v>217</v>
      </c>
      <c r="C85" s="6" t="str">
        <f>IFERROR(VLOOKUP(B85,Inventario!A:G,2,FALSE()),"")</f>
        <v>Camisa Oversize Peruana XL Blanco</v>
      </c>
      <c r="D85" s="17">
        <f>IFERROR(VLOOKUP(B85,Inventario!A:G,7,FALSE()),"")</f>
        <v>37000</v>
      </c>
      <c r="E85" s="17">
        <v>0</v>
      </c>
      <c r="F85" s="6" t="s">
        <v>430</v>
      </c>
      <c r="H85" s="9" t="s">
        <v>479</v>
      </c>
      <c r="L85" s="16"/>
      <c r="M85" s="16"/>
      <c r="N85" s="16"/>
    </row>
    <row r="86" spans="1:14" ht="14.25" customHeight="1" x14ac:dyDescent="0.3">
      <c r="A86" s="61">
        <v>46118</v>
      </c>
      <c r="B86" s="9" t="s">
        <v>225</v>
      </c>
      <c r="C86" s="6" t="str">
        <f>IFERROR(VLOOKUP(B86,Inventario!A:G,2,FALSE()),"")</f>
        <v>Camisa Oversize Peruana XL Perla</v>
      </c>
      <c r="D86" s="17">
        <f>IFERROR(VLOOKUP(B86,Inventario!A:G,7,FALSE()),"")</f>
        <v>37000</v>
      </c>
      <c r="E86" s="17">
        <v>0</v>
      </c>
      <c r="F86" s="6" t="s">
        <v>430</v>
      </c>
      <c r="H86" s="9" t="s">
        <v>479</v>
      </c>
      <c r="L86" s="16"/>
      <c r="M86" s="16"/>
      <c r="N86" s="16"/>
    </row>
    <row r="87" spans="1:14" ht="14.25" customHeight="1" x14ac:dyDescent="0.3">
      <c r="A87" s="61">
        <v>46120</v>
      </c>
      <c r="B87" s="9" t="s">
        <v>316</v>
      </c>
      <c r="C87" s="6" t="str">
        <f>IFERROR(VLOOKUP(B87,Inventario!A:G,2,FALSE()),"")</f>
        <v>Buzo Cuello Redondo Oversized XL Negro</v>
      </c>
      <c r="D87" s="17">
        <f>IFERROR(VLOOKUP(B87,Inventario!A:G,7,FALSE()),"")</f>
        <v>55000</v>
      </c>
      <c r="E87" s="17">
        <f>IFERROR(VLOOKUP(B87,Inventario!A:H,8,FALSE()),"")</f>
        <v>120000</v>
      </c>
      <c r="F87" s="6" t="s">
        <v>430</v>
      </c>
      <c r="L87" s="16"/>
      <c r="M87" s="16"/>
      <c r="N87" s="16"/>
    </row>
    <row r="88" spans="1:14" ht="14.25" customHeight="1" x14ac:dyDescent="0.3">
      <c r="A88" s="61">
        <v>46120</v>
      </c>
      <c r="B88" s="9" t="s">
        <v>420</v>
      </c>
      <c r="C88" s="6" t="str">
        <f>IFERROR(VLOOKUP(B88,Inventario!A:G,2,FALSE()),"")</f>
        <v>Camisa Réplica 1.1</v>
      </c>
      <c r="D88" s="17">
        <f>IFERROR(VLOOKUP(B88,Inventario!A:G,7,FALSE()),"")</f>
        <v>54000</v>
      </c>
      <c r="E88" s="17">
        <f>IFERROR(VLOOKUP(B88,Inventario!A:H,8,FALSE()),"")</f>
        <v>75000</v>
      </c>
      <c r="F88" s="6" t="s">
        <v>430</v>
      </c>
      <c r="L88" s="16"/>
      <c r="M88" s="16"/>
      <c r="N88" s="16"/>
    </row>
    <row r="89" spans="1:14" ht="14.25" customHeight="1" x14ac:dyDescent="0.3">
      <c r="A89" s="61">
        <v>46123</v>
      </c>
      <c r="B89" s="9" t="s">
        <v>221</v>
      </c>
      <c r="C89" s="6" t="str">
        <f>IFERROR(VLOOKUP(B89,Inventario!A:G,2,FALSE()),"")</f>
        <v>Camisa Oversize Peruana M Perla</v>
      </c>
      <c r="D89" s="17">
        <f>IFERROR(VLOOKUP(B89,Inventario!A:G,7,FALSE()),"")</f>
        <v>37000</v>
      </c>
      <c r="E89" s="17">
        <f>IFERROR(VLOOKUP(B89,Inventario!A:H,8,FALSE()),"")</f>
        <v>75000</v>
      </c>
      <c r="F89" s="6" t="s">
        <v>430</v>
      </c>
      <c r="L89" s="16"/>
      <c r="M89" s="16"/>
      <c r="N89" s="16"/>
    </row>
    <row r="90" spans="1:14" ht="14.25" customHeight="1" x14ac:dyDescent="0.3">
      <c r="A90" s="61">
        <v>46126</v>
      </c>
      <c r="B90" s="9" t="s">
        <v>420</v>
      </c>
      <c r="C90" s="6" t="str">
        <f>IFERROR(VLOOKUP(B90,Inventario!A:G,2,FALSE()),"")</f>
        <v>Camisa Réplica 1.1</v>
      </c>
      <c r="D90" s="17">
        <f>IFERROR(VLOOKUP(B90,Inventario!A:G,7,FALSE()),"")</f>
        <v>54000</v>
      </c>
      <c r="E90" s="17">
        <f>IFERROR(VLOOKUP(B90,Inventario!A:H,8,FALSE()),"")</f>
        <v>75000</v>
      </c>
      <c r="F90" s="6" t="s">
        <v>427</v>
      </c>
      <c r="G90" s="9" t="s">
        <v>480</v>
      </c>
      <c r="L90" s="16"/>
      <c r="M90" s="16"/>
      <c r="N90" s="16"/>
    </row>
    <row r="91" spans="1:14" ht="14.25" customHeight="1" x14ac:dyDescent="0.3">
      <c r="A91" s="61">
        <v>46126</v>
      </c>
      <c r="B91" s="9" t="s">
        <v>420</v>
      </c>
      <c r="C91" s="6" t="str">
        <f>IFERROR(VLOOKUP(B91,Inventario!A:G,2,FALSE()),"")</f>
        <v>Camisa Réplica 1.1</v>
      </c>
      <c r="D91" s="17">
        <f>IFERROR(VLOOKUP(B91,Inventario!A:G,7,FALSE()),"")</f>
        <v>54000</v>
      </c>
      <c r="E91" s="17">
        <f>IFERROR(VLOOKUP(B91,Inventario!A:H,8,FALSE()),"")</f>
        <v>75000</v>
      </c>
      <c r="F91" s="6" t="s">
        <v>427</v>
      </c>
      <c r="G91" s="9" t="s">
        <v>480</v>
      </c>
      <c r="L91" s="16"/>
      <c r="M91" s="16"/>
      <c r="N91" s="16"/>
    </row>
    <row r="92" spans="1:14" ht="14.25" customHeight="1" x14ac:dyDescent="0.3">
      <c r="A92" s="61">
        <v>46126</v>
      </c>
      <c r="B92" s="9" t="s">
        <v>420</v>
      </c>
      <c r="C92" s="6" t="str">
        <f>IFERROR(VLOOKUP(B92,Inventario!A:G,2,FALSE()),"")</f>
        <v>Camisa Réplica 1.1</v>
      </c>
      <c r="D92" s="17">
        <f>IFERROR(VLOOKUP(B92,Inventario!A:G,7,FALSE()),"")</f>
        <v>54000</v>
      </c>
      <c r="E92" s="17">
        <f>IFERROR(VLOOKUP(B92,Inventario!A:H,8,FALSE()),"")</f>
        <v>75000</v>
      </c>
      <c r="F92" s="6" t="s">
        <v>427</v>
      </c>
      <c r="G92" s="9" t="s">
        <v>480</v>
      </c>
      <c r="L92" s="16"/>
      <c r="M92" s="16"/>
      <c r="N92" s="16"/>
    </row>
    <row r="93" spans="1:14" ht="14.25" customHeight="1" x14ac:dyDescent="0.3">
      <c r="A93" s="61">
        <v>46126</v>
      </c>
      <c r="B93" s="9" t="s">
        <v>420</v>
      </c>
      <c r="C93" s="6" t="str">
        <f>IFERROR(VLOOKUP(B93,Inventario!A:G,2,FALSE()),"")</f>
        <v>Camisa Réplica 1.1</v>
      </c>
      <c r="D93" s="17">
        <f>IFERROR(VLOOKUP(B93,Inventario!A:G,7,FALSE()),"")</f>
        <v>54000</v>
      </c>
      <c r="E93" s="17">
        <f>IFERROR(VLOOKUP(B93,Inventario!A:H,8,FALSE()),"")</f>
        <v>75000</v>
      </c>
      <c r="F93" s="6" t="s">
        <v>427</v>
      </c>
      <c r="G93" s="9" t="s">
        <v>480</v>
      </c>
      <c r="L93" s="16"/>
      <c r="M93" s="16"/>
      <c r="N93" s="16"/>
    </row>
    <row r="94" spans="1:14" ht="14.25" customHeight="1" x14ac:dyDescent="0.3">
      <c r="A94" s="61">
        <v>46126</v>
      </c>
      <c r="B94" s="9" t="s">
        <v>314</v>
      </c>
      <c r="C94" s="6" t="str">
        <f>IFERROR(VLOOKUP(B94,Inventario!A:G,2,FALSE()),"")</f>
        <v>Buzo Cuello Redondo Oversized L Negro</v>
      </c>
      <c r="D94" s="17">
        <f>IFERROR(VLOOKUP(B94,Inventario!A:G,7,FALSE()),"")</f>
        <v>55000</v>
      </c>
      <c r="E94" s="17">
        <v>100000</v>
      </c>
      <c r="F94" s="6" t="s">
        <v>427</v>
      </c>
      <c r="G94" s="9" t="s">
        <v>480</v>
      </c>
      <c r="L94" s="16"/>
      <c r="M94" s="16"/>
      <c r="N94" s="16"/>
    </row>
    <row r="95" spans="1:14" ht="14.25" customHeight="1" x14ac:dyDescent="0.3">
      <c r="A95" s="61">
        <v>46126</v>
      </c>
      <c r="B95" s="9" t="s">
        <v>412</v>
      </c>
      <c r="C95" s="6" t="str">
        <f>IFERROR(VLOOKUP(B95,Inventario!A:G,2,FALSE()),"")</f>
        <v>Pantaloneta M Café</v>
      </c>
      <c r="D95" s="17">
        <f>IFERROR(VLOOKUP(B95,Inventario!A:G,7,FALSE()),"")</f>
        <v>45000</v>
      </c>
      <c r="E95" s="17">
        <v>68000</v>
      </c>
      <c r="F95" s="6" t="s">
        <v>430</v>
      </c>
      <c r="G95" s="9" t="s">
        <v>480</v>
      </c>
      <c r="L95" s="16"/>
      <c r="M95" s="16"/>
      <c r="N95" s="16"/>
    </row>
    <row r="96" spans="1:14" ht="14.25" customHeight="1" x14ac:dyDescent="0.3">
      <c r="A96" s="61">
        <v>46127</v>
      </c>
      <c r="B96" s="9" t="s">
        <v>314</v>
      </c>
      <c r="C96" s="6" t="str">
        <f>IFERROR(VLOOKUP(B96,Inventario!A:G,2,FALSE()),"")</f>
        <v>Buzo Cuello Redondo Oversized L Negro</v>
      </c>
      <c r="D96" s="17">
        <f>IFERROR(VLOOKUP(B96,Inventario!A:G,7,FALSE()),"")</f>
        <v>55000</v>
      </c>
      <c r="E96" s="17">
        <f>IFERROR(VLOOKUP(B96,Inventario!A:H,8,FALSE()),"")</f>
        <v>120000</v>
      </c>
      <c r="F96" s="6" t="s">
        <v>427</v>
      </c>
      <c r="L96" s="16"/>
      <c r="M96" s="16"/>
      <c r="N96" s="16"/>
    </row>
    <row r="97" spans="1:14" ht="14.25" customHeight="1" x14ac:dyDescent="0.3">
      <c r="A97" s="61">
        <v>46128</v>
      </c>
      <c r="B97" s="9" t="s">
        <v>254</v>
      </c>
      <c r="C97" s="6" t="str">
        <f>IFERROR(VLOOKUP(B97,Inventario!A:G,2,FALSE()),"")</f>
        <v>Camisa Regular Peruana M Acid Wash</v>
      </c>
      <c r="D97" s="17">
        <f>IFERROR(VLOOKUP(B97,Inventario!A:G,7,FALSE()),"")</f>
        <v>36000</v>
      </c>
      <c r="E97" s="17">
        <v>85000</v>
      </c>
      <c r="F97" s="6" t="s">
        <v>427</v>
      </c>
      <c r="H97" s="9"/>
      <c r="L97" s="16"/>
      <c r="M97" s="16"/>
      <c r="N97" s="16"/>
    </row>
    <row r="98" spans="1:14" ht="14.25" customHeight="1" x14ac:dyDescent="0.3">
      <c r="A98" s="61">
        <v>46129</v>
      </c>
      <c r="B98" s="9" t="s">
        <v>211</v>
      </c>
      <c r="C98" s="6" t="str">
        <f>IFERROR(VLOOKUP(B98,Inventario!A:G,2,FALSE()),"")</f>
        <v>Camisa Oversize Peruana S Blanco</v>
      </c>
      <c r="D98" s="17">
        <f>IFERROR(VLOOKUP(B98,Inventario!A:G,7,FALSE()),"")</f>
        <v>37000</v>
      </c>
      <c r="E98" s="17">
        <v>120000</v>
      </c>
      <c r="F98" s="6" t="s">
        <v>430</v>
      </c>
      <c r="L98" s="16"/>
      <c r="M98" s="16"/>
      <c r="N98" s="16"/>
    </row>
    <row r="99" spans="1:14" ht="14.25" customHeight="1" x14ac:dyDescent="0.3">
      <c r="A99" s="61">
        <v>46129</v>
      </c>
      <c r="B99" s="9" t="s">
        <v>213</v>
      </c>
      <c r="C99" s="6" t="str">
        <f>IFERROR(VLOOKUP(B99,Inventario!A:G,2,FALSE()),"")</f>
        <v>Camisa Oversize Peruana M Blanco</v>
      </c>
      <c r="D99" s="17">
        <f>IFERROR(VLOOKUP(B99,Inventario!A:G,7,FALSE()),"")</f>
        <v>37000</v>
      </c>
      <c r="E99" s="17">
        <f>IFERROR(VLOOKUP(B99,Inventario!A:H,8,FALSE()),"")</f>
        <v>75000</v>
      </c>
      <c r="F99" s="6" t="s">
        <v>427</v>
      </c>
      <c r="L99" s="16"/>
      <c r="M99" s="16"/>
      <c r="N99" s="16"/>
    </row>
    <row r="100" spans="1:14" ht="14.25" customHeight="1" x14ac:dyDescent="0.3">
      <c r="A100" s="61">
        <v>46129</v>
      </c>
      <c r="B100" s="9" t="s">
        <v>225</v>
      </c>
      <c r="C100" s="6" t="str">
        <f>IFERROR(VLOOKUP(B100,Inventario!A:G,2,FALSE()),"")</f>
        <v>Camisa Oversize Peruana XL Perla</v>
      </c>
      <c r="D100" s="17">
        <f>IFERROR(VLOOKUP(B100,Inventario!A:G,7,FALSE()),"")</f>
        <v>37000</v>
      </c>
      <c r="E100" s="17">
        <v>37000</v>
      </c>
      <c r="F100" s="6" t="s">
        <v>427</v>
      </c>
      <c r="H100" s="9" t="s">
        <v>481</v>
      </c>
      <c r="L100" s="16"/>
      <c r="M100" s="16"/>
      <c r="N100" s="16"/>
    </row>
    <row r="101" spans="1:14" ht="14.25" customHeight="1" x14ac:dyDescent="0.3">
      <c r="A101" s="61">
        <v>46130</v>
      </c>
      <c r="B101" s="9" t="s">
        <v>197</v>
      </c>
      <c r="C101" s="6" t="str">
        <f>IFERROR(VLOOKUP(B101,Inventario!A:G,2,FALSE()),"")</f>
        <v>Camisa Oversize Peruana S Negro</v>
      </c>
      <c r="D101" s="17">
        <f>IFERROR(VLOOKUP(B101,Inventario!A:G,7,FALSE()),"")</f>
        <v>37000</v>
      </c>
      <c r="E101" s="17">
        <f>IFERROR(VLOOKUP(B101,Inventario!A:H,8,FALSE()),"")</f>
        <v>75000</v>
      </c>
      <c r="F101" s="6" t="s">
        <v>430</v>
      </c>
      <c r="L101" s="16"/>
      <c r="M101" s="16"/>
      <c r="N101" s="16"/>
    </row>
    <row r="102" spans="1:14" ht="14.25" customHeight="1" x14ac:dyDescent="0.3">
      <c r="A102" s="61">
        <v>46130</v>
      </c>
      <c r="B102" s="9" t="s">
        <v>372</v>
      </c>
      <c r="C102" s="6" t="str">
        <f>IFERROR(VLOOKUP(B102,Inventario!A:G,2,FALSE()),"")</f>
        <v>Chaqueta Cortavientos L Mostaza/Negro</v>
      </c>
      <c r="D102" s="17">
        <f>IFERROR(VLOOKUP(B102,Inventario!A:G,7,FALSE()),"")</f>
        <v>40000</v>
      </c>
      <c r="E102" s="17">
        <f>IFERROR(VLOOKUP(B102,Inventario!A:H,8,FALSE()),"")</f>
        <v>110000</v>
      </c>
      <c r="F102" s="6" t="s">
        <v>433</v>
      </c>
      <c r="L102" s="16"/>
      <c r="M102" s="16"/>
      <c r="N102" s="16"/>
    </row>
    <row r="103" spans="1:14" ht="14.25" customHeight="1" x14ac:dyDescent="0.3">
      <c r="A103" s="61">
        <v>46132</v>
      </c>
      <c r="B103" s="9" t="s">
        <v>205</v>
      </c>
      <c r="C103" s="6" t="str">
        <f>IFERROR(VLOOKUP(B103,Inventario!A:G,2,FALSE()),"")</f>
        <v>Camisa Oversize Peruana L Negro</v>
      </c>
      <c r="D103" s="17">
        <f>IFERROR(VLOOKUP(B103,Inventario!A:G,7,FALSE()),"")</f>
        <v>37000</v>
      </c>
      <c r="E103" s="17">
        <v>120000</v>
      </c>
      <c r="F103" s="6" t="s">
        <v>430</v>
      </c>
      <c r="H103" s="9" t="s">
        <v>482</v>
      </c>
      <c r="L103" s="16"/>
      <c r="M103" s="16"/>
      <c r="N103" s="16"/>
    </row>
    <row r="104" spans="1:14" ht="14.25" customHeight="1" x14ac:dyDescent="0.3">
      <c r="A104" s="61">
        <v>46133</v>
      </c>
      <c r="B104" s="9" t="s">
        <v>372</v>
      </c>
      <c r="C104" s="6" t="str">
        <f>IFERROR(VLOOKUP(B104,Inventario!A:G,2,FALSE()),"")</f>
        <v>Chaqueta Cortavientos L Mostaza/Negro</v>
      </c>
      <c r="D104" s="17">
        <f>IFERROR(VLOOKUP(B104,Inventario!A:G,7,FALSE()),"")</f>
        <v>40000</v>
      </c>
      <c r="E104" s="17">
        <v>100000</v>
      </c>
      <c r="F104" s="6" t="s">
        <v>427</v>
      </c>
      <c r="G104" s="9" t="s">
        <v>483</v>
      </c>
      <c r="L104" s="16"/>
      <c r="M104" s="16"/>
      <c r="N104" s="16"/>
    </row>
    <row r="105" spans="1:14" ht="14.25" customHeight="1" x14ac:dyDescent="0.3">
      <c r="A105" s="61">
        <v>46134</v>
      </c>
      <c r="B105" s="9" t="s">
        <v>225</v>
      </c>
      <c r="C105" s="6" t="str">
        <f>IFERROR(VLOOKUP(B105,Inventario!A:G,2,FALSE()),"")</f>
        <v>Camisa Oversize Peruana XL Perla</v>
      </c>
      <c r="D105" s="17">
        <f>IFERROR(VLOOKUP(B105,Inventario!A:G,7,FALSE()),"")</f>
        <v>37000</v>
      </c>
      <c r="E105" s="17">
        <f>IFERROR(VLOOKUP(B105,Inventario!A:H,8,FALSE()),"")</f>
        <v>75000</v>
      </c>
      <c r="F105" s="6" t="s">
        <v>430</v>
      </c>
      <c r="G105" s="9" t="s">
        <v>484</v>
      </c>
      <c r="L105" s="16"/>
      <c r="M105" s="16"/>
      <c r="N105" s="16"/>
    </row>
    <row r="106" spans="1:14" ht="14.25" customHeight="1" x14ac:dyDescent="0.3">
      <c r="A106" s="61">
        <v>46135</v>
      </c>
      <c r="B106" s="9" t="s">
        <v>213</v>
      </c>
      <c r="C106" s="6" t="str">
        <f>IFERROR(VLOOKUP(B106,Inventario!A:G,2,FALSE()),"")</f>
        <v>Camisa Oversize Peruana M Blanco</v>
      </c>
      <c r="D106" s="17">
        <f>IFERROR(VLOOKUP(B106,Inventario!A:G,7,FALSE()),"")</f>
        <v>37000</v>
      </c>
      <c r="E106" s="17">
        <v>120000</v>
      </c>
      <c r="F106" s="6" t="s">
        <v>430</v>
      </c>
      <c r="H106" s="9" t="s">
        <v>485</v>
      </c>
      <c r="L106" s="16"/>
      <c r="M106" s="16"/>
      <c r="N106" s="16"/>
    </row>
    <row r="107" spans="1:14" ht="14.25" customHeight="1" x14ac:dyDescent="0.3">
      <c r="A107" s="61">
        <v>46135</v>
      </c>
      <c r="B107" s="9" t="s">
        <v>378</v>
      </c>
      <c r="C107" s="6" t="str">
        <f>IFERROR(VLOOKUP(B107,Inventario!A:G,2,FALSE()),"")</f>
        <v>Chaqueta Cortavientos L Gris Claro/Negro</v>
      </c>
      <c r="D107" s="17">
        <f>IFERROR(VLOOKUP(B107,Inventario!A:G,7,FALSE()),"")</f>
        <v>40000</v>
      </c>
      <c r="E107" s="17">
        <f>IFERROR(VLOOKUP(B107,Inventario!A:H,8,FALSE()),"")</f>
        <v>110000</v>
      </c>
      <c r="F107" s="6" t="s">
        <v>427</v>
      </c>
      <c r="L107" s="16"/>
      <c r="M107" s="16"/>
      <c r="N107" s="16"/>
    </row>
    <row r="108" spans="1:14" ht="14.25" customHeight="1" x14ac:dyDescent="0.3">
      <c r="A108" s="61">
        <v>46140</v>
      </c>
      <c r="B108" s="9" t="s">
        <v>368</v>
      </c>
      <c r="C108" s="6" t="str">
        <f>IFERROR(VLOOKUP(B108,Inventario!A:G,2,FALSE()),"")</f>
        <v>Chaqueta Cortavientos L Gris Oscuro</v>
      </c>
      <c r="D108" s="17">
        <f>IFERROR(VLOOKUP(B108,Inventario!A:G,7,FALSE()),"")</f>
        <v>40000</v>
      </c>
      <c r="E108" s="17">
        <f>IFERROR(VLOOKUP(B108,Inventario!A:H,8,FALSE()),"")</f>
        <v>110000</v>
      </c>
      <c r="F108" s="6" t="s">
        <v>427</v>
      </c>
      <c r="L108" s="16"/>
      <c r="M108" s="16"/>
      <c r="N108" s="16"/>
    </row>
    <row r="109" spans="1:14" ht="14.25" customHeight="1" x14ac:dyDescent="0.3">
      <c r="A109" s="61">
        <v>46140</v>
      </c>
      <c r="B109" s="59"/>
      <c r="C109" s="62" t="str">
        <f>IFERROR(VLOOKUP(B109,Inventario!A:G,2,FALSE()),"")</f>
        <v/>
      </c>
      <c r="D109" s="63" t="str">
        <f>IFERROR(VLOOKUP(B109,Inventario!A:G,7,FALSE()),"")</f>
        <v/>
      </c>
      <c r="E109" s="17">
        <v>25000</v>
      </c>
      <c r="F109" s="6" t="s">
        <v>427</v>
      </c>
      <c r="H109" s="59" t="s">
        <v>486</v>
      </c>
      <c r="L109" s="16"/>
      <c r="M109" s="16"/>
      <c r="N109" s="16"/>
    </row>
    <row r="110" spans="1:14" ht="14.25" customHeight="1" x14ac:dyDescent="0.3">
      <c r="A110" s="61">
        <v>46140</v>
      </c>
      <c r="B110" s="59"/>
      <c r="C110" s="62" t="str">
        <f>IFERROR(VLOOKUP(B110,Inventario!A:G,2,FALSE()),"")</f>
        <v/>
      </c>
      <c r="D110" s="63" t="str">
        <f>IFERROR(VLOOKUP(B110,Inventario!A:G,7,FALSE()),"")</f>
        <v/>
      </c>
      <c r="E110" s="17">
        <v>350000</v>
      </c>
      <c r="F110" s="6" t="s">
        <v>427</v>
      </c>
      <c r="H110" s="59" t="s">
        <v>487</v>
      </c>
      <c r="L110" s="16"/>
      <c r="M110" s="16"/>
      <c r="N110" s="16"/>
    </row>
    <row r="111" spans="1:14" ht="14.25" customHeight="1" x14ac:dyDescent="0.3">
      <c r="A111" s="61">
        <v>46141</v>
      </c>
      <c r="B111" s="9" t="s">
        <v>215</v>
      </c>
      <c r="C111" s="6" t="str">
        <f>IFERROR(VLOOKUP(B111,Inventario!A:G,2,FALSE()),"")</f>
        <v>Camisa Oversize Peruana L Blanco</v>
      </c>
      <c r="D111" s="17">
        <f>IFERROR(VLOOKUP(B111,Inventario!A:G,7,FALSE()),"")</f>
        <v>37000</v>
      </c>
      <c r="E111" s="17">
        <v>120000</v>
      </c>
      <c r="F111" s="6" t="s">
        <v>430</v>
      </c>
      <c r="H111" s="9" t="s">
        <v>485</v>
      </c>
      <c r="L111" s="16"/>
      <c r="M111" s="16"/>
      <c r="N111" s="16"/>
    </row>
    <row r="112" spans="1:14" ht="14.25" customHeight="1" x14ac:dyDescent="0.3">
      <c r="A112" s="61">
        <v>46141</v>
      </c>
      <c r="B112" s="9" t="s">
        <v>213</v>
      </c>
      <c r="C112" s="6" t="str">
        <f>IFERROR(VLOOKUP(B112,Inventario!A:G,2,FALSE()),"")</f>
        <v>Camisa Oversize Peruana M Blanco</v>
      </c>
      <c r="D112" s="17">
        <f>IFERROR(VLOOKUP(B112,Inventario!A:G,7,FALSE()),"")</f>
        <v>37000</v>
      </c>
      <c r="E112" s="17">
        <v>120000</v>
      </c>
      <c r="F112" s="6" t="s">
        <v>430</v>
      </c>
      <c r="H112" s="9" t="s">
        <v>477</v>
      </c>
      <c r="L112" s="16"/>
      <c r="M112" s="16"/>
      <c r="N112" s="16"/>
    </row>
    <row r="113" spans="1:14" ht="14.25" customHeight="1" x14ac:dyDescent="0.3">
      <c r="A113" s="61"/>
      <c r="D113" s="17" t="str">
        <f>IFERROR(VLOOKUP(B113,Inventario!A:G,7,FALSE()),"")</f>
        <v/>
      </c>
      <c r="E113" s="17" t="str">
        <f>IFERROR(VLOOKUP(B113,Inventario!A:H,8,FALSE()),"")</f>
        <v/>
      </c>
      <c r="F113" s="6"/>
      <c r="L113" s="16"/>
      <c r="M113" s="16"/>
      <c r="N113" s="16"/>
    </row>
    <row r="114" spans="1:14" ht="14.25" customHeight="1" x14ac:dyDescent="0.3">
      <c r="A114" s="61"/>
      <c r="D114" s="17" t="str">
        <f>IFERROR(VLOOKUP(B114,Inventario!A:G,7,FALSE()),"")</f>
        <v/>
      </c>
      <c r="E114" s="17" t="str">
        <f>IFERROR(VLOOKUP(B114,Inventario!A:H,8,FALSE()),"")</f>
        <v/>
      </c>
      <c r="F114" s="6"/>
      <c r="L114" s="16"/>
      <c r="M114" s="16"/>
      <c r="N114" s="16"/>
    </row>
    <row r="115" spans="1:14" ht="14.25" customHeight="1" x14ac:dyDescent="0.3">
      <c r="A115" s="61"/>
      <c r="D115" s="17" t="str">
        <f>IFERROR(VLOOKUP(B115,Inventario!A:G,7,FALSE()),"")</f>
        <v/>
      </c>
      <c r="E115" s="17" t="str">
        <f>IFERROR(VLOOKUP(B115,Inventario!A:H,8,FALSE()),"")</f>
        <v/>
      </c>
      <c r="F115" s="6"/>
      <c r="L115" s="16"/>
      <c r="M115" s="16"/>
      <c r="N115" s="16"/>
    </row>
    <row r="116" spans="1:14" ht="14.25" customHeight="1" x14ac:dyDescent="0.3">
      <c r="A116" s="61"/>
      <c r="D116" s="17" t="str">
        <f>IFERROR(VLOOKUP(B116,Inventario!A:G,7,FALSE()),"")</f>
        <v/>
      </c>
      <c r="E116" s="17" t="str">
        <f>IFERROR(VLOOKUP(B116,Inventario!A:H,8,FALSE()),"")</f>
        <v/>
      </c>
      <c r="F116" s="6"/>
      <c r="L116" s="16"/>
      <c r="M116" s="16"/>
      <c r="N116" s="16"/>
    </row>
    <row r="117" spans="1:14" ht="14.25" customHeight="1" x14ac:dyDescent="0.3">
      <c r="A117" s="61"/>
      <c r="D117" s="17" t="str">
        <f>IFERROR(VLOOKUP(B117,Inventario!A:G,7,FALSE()),"")</f>
        <v/>
      </c>
      <c r="E117" s="17" t="str">
        <f>IFERROR(VLOOKUP(B117,Inventario!A:H,8,FALSE()),"")</f>
        <v/>
      </c>
      <c r="F117" s="6"/>
      <c r="L117" s="16"/>
      <c r="M117" s="16"/>
      <c r="N117" s="16"/>
    </row>
    <row r="118" spans="1:14" ht="14.25" customHeight="1" x14ac:dyDescent="0.3">
      <c r="A118" s="61"/>
      <c r="F118" s="6"/>
      <c r="L118" s="16"/>
      <c r="M118" s="16"/>
      <c r="N118" s="16"/>
    </row>
    <row r="119" spans="1:14" ht="14.25" customHeight="1" x14ac:dyDescent="0.3">
      <c r="A119" s="61"/>
      <c r="F119" s="6"/>
      <c r="L119" s="16"/>
      <c r="M119" s="16"/>
      <c r="N119" s="16"/>
    </row>
    <row r="120" spans="1:14" ht="14.25" customHeight="1" x14ac:dyDescent="0.3">
      <c r="A120" s="61"/>
      <c r="F120" s="6"/>
      <c r="L120" s="16"/>
      <c r="M120" s="16"/>
      <c r="N120" s="16"/>
    </row>
    <row r="121" spans="1:14" ht="14.25" customHeight="1" x14ac:dyDescent="0.3">
      <c r="A121" s="61"/>
      <c r="F121" s="6"/>
      <c r="L121" s="16"/>
      <c r="M121" s="16"/>
      <c r="N121" s="16"/>
    </row>
    <row r="122" spans="1:14" ht="14.25" customHeight="1" x14ac:dyDescent="0.3">
      <c r="A122" s="61"/>
      <c r="F122" s="6"/>
      <c r="L122" s="16"/>
      <c r="M122" s="16"/>
      <c r="N122" s="16"/>
    </row>
    <row r="123" spans="1:14" ht="14.25" customHeight="1" x14ac:dyDescent="0.3">
      <c r="A123" s="61"/>
      <c r="F123" s="6"/>
      <c r="L123" s="16"/>
      <c r="M123" s="16"/>
      <c r="N123" s="16"/>
    </row>
    <row r="124" spans="1:14" ht="14.25" customHeight="1" x14ac:dyDescent="0.3">
      <c r="A124" s="61"/>
      <c r="F124" s="6"/>
      <c r="L124" s="16"/>
      <c r="M124" s="16"/>
      <c r="N124" s="16"/>
    </row>
    <row r="125" spans="1:14" ht="14.25" customHeight="1" x14ac:dyDescent="0.3">
      <c r="A125" s="61"/>
      <c r="F125" s="6"/>
      <c r="L125" s="16"/>
      <c r="M125" s="16"/>
      <c r="N125" s="16"/>
    </row>
    <row r="126" spans="1:14" ht="14.25" customHeight="1" x14ac:dyDescent="0.3">
      <c r="F126" s="6"/>
      <c r="L126" s="16"/>
      <c r="M126" s="16"/>
      <c r="N126" s="16"/>
    </row>
    <row r="127" spans="1:14" ht="14.25" customHeight="1" x14ac:dyDescent="0.3">
      <c r="F127" s="6"/>
      <c r="L127" s="16"/>
      <c r="M127" s="16"/>
      <c r="N127" s="16"/>
    </row>
    <row r="128" spans="1:14" ht="14.25" customHeight="1" x14ac:dyDescent="0.3">
      <c r="F128" s="6"/>
      <c r="L128" s="16"/>
      <c r="M128" s="16"/>
      <c r="N128" s="16"/>
    </row>
    <row r="129" spans="6:14" ht="14.25" customHeight="1" x14ac:dyDescent="0.3">
      <c r="F129" s="6"/>
      <c r="L129" s="16"/>
      <c r="M129" s="16"/>
      <c r="N129" s="16"/>
    </row>
    <row r="130" spans="6:14" ht="14.25" customHeight="1" x14ac:dyDescent="0.3">
      <c r="F130" s="6"/>
      <c r="L130" s="16"/>
      <c r="M130" s="16"/>
      <c r="N130" s="16"/>
    </row>
    <row r="131" spans="6:14" ht="14.25" customHeight="1" x14ac:dyDescent="0.3">
      <c r="F131" s="6"/>
      <c r="L131" s="16"/>
      <c r="M131" s="16"/>
      <c r="N131" s="16"/>
    </row>
    <row r="132" spans="6:14" ht="14.25" customHeight="1" x14ac:dyDescent="0.3">
      <c r="F132" s="6"/>
      <c r="L132" s="16"/>
      <c r="M132" s="16"/>
      <c r="N132" s="16"/>
    </row>
    <row r="133" spans="6:14" ht="14.25" customHeight="1" x14ac:dyDescent="0.3">
      <c r="F133" s="6"/>
      <c r="L133" s="16"/>
      <c r="M133" s="16"/>
      <c r="N133" s="16"/>
    </row>
    <row r="134" spans="6:14" ht="14.25" customHeight="1" x14ac:dyDescent="0.3">
      <c r="F134" s="6"/>
      <c r="L134" s="16"/>
      <c r="M134" s="16"/>
      <c r="N134" s="16"/>
    </row>
    <row r="135" spans="6:14" ht="14.25" customHeight="1" x14ac:dyDescent="0.3">
      <c r="F135" s="6"/>
      <c r="L135" s="16"/>
      <c r="M135" s="16"/>
      <c r="N135" s="16"/>
    </row>
    <row r="136" spans="6:14" ht="14.25" customHeight="1" x14ac:dyDescent="0.3">
      <c r="F136" s="6"/>
      <c r="L136" s="16"/>
      <c r="M136" s="16"/>
      <c r="N136" s="16"/>
    </row>
    <row r="137" spans="6:14" ht="14.25" customHeight="1" x14ac:dyDescent="0.3">
      <c r="F137" s="6"/>
      <c r="L137" s="16"/>
      <c r="M137" s="16"/>
      <c r="N137" s="16"/>
    </row>
    <row r="138" spans="6:14" ht="14.25" customHeight="1" x14ac:dyDescent="0.3">
      <c r="F138" s="6"/>
      <c r="L138" s="16"/>
      <c r="M138" s="16"/>
      <c r="N138" s="16"/>
    </row>
    <row r="139" spans="6:14" ht="14.25" customHeight="1" x14ac:dyDescent="0.3">
      <c r="F139" s="6"/>
      <c r="L139" s="16"/>
      <c r="M139" s="16"/>
      <c r="N139" s="16"/>
    </row>
    <row r="140" spans="6:14" ht="14.25" customHeight="1" x14ac:dyDescent="0.3">
      <c r="F140" s="6"/>
      <c r="L140" s="16"/>
      <c r="M140" s="16"/>
      <c r="N140" s="16"/>
    </row>
    <row r="141" spans="6:14" ht="14.25" customHeight="1" x14ac:dyDescent="0.3">
      <c r="F141" s="6"/>
      <c r="L141" s="16"/>
      <c r="M141" s="16"/>
      <c r="N141" s="16"/>
    </row>
    <row r="142" spans="6:14" ht="14.25" customHeight="1" x14ac:dyDescent="0.3">
      <c r="F142" s="6"/>
      <c r="L142" s="16"/>
      <c r="M142" s="16"/>
      <c r="N142" s="16"/>
    </row>
    <row r="143" spans="6:14" ht="14.25" customHeight="1" x14ac:dyDescent="0.3">
      <c r="F143" s="6"/>
      <c r="L143" s="16"/>
      <c r="M143" s="16"/>
      <c r="N143" s="16"/>
    </row>
    <row r="144" spans="6:14" ht="14.25" customHeight="1" x14ac:dyDescent="0.3">
      <c r="F144" s="6"/>
      <c r="L144" s="16"/>
      <c r="M144" s="16"/>
      <c r="N144" s="16"/>
    </row>
    <row r="145" spans="6:14" ht="14.25" customHeight="1" x14ac:dyDescent="0.3">
      <c r="F145" s="6"/>
      <c r="L145" s="16"/>
      <c r="M145" s="16"/>
      <c r="N145" s="16"/>
    </row>
    <row r="146" spans="6:14" ht="14.25" customHeight="1" x14ac:dyDescent="0.3">
      <c r="F146" s="6"/>
      <c r="L146" s="16"/>
      <c r="M146" s="16"/>
      <c r="N146" s="16"/>
    </row>
    <row r="147" spans="6:14" ht="14.25" customHeight="1" x14ac:dyDescent="0.3">
      <c r="F147" s="6"/>
      <c r="L147" s="16"/>
      <c r="M147" s="16"/>
      <c r="N147" s="16"/>
    </row>
    <row r="148" spans="6:14" ht="14.25" customHeight="1" x14ac:dyDescent="0.3">
      <c r="F148" s="6"/>
      <c r="L148" s="16"/>
      <c r="M148" s="16"/>
      <c r="N148" s="16"/>
    </row>
    <row r="149" spans="6:14" ht="14.25" customHeight="1" x14ac:dyDescent="0.3">
      <c r="F149" s="6"/>
      <c r="L149" s="16"/>
      <c r="M149" s="16"/>
      <c r="N149" s="16"/>
    </row>
    <row r="150" spans="6:14" ht="14.25" customHeight="1" x14ac:dyDescent="0.3">
      <c r="F150" s="6"/>
      <c r="L150" s="16"/>
      <c r="M150" s="16"/>
      <c r="N150" s="16"/>
    </row>
    <row r="151" spans="6:14" ht="14.25" customHeight="1" x14ac:dyDescent="0.3">
      <c r="F151" s="6"/>
      <c r="L151" s="16"/>
      <c r="M151" s="16"/>
      <c r="N151" s="16"/>
    </row>
    <row r="152" spans="6:14" ht="14.25" customHeight="1" x14ac:dyDescent="0.3">
      <c r="F152" s="6"/>
      <c r="L152" s="16"/>
      <c r="M152" s="16"/>
      <c r="N152" s="16"/>
    </row>
    <row r="153" spans="6:14" ht="14.25" customHeight="1" x14ac:dyDescent="0.3">
      <c r="F153" s="6"/>
      <c r="L153" s="16"/>
      <c r="M153" s="16"/>
      <c r="N153" s="16"/>
    </row>
    <row r="154" spans="6:14" ht="14.25" customHeight="1" x14ac:dyDescent="0.3">
      <c r="F154" s="6"/>
      <c r="L154" s="16"/>
      <c r="M154" s="16"/>
      <c r="N154" s="16"/>
    </row>
    <row r="155" spans="6:14" ht="14.25" customHeight="1" x14ac:dyDescent="0.3">
      <c r="F155" s="6"/>
      <c r="L155" s="16"/>
      <c r="M155" s="16"/>
      <c r="N155" s="16"/>
    </row>
    <row r="156" spans="6:14" ht="14.25" customHeight="1" x14ac:dyDescent="0.3">
      <c r="F156" s="6"/>
      <c r="L156" s="16"/>
      <c r="M156" s="16"/>
      <c r="N156" s="16"/>
    </row>
    <row r="157" spans="6:14" ht="14.25" customHeight="1" x14ac:dyDescent="0.3">
      <c r="F157" s="6"/>
      <c r="L157" s="16"/>
      <c r="M157" s="16"/>
      <c r="N157" s="16"/>
    </row>
    <row r="158" spans="6:14" ht="14.25" customHeight="1" x14ac:dyDescent="0.3">
      <c r="F158" s="6"/>
      <c r="L158" s="16"/>
      <c r="M158" s="16"/>
      <c r="N158" s="16"/>
    </row>
    <row r="159" spans="6:14" ht="14.25" customHeight="1" x14ac:dyDescent="0.3">
      <c r="F159" s="6"/>
      <c r="L159" s="16"/>
      <c r="M159" s="16"/>
      <c r="N159" s="16"/>
    </row>
    <row r="160" spans="6:14" ht="14.25" customHeight="1" x14ac:dyDescent="0.3">
      <c r="F160" s="6"/>
      <c r="L160" s="16"/>
      <c r="M160" s="16"/>
      <c r="N160" s="16"/>
    </row>
    <row r="161" spans="6:14" ht="14.25" customHeight="1" x14ac:dyDescent="0.3">
      <c r="F161" s="6"/>
      <c r="L161" s="16"/>
      <c r="M161" s="16"/>
      <c r="N161" s="16"/>
    </row>
    <row r="162" spans="6:14" ht="14.25" customHeight="1" x14ac:dyDescent="0.3">
      <c r="F162" s="6"/>
      <c r="L162" s="16"/>
      <c r="M162" s="16"/>
      <c r="N162" s="16"/>
    </row>
    <row r="163" spans="6:14" ht="14.25" customHeight="1" x14ac:dyDescent="0.3">
      <c r="F163" s="6"/>
      <c r="L163" s="16"/>
      <c r="M163" s="16"/>
      <c r="N163" s="16"/>
    </row>
    <row r="164" spans="6:14" ht="14.25" customHeight="1" x14ac:dyDescent="0.3">
      <c r="F164" s="6"/>
      <c r="L164" s="16"/>
      <c r="M164" s="16"/>
      <c r="N164" s="16"/>
    </row>
    <row r="165" spans="6:14" ht="14.25" customHeight="1" x14ac:dyDescent="0.3">
      <c r="F165" s="6"/>
      <c r="L165" s="16"/>
      <c r="M165" s="16"/>
      <c r="N165" s="16"/>
    </row>
    <row r="166" spans="6:14" ht="14.25" customHeight="1" x14ac:dyDescent="0.3">
      <c r="F166" s="6"/>
      <c r="L166" s="16"/>
      <c r="M166" s="16"/>
      <c r="N166" s="16"/>
    </row>
    <row r="167" spans="6:14" ht="14.25" customHeight="1" x14ac:dyDescent="0.3">
      <c r="F167" s="6"/>
      <c r="L167" s="16"/>
      <c r="M167" s="16"/>
      <c r="N167" s="16"/>
    </row>
    <row r="168" spans="6:14" ht="14.25" customHeight="1" x14ac:dyDescent="0.3">
      <c r="F168" s="6"/>
      <c r="L168" s="16"/>
      <c r="M168" s="16"/>
      <c r="N168" s="16"/>
    </row>
    <row r="169" spans="6:14" ht="14.25" customHeight="1" x14ac:dyDescent="0.3">
      <c r="F169" s="6"/>
      <c r="L169" s="16"/>
      <c r="M169" s="16"/>
      <c r="N169" s="16"/>
    </row>
    <row r="170" spans="6:14" ht="14.25" customHeight="1" x14ac:dyDescent="0.3">
      <c r="F170" s="6"/>
      <c r="L170" s="16"/>
      <c r="M170" s="16"/>
      <c r="N170" s="16"/>
    </row>
    <row r="171" spans="6:14" ht="14.25" customHeight="1" x14ac:dyDescent="0.3">
      <c r="F171" s="6"/>
      <c r="L171" s="16"/>
      <c r="M171" s="16"/>
      <c r="N171" s="16"/>
    </row>
    <row r="172" spans="6:14" ht="14.25" customHeight="1" x14ac:dyDescent="0.3">
      <c r="F172" s="6"/>
      <c r="L172" s="16"/>
      <c r="M172" s="16"/>
      <c r="N172" s="16"/>
    </row>
    <row r="173" spans="6:14" ht="14.25" customHeight="1" x14ac:dyDescent="0.3">
      <c r="F173" s="6"/>
      <c r="L173" s="16"/>
      <c r="M173" s="16"/>
      <c r="N173" s="16"/>
    </row>
    <row r="174" spans="6:14" ht="14.25" customHeight="1" x14ac:dyDescent="0.3">
      <c r="F174" s="6"/>
      <c r="L174" s="16"/>
      <c r="M174" s="16"/>
      <c r="N174" s="16"/>
    </row>
    <row r="175" spans="6:14" ht="14.25" customHeight="1" x14ac:dyDescent="0.3">
      <c r="F175" s="6"/>
      <c r="L175" s="16"/>
      <c r="M175" s="16"/>
      <c r="N175" s="16"/>
    </row>
    <row r="176" spans="6:14" ht="14.25" customHeight="1" x14ac:dyDescent="0.3">
      <c r="F176" s="6"/>
      <c r="L176" s="16"/>
      <c r="M176" s="16"/>
      <c r="N176" s="16"/>
    </row>
    <row r="177" spans="6:14" ht="14.25" customHeight="1" x14ac:dyDescent="0.3">
      <c r="F177" s="6"/>
      <c r="L177" s="16"/>
      <c r="M177" s="16"/>
      <c r="N177" s="16"/>
    </row>
    <row r="178" spans="6:14" ht="14.25" customHeight="1" x14ac:dyDescent="0.3">
      <c r="F178" s="6"/>
      <c r="L178" s="16"/>
      <c r="M178" s="16"/>
      <c r="N178" s="16"/>
    </row>
    <row r="179" spans="6:14" ht="14.25" customHeight="1" x14ac:dyDescent="0.3">
      <c r="F179" s="6"/>
      <c r="L179" s="16"/>
      <c r="M179" s="16"/>
      <c r="N179" s="16"/>
    </row>
    <row r="180" spans="6:14" ht="14.25" customHeight="1" x14ac:dyDescent="0.3">
      <c r="F180" s="6"/>
      <c r="L180" s="16"/>
      <c r="M180" s="16"/>
      <c r="N180" s="16"/>
    </row>
    <row r="181" spans="6:14" ht="14.25" customHeight="1" x14ac:dyDescent="0.3">
      <c r="F181" s="6"/>
      <c r="L181" s="16"/>
      <c r="M181" s="16"/>
      <c r="N181" s="16"/>
    </row>
    <row r="182" spans="6:14" ht="14.25" customHeight="1" x14ac:dyDescent="0.3">
      <c r="F182" s="6"/>
      <c r="L182" s="16"/>
      <c r="M182" s="16"/>
      <c r="N182" s="16"/>
    </row>
    <row r="183" spans="6:14" ht="14.25" customHeight="1" x14ac:dyDescent="0.3">
      <c r="F183" s="6"/>
      <c r="L183" s="16"/>
      <c r="M183" s="16"/>
      <c r="N183" s="16"/>
    </row>
    <row r="184" spans="6:14" ht="14.25" customHeight="1" x14ac:dyDescent="0.3">
      <c r="F184" s="6"/>
      <c r="L184" s="16"/>
      <c r="M184" s="16"/>
      <c r="N184" s="16"/>
    </row>
    <row r="185" spans="6:14" ht="14.25" customHeight="1" x14ac:dyDescent="0.3">
      <c r="F185" s="6"/>
      <c r="L185" s="16"/>
      <c r="M185" s="16"/>
      <c r="N185" s="16"/>
    </row>
    <row r="186" spans="6:14" ht="14.25" customHeight="1" x14ac:dyDescent="0.3">
      <c r="F186" s="6"/>
      <c r="L186" s="16"/>
      <c r="M186" s="16"/>
      <c r="N186" s="16"/>
    </row>
    <row r="187" spans="6:14" ht="14.25" customHeight="1" x14ac:dyDescent="0.3">
      <c r="F187" s="6"/>
      <c r="L187" s="16"/>
      <c r="M187" s="16"/>
      <c r="N187" s="16"/>
    </row>
    <row r="188" spans="6:14" ht="14.25" customHeight="1" x14ac:dyDescent="0.3">
      <c r="F188" s="6"/>
      <c r="L188" s="16"/>
      <c r="M188" s="16"/>
      <c r="N188" s="16"/>
    </row>
    <row r="189" spans="6:14" ht="14.25" customHeight="1" x14ac:dyDescent="0.3">
      <c r="F189" s="6"/>
      <c r="L189" s="16"/>
      <c r="M189" s="16"/>
      <c r="N189" s="16"/>
    </row>
    <row r="190" spans="6:14" ht="14.25" customHeight="1" x14ac:dyDescent="0.3">
      <c r="F190" s="6"/>
      <c r="L190" s="16"/>
      <c r="M190" s="16"/>
      <c r="N190" s="16"/>
    </row>
    <row r="191" spans="6:14" ht="14.25" customHeight="1" x14ac:dyDescent="0.3">
      <c r="F191" s="6"/>
      <c r="L191" s="16"/>
      <c r="M191" s="16"/>
      <c r="N191" s="16"/>
    </row>
    <row r="192" spans="6:14" ht="14.25" customHeight="1" x14ac:dyDescent="0.3">
      <c r="F192" s="6"/>
      <c r="L192" s="16"/>
      <c r="M192" s="16"/>
      <c r="N192" s="16"/>
    </row>
    <row r="193" spans="6:14" ht="14.25" customHeight="1" x14ac:dyDescent="0.3">
      <c r="F193" s="6"/>
      <c r="L193" s="16"/>
      <c r="M193" s="16"/>
      <c r="N193" s="16"/>
    </row>
    <row r="194" spans="6:14" ht="14.25" customHeight="1" x14ac:dyDescent="0.3">
      <c r="F194" s="6"/>
      <c r="L194" s="16"/>
      <c r="M194" s="16"/>
      <c r="N194" s="16"/>
    </row>
    <row r="195" spans="6:14" ht="14.25" customHeight="1" x14ac:dyDescent="0.3">
      <c r="F195" s="6"/>
      <c r="L195" s="16"/>
      <c r="M195" s="16"/>
      <c r="N195" s="16"/>
    </row>
    <row r="196" spans="6:14" ht="14.25" customHeight="1" x14ac:dyDescent="0.3">
      <c r="F196" s="6"/>
      <c r="L196" s="16"/>
      <c r="M196" s="16"/>
      <c r="N196" s="16"/>
    </row>
    <row r="197" spans="6:14" ht="14.25" customHeight="1" x14ac:dyDescent="0.3">
      <c r="F197" s="6"/>
      <c r="L197" s="16"/>
      <c r="M197" s="16"/>
      <c r="N197" s="16"/>
    </row>
    <row r="198" spans="6:14" ht="14.25" customHeight="1" x14ac:dyDescent="0.3">
      <c r="F198" s="6"/>
      <c r="L198" s="16"/>
      <c r="M198" s="16"/>
      <c r="N198" s="16"/>
    </row>
    <row r="199" spans="6:14" ht="14.25" customHeight="1" x14ac:dyDescent="0.3">
      <c r="F199" s="6"/>
      <c r="L199" s="16"/>
      <c r="M199" s="16"/>
      <c r="N199" s="16"/>
    </row>
    <row r="200" spans="6:14" ht="14.25" customHeight="1" x14ac:dyDescent="0.3">
      <c r="F200" s="6"/>
      <c r="L200" s="16"/>
      <c r="M200" s="16"/>
      <c r="N200" s="16"/>
    </row>
    <row r="201" spans="6:14" ht="14.25" customHeight="1" x14ac:dyDescent="0.3">
      <c r="F201" s="6"/>
      <c r="L201" s="16"/>
      <c r="M201" s="16"/>
      <c r="N201" s="16"/>
    </row>
    <row r="202" spans="6:14" ht="14.25" customHeight="1" x14ac:dyDescent="0.3">
      <c r="F202" s="6"/>
      <c r="L202" s="16"/>
      <c r="M202" s="16"/>
      <c r="N202" s="16"/>
    </row>
    <row r="203" spans="6:14" ht="14.25" customHeight="1" x14ac:dyDescent="0.3">
      <c r="F203" s="6"/>
      <c r="L203" s="16"/>
      <c r="M203" s="16"/>
      <c r="N203" s="16"/>
    </row>
    <row r="204" spans="6:14" ht="14.25" customHeight="1" x14ac:dyDescent="0.3">
      <c r="F204" s="6"/>
      <c r="L204" s="16"/>
      <c r="M204" s="16"/>
      <c r="N204" s="16"/>
    </row>
    <row r="205" spans="6:14" ht="14.25" customHeight="1" x14ac:dyDescent="0.3">
      <c r="F205" s="6"/>
      <c r="L205" s="16"/>
      <c r="M205" s="16"/>
      <c r="N205" s="16"/>
    </row>
    <row r="206" spans="6:14" ht="14.25" customHeight="1" x14ac:dyDescent="0.3">
      <c r="F206" s="6"/>
      <c r="L206" s="16"/>
      <c r="M206" s="16"/>
      <c r="N206" s="16"/>
    </row>
    <row r="207" spans="6:14" ht="14.25" customHeight="1" x14ac:dyDescent="0.3">
      <c r="F207" s="6"/>
      <c r="L207" s="16"/>
      <c r="M207" s="16"/>
      <c r="N207" s="16"/>
    </row>
    <row r="208" spans="6:14" ht="14.25" customHeight="1" x14ac:dyDescent="0.3">
      <c r="F208" s="6"/>
      <c r="L208" s="16"/>
      <c r="M208" s="16"/>
      <c r="N208" s="16"/>
    </row>
    <row r="209" spans="6:14" ht="14.25" customHeight="1" x14ac:dyDescent="0.3">
      <c r="F209" s="6"/>
      <c r="L209" s="16"/>
      <c r="M209" s="16"/>
      <c r="N209" s="16"/>
    </row>
    <row r="210" spans="6:14" ht="14.25" customHeight="1" x14ac:dyDescent="0.3">
      <c r="F210" s="6"/>
      <c r="L210" s="16"/>
      <c r="M210" s="16"/>
      <c r="N210" s="16"/>
    </row>
    <row r="211" spans="6:14" ht="14.25" customHeight="1" x14ac:dyDescent="0.3">
      <c r="F211" s="6"/>
      <c r="L211" s="16"/>
      <c r="M211" s="16"/>
      <c r="N211" s="16"/>
    </row>
    <row r="212" spans="6:14" ht="14.25" customHeight="1" x14ac:dyDescent="0.3">
      <c r="F212" s="6"/>
      <c r="L212" s="16"/>
      <c r="M212" s="16"/>
      <c r="N212" s="16"/>
    </row>
    <row r="213" spans="6:14" ht="14.25" customHeight="1" x14ac:dyDescent="0.3">
      <c r="F213" s="6"/>
      <c r="L213" s="16"/>
      <c r="M213" s="16"/>
      <c r="N213" s="16"/>
    </row>
    <row r="214" spans="6:14" ht="14.25" customHeight="1" x14ac:dyDescent="0.3">
      <c r="F214" s="6"/>
      <c r="L214" s="16"/>
      <c r="M214" s="16"/>
      <c r="N214" s="16"/>
    </row>
    <row r="215" spans="6:14" ht="14.25" customHeight="1" x14ac:dyDescent="0.3">
      <c r="F215" s="6"/>
      <c r="L215" s="16"/>
      <c r="M215" s="16"/>
      <c r="N215" s="16"/>
    </row>
    <row r="216" spans="6:14" ht="14.25" customHeight="1" x14ac:dyDescent="0.3">
      <c r="F216" s="6"/>
      <c r="L216" s="16"/>
      <c r="M216" s="16"/>
      <c r="N216" s="16"/>
    </row>
    <row r="217" spans="6:14" ht="14.25" customHeight="1" x14ac:dyDescent="0.3">
      <c r="F217" s="6"/>
      <c r="L217" s="16"/>
      <c r="M217" s="16"/>
      <c r="N217" s="16"/>
    </row>
    <row r="218" spans="6:14" ht="14.25" customHeight="1" x14ac:dyDescent="0.3">
      <c r="F218" s="6"/>
      <c r="L218" s="16"/>
      <c r="M218" s="16"/>
      <c r="N218" s="16"/>
    </row>
    <row r="219" spans="6:14" ht="14.25" customHeight="1" x14ac:dyDescent="0.3">
      <c r="F219" s="6"/>
      <c r="L219" s="16"/>
      <c r="M219" s="16"/>
      <c r="N219" s="16"/>
    </row>
    <row r="220" spans="6:14" ht="14.25" customHeight="1" x14ac:dyDescent="0.3">
      <c r="F220" s="6"/>
      <c r="L220" s="16"/>
      <c r="M220" s="16"/>
      <c r="N220" s="16"/>
    </row>
    <row r="221" spans="6:14" ht="14.25" customHeight="1" x14ac:dyDescent="0.3">
      <c r="F221" s="6"/>
      <c r="L221" s="16"/>
      <c r="M221" s="16"/>
      <c r="N221" s="16"/>
    </row>
    <row r="222" spans="6:14" ht="14.25" customHeight="1" x14ac:dyDescent="0.3">
      <c r="F222" s="6"/>
      <c r="L222" s="16"/>
      <c r="M222" s="16"/>
      <c r="N222" s="16"/>
    </row>
    <row r="223" spans="6:14" ht="14.25" customHeight="1" x14ac:dyDescent="0.3">
      <c r="F223" s="6"/>
      <c r="L223" s="16"/>
      <c r="M223" s="16"/>
      <c r="N223" s="16"/>
    </row>
    <row r="224" spans="6:14" ht="14.25" customHeight="1" x14ac:dyDescent="0.3">
      <c r="F224" s="6"/>
      <c r="L224" s="16"/>
      <c r="M224" s="16"/>
      <c r="N224" s="16"/>
    </row>
    <row r="225" spans="6:14" ht="14.25" customHeight="1" x14ac:dyDescent="0.3">
      <c r="F225" s="6"/>
      <c r="L225" s="16"/>
      <c r="M225" s="16"/>
      <c r="N225" s="16"/>
    </row>
    <row r="226" spans="6:14" ht="14.25" customHeight="1" x14ac:dyDescent="0.3">
      <c r="F226" s="6"/>
      <c r="L226" s="16"/>
      <c r="M226" s="16"/>
      <c r="N226" s="16"/>
    </row>
    <row r="227" spans="6:14" ht="14.25" customHeight="1" x14ac:dyDescent="0.3">
      <c r="F227" s="6"/>
      <c r="L227" s="16"/>
      <c r="M227" s="16"/>
      <c r="N227" s="16"/>
    </row>
    <row r="228" spans="6:14" ht="14.25" customHeight="1" x14ac:dyDescent="0.3">
      <c r="F228" s="6"/>
      <c r="L228" s="16"/>
      <c r="M228" s="16"/>
      <c r="N228" s="16"/>
    </row>
    <row r="229" spans="6:14" ht="14.25" customHeight="1" x14ac:dyDescent="0.3">
      <c r="F229" s="6"/>
      <c r="L229" s="16"/>
      <c r="M229" s="16"/>
      <c r="N229" s="16"/>
    </row>
    <row r="230" spans="6:14" ht="14.25" customHeight="1" x14ac:dyDescent="0.3">
      <c r="F230" s="6"/>
      <c r="L230" s="16"/>
      <c r="M230" s="16"/>
      <c r="N230" s="16"/>
    </row>
    <row r="231" spans="6:14" ht="14.25" customHeight="1" x14ac:dyDescent="0.3">
      <c r="F231" s="6"/>
      <c r="L231" s="16"/>
      <c r="M231" s="16"/>
      <c r="N231" s="16"/>
    </row>
    <row r="232" spans="6:14" ht="14.25" customHeight="1" x14ac:dyDescent="0.3">
      <c r="F232" s="6"/>
      <c r="L232" s="16"/>
      <c r="M232" s="16"/>
      <c r="N232" s="16"/>
    </row>
    <row r="233" spans="6:14" ht="14.25" customHeight="1" x14ac:dyDescent="0.3">
      <c r="F233" s="6"/>
      <c r="L233" s="16"/>
      <c r="M233" s="16"/>
      <c r="N233" s="16"/>
    </row>
    <row r="234" spans="6:14" ht="14.25" customHeight="1" x14ac:dyDescent="0.3">
      <c r="F234" s="6"/>
      <c r="L234" s="16"/>
      <c r="M234" s="16"/>
      <c r="N234" s="16"/>
    </row>
    <row r="235" spans="6:14" ht="14.25" customHeight="1" x14ac:dyDescent="0.3">
      <c r="F235" s="6"/>
      <c r="L235" s="16"/>
      <c r="M235" s="16"/>
      <c r="N235" s="16"/>
    </row>
    <row r="236" spans="6:14" ht="14.25" customHeight="1" x14ac:dyDescent="0.3">
      <c r="F236" s="6"/>
      <c r="L236" s="16"/>
      <c r="M236" s="16"/>
      <c r="N236" s="16"/>
    </row>
    <row r="237" spans="6:14" ht="14.25" customHeight="1" x14ac:dyDescent="0.3">
      <c r="F237" s="6"/>
      <c r="L237" s="16"/>
      <c r="M237" s="16"/>
      <c r="N237" s="16"/>
    </row>
    <row r="238" spans="6:14" ht="14.25" customHeight="1" x14ac:dyDescent="0.3">
      <c r="F238" s="6"/>
      <c r="L238" s="16"/>
      <c r="M238" s="16"/>
      <c r="N238" s="16"/>
    </row>
    <row r="239" spans="6:14" ht="14.25" customHeight="1" x14ac:dyDescent="0.3">
      <c r="F239" s="6"/>
      <c r="L239" s="16"/>
      <c r="M239" s="16"/>
      <c r="N239" s="16"/>
    </row>
    <row r="240" spans="6:14" ht="14.25" customHeight="1" x14ac:dyDescent="0.3">
      <c r="F240" s="6"/>
      <c r="L240" s="16"/>
      <c r="M240" s="16"/>
      <c r="N240" s="16"/>
    </row>
    <row r="241" spans="6:14" ht="14.25" customHeight="1" x14ac:dyDescent="0.3">
      <c r="F241" s="6"/>
      <c r="L241" s="16"/>
      <c r="M241" s="16"/>
      <c r="N241" s="16"/>
    </row>
    <row r="242" spans="6:14" ht="14.25" customHeight="1" x14ac:dyDescent="0.3">
      <c r="F242" s="6"/>
      <c r="L242" s="16"/>
      <c r="M242" s="16"/>
      <c r="N242" s="16"/>
    </row>
    <row r="243" spans="6:14" ht="14.25" customHeight="1" x14ac:dyDescent="0.3">
      <c r="F243" s="6"/>
      <c r="L243" s="16"/>
      <c r="M243" s="16"/>
      <c r="N243" s="16"/>
    </row>
    <row r="244" spans="6:14" ht="14.25" customHeight="1" x14ac:dyDescent="0.3">
      <c r="F244" s="6"/>
      <c r="L244" s="16"/>
      <c r="M244" s="16"/>
      <c r="N244" s="16"/>
    </row>
    <row r="245" spans="6:14" ht="14.25" customHeight="1" x14ac:dyDescent="0.3">
      <c r="F245" s="6"/>
      <c r="L245" s="16"/>
      <c r="M245" s="16"/>
      <c r="N245" s="16"/>
    </row>
    <row r="246" spans="6:14" ht="14.25" customHeight="1" x14ac:dyDescent="0.3">
      <c r="F246" s="6"/>
      <c r="L246" s="16"/>
      <c r="M246" s="16"/>
      <c r="N246" s="16"/>
    </row>
    <row r="247" spans="6:14" ht="14.25" customHeight="1" x14ac:dyDescent="0.3">
      <c r="F247" s="6"/>
      <c r="L247" s="16"/>
      <c r="M247" s="16"/>
      <c r="N247" s="16"/>
    </row>
    <row r="248" spans="6:14" ht="14.25" customHeight="1" x14ac:dyDescent="0.3">
      <c r="F248" s="6"/>
      <c r="L248" s="16"/>
      <c r="M248" s="16"/>
      <c r="N248" s="16"/>
    </row>
    <row r="249" spans="6:14" ht="14.25" customHeight="1" x14ac:dyDescent="0.3">
      <c r="F249" s="6"/>
      <c r="L249" s="16"/>
      <c r="M249" s="16"/>
      <c r="N249" s="16"/>
    </row>
    <row r="250" spans="6:14" ht="14.25" customHeight="1" x14ac:dyDescent="0.3">
      <c r="F250" s="6"/>
      <c r="L250" s="16"/>
      <c r="M250" s="16"/>
      <c r="N250" s="16"/>
    </row>
    <row r="251" spans="6:14" ht="14.25" customHeight="1" x14ac:dyDescent="0.3">
      <c r="F251" s="6"/>
      <c r="L251" s="16"/>
      <c r="M251" s="16"/>
      <c r="N251" s="16"/>
    </row>
    <row r="252" spans="6:14" ht="14.25" customHeight="1" x14ac:dyDescent="0.3">
      <c r="F252" s="6"/>
      <c r="L252" s="16"/>
      <c r="M252" s="16"/>
      <c r="N252" s="16"/>
    </row>
    <row r="253" spans="6:14" ht="14.25" customHeight="1" x14ac:dyDescent="0.3">
      <c r="F253" s="6"/>
      <c r="L253" s="16"/>
      <c r="M253" s="16"/>
      <c r="N253" s="16"/>
    </row>
    <row r="254" spans="6:14" ht="14.25" customHeight="1" x14ac:dyDescent="0.3">
      <c r="F254" s="6"/>
      <c r="L254" s="16"/>
      <c r="M254" s="16"/>
      <c r="N254" s="16"/>
    </row>
    <row r="255" spans="6:14" ht="14.25" customHeight="1" x14ac:dyDescent="0.3">
      <c r="F255" s="6"/>
      <c r="L255" s="16"/>
      <c r="M255" s="16"/>
      <c r="N255" s="16"/>
    </row>
    <row r="256" spans="6:14" ht="14.25" customHeight="1" x14ac:dyDescent="0.3">
      <c r="F256" s="6"/>
      <c r="L256" s="16"/>
      <c r="M256" s="16"/>
      <c r="N256" s="16"/>
    </row>
    <row r="257" spans="6:14" ht="14.25" customHeight="1" x14ac:dyDescent="0.3">
      <c r="F257" s="6"/>
      <c r="L257" s="16"/>
      <c r="M257" s="16"/>
      <c r="N257" s="16"/>
    </row>
    <row r="258" spans="6:14" ht="14.25" customHeight="1" x14ac:dyDescent="0.3">
      <c r="F258" s="6"/>
      <c r="L258" s="16"/>
      <c r="M258" s="16"/>
      <c r="N258" s="16"/>
    </row>
    <row r="259" spans="6:14" ht="14.25" customHeight="1" x14ac:dyDescent="0.3">
      <c r="F259" s="6"/>
      <c r="L259" s="16"/>
      <c r="M259" s="16"/>
      <c r="N259" s="16"/>
    </row>
    <row r="260" spans="6:14" ht="14.25" customHeight="1" x14ac:dyDescent="0.3">
      <c r="F260" s="6"/>
      <c r="L260" s="16"/>
      <c r="M260" s="16"/>
      <c r="N260" s="16"/>
    </row>
    <row r="261" spans="6:14" ht="14.25" customHeight="1" x14ac:dyDescent="0.3">
      <c r="F261" s="6"/>
      <c r="L261" s="16"/>
      <c r="M261" s="16"/>
      <c r="N261" s="16"/>
    </row>
    <row r="262" spans="6:14" ht="14.25" customHeight="1" x14ac:dyDescent="0.3">
      <c r="F262" s="6"/>
      <c r="L262" s="16"/>
      <c r="M262" s="16"/>
      <c r="N262" s="16"/>
    </row>
    <row r="263" spans="6:14" ht="14.25" customHeight="1" x14ac:dyDescent="0.3">
      <c r="F263" s="6"/>
      <c r="L263" s="16"/>
      <c r="M263" s="16"/>
      <c r="N263" s="16"/>
    </row>
    <row r="264" spans="6:14" ht="14.25" customHeight="1" x14ac:dyDescent="0.3">
      <c r="F264" s="6"/>
      <c r="L264" s="16"/>
      <c r="M264" s="16"/>
      <c r="N264" s="16"/>
    </row>
    <row r="265" spans="6:14" ht="14.25" customHeight="1" x14ac:dyDescent="0.3">
      <c r="F265" s="6"/>
      <c r="L265" s="16"/>
      <c r="M265" s="16"/>
      <c r="N265" s="16"/>
    </row>
    <row r="266" spans="6:14" ht="14.25" customHeight="1" x14ac:dyDescent="0.3">
      <c r="F266" s="6"/>
      <c r="L266" s="16"/>
      <c r="M266" s="16"/>
      <c r="N266" s="16"/>
    </row>
    <row r="267" spans="6:14" ht="14.25" customHeight="1" x14ac:dyDescent="0.3">
      <c r="F267" s="6"/>
      <c r="L267" s="16"/>
      <c r="M267" s="16"/>
      <c r="N267" s="16"/>
    </row>
    <row r="268" spans="6:14" ht="14.25" customHeight="1" x14ac:dyDescent="0.3">
      <c r="F268" s="6"/>
      <c r="L268" s="16"/>
      <c r="M268" s="16"/>
      <c r="N268" s="16"/>
    </row>
    <row r="269" spans="6:14" ht="14.25" customHeight="1" x14ac:dyDescent="0.3">
      <c r="F269" s="6"/>
      <c r="L269" s="16"/>
      <c r="M269" s="16"/>
      <c r="N269" s="16"/>
    </row>
    <row r="270" spans="6:14" ht="14.25" customHeight="1" x14ac:dyDescent="0.3">
      <c r="F270" s="6"/>
      <c r="L270" s="16"/>
      <c r="M270" s="16"/>
      <c r="N270" s="16"/>
    </row>
    <row r="271" spans="6:14" ht="14.25" customHeight="1" x14ac:dyDescent="0.3">
      <c r="F271" s="6"/>
      <c r="L271" s="16"/>
      <c r="M271" s="16"/>
      <c r="N271" s="16"/>
    </row>
    <row r="272" spans="6:14" ht="14.25" customHeight="1" x14ac:dyDescent="0.3">
      <c r="F272" s="6"/>
      <c r="L272" s="16"/>
      <c r="M272" s="16"/>
      <c r="N272" s="16"/>
    </row>
    <row r="273" spans="6:14" ht="14.25" customHeight="1" x14ac:dyDescent="0.3">
      <c r="F273" s="6"/>
      <c r="L273" s="16"/>
      <c r="M273" s="16"/>
      <c r="N273" s="16"/>
    </row>
    <row r="274" spans="6:14" ht="14.25" customHeight="1" x14ac:dyDescent="0.3">
      <c r="F274" s="6"/>
      <c r="L274" s="16"/>
      <c r="M274" s="16"/>
      <c r="N274" s="16"/>
    </row>
    <row r="275" spans="6:14" ht="14.25" customHeight="1" x14ac:dyDescent="0.3">
      <c r="F275" s="6"/>
      <c r="L275" s="16"/>
      <c r="M275" s="16"/>
      <c r="N275" s="16"/>
    </row>
    <row r="276" spans="6:14" ht="14.25" customHeight="1" x14ac:dyDescent="0.3">
      <c r="F276" s="6"/>
      <c r="L276" s="16"/>
      <c r="M276" s="16"/>
      <c r="N276" s="16"/>
    </row>
    <row r="277" spans="6:14" ht="14.25" customHeight="1" x14ac:dyDescent="0.3">
      <c r="F277" s="6"/>
      <c r="L277" s="16"/>
      <c r="M277" s="16"/>
      <c r="N277" s="16"/>
    </row>
    <row r="278" spans="6:14" ht="14.25" customHeight="1" x14ac:dyDescent="0.3">
      <c r="F278" s="6"/>
      <c r="L278" s="16"/>
      <c r="M278" s="16"/>
      <c r="N278" s="16"/>
    </row>
    <row r="279" spans="6:14" ht="14.25" customHeight="1" x14ac:dyDescent="0.3">
      <c r="F279" s="6"/>
      <c r="L279" s="16"/>
      <c r="M279" s="16"/>
      <c r="N279" s="16"/>
    </row>
    <row r="280" spans="6:14" ht="14.25" customHeight="1" x14ac:dyDescent="0.3">
      <c r="F280" s="6"/>
      <c r="L280" s="16"/>
      <c r="M280" s="16"/>
      <c r="N280" s="16"/>
    </row>
    <row r="281" spans="6:14" ht="14.25" customHeight="1" x14ac:dyDescent="0.3">
      <c r="F281" s="6"/>
      <c r="L281" s="16"/>
      <c r="M281" s="16"/>
      <c r="N281" s="16"/>
    </row>
    <row r="282" spans="6:14" ht="14.25" customHeight="1" x14ac:dyDescent="0.3">
      <c r="F282" s="6"/>
      <c r="L282" s="16"/>
      <c r="M282" s="16"/>
      <c r="N282" s="16"/>
    </row>
    <row r="283" spans="6:14" ht="14.25" customHeight="1" x14ac:dyDescent="0.3">
      <c r="F283" s="6"/>
      <c r="L283" s="16"/>
      <c r="M283" s="16"/>
      <c r="N283" s="16"/>
    </row>
    <row r="284" spans="6:14" ht="14.25" customHeight="1" x14ac:dyDescent="0.3">
      <c r="F284" s="6"/>
      <c r="L284" s="16"/>
      <c r="M284" s="16"/>
      <c r="N284" s="16"/>
    </row>
    <row r="285" spans="6:14" ht="14.25" customHeight="1" x14ac:dyDescent="0.3">
      <c r="F285" s="6"/>
      <c r="L285" s="16"/>
      <c r="M285" s="16"/>
      <c r="N285" s="16"/>
    </row>
    <row r="286" spans="6:14" ht="14.25" customHeight="1" x14ac:dyDescent="0.3">
      <c r="F286" s="6"/>
      <c r="L286" s="16"/>
      <c r="M286" s="16"/>
      <c r="N286" s="16"/>
    </row>
    <row r="287" spans="6:14" ht="14.25" customHeight="1" x14ac:dyDescent="0.3">
      <c r="F287" s="6"/>
      <c r="L287" s="16"/>
      <c r="M287" s="16"/>
      <c r="N287" s="16"/>
    </row>
    <row r="288" spans="6:14" ht="14.25" customHeight="1" x14ac:dyDescent="0.3">
      <c r="F288" s="6"/>
      <c r="L288" s="16"/>
      <c r="M288" s="16"/>
      <c r="N288" s="16"/>
    </row>
    <row r="289" spans="6:14" ht="14.25" customHeight="1" x14ac:dyDescent="0.3">
      <c r="F289" s="6"/>
      <c r="L289" s="16"/>
      <c r="M289" s="16"/>
      <c r="N289" s="16"/>
    </row>
    <row r="290" spans="6:14" ht="14.25" customHeight="1" x14ac:dyDescent="0.3">
      <c r="F290" s="6"/>
      <c r="L290" s="16"/>
      <c r="M290" s="16"/>
      <c r="N290" s="16"/>
    </row>
    <row r="291" spans="6:14" ht="14.25" customHeight="1" x14ac:dyDescent="0.3">
      <c r="F291" s="6"/>
      <c r="L291" s="16"/>
      <c r="M291" s="16"/>
      <c r="N291" s="16"/>
    </row>
    <row r="292" spans="6:14" ht="14.25" customHeight="1" x14ac:dyDescent="0.3">
      <c r="F292" s="6"/>
      <c r="L292" s="16"/>
      <c r="M292" s="16"/>
      <c r="N292" s="16"/>
    </row>
    <row r="293" spans="6:14" ht="14.25" customHeight="1" x14ac:dyDescent="0.3">
      <c r="F293" s="6"/>
      <c r="L293" s="16"/>
      <c r="M293" s="16"/>
      <c r="N293" s="16"/>
    </row>
    <row r="294" spans="6:14" ht="14.25" customHeight="1" x14ac:dyDescent="0.3">
      <c r="F294" s="6"/>
      <c r="L294" s="16"/>
      <c r="M294" s="16"/>
      <c r="N294" s="16"/>
    </row>
    <row r="295" spans="6:14" ht="14.25" customHeight="1" x14ac:dyDescent="0.3">
      <c r="F295" s="6"/>
      <c r="L295" s="16"/>
      <c r="M295" s="16"/>
      <c r="N295" s="16"/>
    </row>
    <row r="296" spans="6:14" ht="14.25" customHeight="1" x14ac:dyDescent="0.3">
      <c r="F296" s="6"/>
      <c r="L296" s="16"/>
      <c r="M296" s="16"/>
      <c r="N296" s="16"/>
    </row>
    <row r="297" spans="6:14" ht="14.25" customHeight="1" x14ac:dyDescent="0.3">
      <c r="F297" s="6"/>
      <c r="L297" s="16"/>
      <c r="M297" s="16"/>
      <c r="N297" s="16"/>
    </row>
    <row r="298" spans="6:14" ht="14.25" customHeight="1" x14ac:dyDescent="0.3">
      <c r="F298" s="6"/>
      <c r="L298" s="16"/>
      <c r="M298" s="16"/>
      <c r="N298" s="16"/>
    </row>
    <row r="299" spans="6:14" ht="14.25" customHeight="1" x14ac:dyDescent="0.3">
      <c r="F299" s="6"/>
      <c r="L299" s="16"/>
      <c r="M299" s="16"/>
      <c r="N299" s="16"/>
    </row>
    <row r="300" spans="6:14" ht="14.25" customHeight="1" x14ac:dyDescent="0.3">
      <c r="F300" s="6"/>
      <c r="L300" s="16"/>
      <c r="M300" s="16"/>
      <c r="N300" s="16"/>
    </row>
    <row r="301" spans="6:14" ht="14.25" customHeight="1" x14ac:dyDescent="0.3">
      <c r="F301" s="6"/>
      <c r="L301" s="16"/>
      <c r="M301" s="16"/>
      <c r="N301" s="16"/>
    </row>
    <row r="302" spans="6:14" ht="14.25" customHeight="1" x14ac:dyDescent="0.3">
      <c r="F302" s="6"/>
      <c r="L302" s="16"/>
      <c r="M302" s="16"/>
      <c r="N302" s="16"/>
    </row>
    <row r="303" spans="6:14" ht="14.25" customHeight="1" x14ac:dyDescent="0.3">
      <c r="F303" s="6"/>
      <c r="L303" s="16"/>
      <c r="M303" s="16"/>
      <c r="N303" s="16"/>
    </row>
    <row r="304" spans="6:14" ht="14.25" customHeight="1" x14ac:dyDescent="0.3">
      <c r="F304" s="6"/>
      <c r="L304" s="16"/>
      <c r="M304" s="16"/>
      <c r="N304" s="16"/>
    </row>
    <row r="305" spans="6:14" ht="14.25" customHeight="1" x14ac:dyDescent="0.3">
      <c r="F305" s="6"/>
      <c r="L305" s="16"/>
      <c r="M305" s="16"/>
      <c r="N305" s="16"/>
    </row>
    <row r="306" spans="6:14" ht="14.25" customHeight="1" x14ac:dyDescent="0.3">
      <c r="F306" s="6"/>
      <c r="L306" s="16"/>
      <c r="M306" s="16"/>
      <c r="N306" s="16"/>
    </row>
    <row r="307" spans="6:14" ht="14.25" customHeight="1" x14ac:dyDescent="0.3">
      <c r="F307" s="6"/>
      <c r="L307" s="16"/>
      <c r="M307" s="16"/>
      <c r="N307" s="16"/>
    </row>
    <row r="308" spans="6:14" ht="14.25" customHeight="1" x14ac:dyDescent="0.3">
      <c r="F308" s="6"/>
      <c r="L308" s="16"/>
      <c r="M308" s="16"/>
      <c r="N308" s="16"/>
    </row>
    <row r="309" spans="6:14" ht="14.25" customHeight="1" x14ac:dyDescent="0.3">
      <c r="F309" s="6"/>
      <c r="L309" s="16"/>
      <c r="M309" s="16"/>
      <c r="N309" s="16"/>
    </row>
    <row r="310" spans="6:14" ht="14.25" customHeight="1" x14ac:dyDescent="0.3">
      <c r="F310" s="6"/>
      <c r="L310" s="16"/>
      <c r="M310" s="16"/>
      <c r="N310" s="16"/>
    </row>
    <row r="311" spans="6:14" ht="14.25" customHeight="1" x14ac:dyDescent="0.3">
      <c r="F311" s="6"/>
      <c r="L311" s="16"/>
      <c r="M311" s="16"/>
      <c r="N311" s="16"/>
    </row>
    <row r="312" spans="6:14" ht="14.25" customHeight="1" x14ac:dyDescent="0.3">
      <c r="F312" s="6"/>
      <c r="L312" s="16"/>
      <c r="M312" s="16"/>
      <c r="N312" s="16"/>
    </row>
    <row r="313" spans="6:14" ht="14.25" customHeight="1" x14ac:dyDescent="0.3">
      <c r="F313" s="6"/>
      <c r="L313" s="16"/>
      <c r="M313" s="16"/>
      <c r="N313" s="16"/>
    </row>
    <row r="314" spans="6:14" ht="14.25" customHeight="1" x14ac:dyDescent="0.3">
      <c r="F314" s="6"/>
      <c r="L314" s="16"/>
      <c r="M314" s="16"/>
      <c r="N314" s="16"/>
    </row>
    <row r="315" spans="6:14" ht="14.25" customHeight="1" x14ac:dyDescent="0.3">
      <c r="F315" s="6"/>
      <c r="L315" s="16"/>
      <c r="M315" s="16"/>
      <c r="N315" s="16"/>
    </row>
    <row r="316" spans="6:14" ht="14.25" customHeight="1" x14ac:dyDescent="0.3">
      <c r="F316" s="6"/>
      <c r="L316" s="16"/>
      <c r="M316" s="16"/>
      <c r="N316" s="16"/>
    </row>
    <row r="317" spans="6:14" ht="14.25" customHeight="1" x14ac:dyDescent="0.3">
      <c r="F317" s="6"/>
      <c r="L317" s="16"/>
      <c r="M317" s="16"/>
      <c r="N317" s="16"/>
    </row>
    <row r="318" spans="6:14" ht="14.25" customHeight="1" x14ac:dyDescent="0.3">
      <c r="F318" s="6"/>
      <c r="L318" s="16"/>
      <c r="M318" s="16"/>
      <c r="N318" s="16"/>
    </row>
    <row r="319" spans="6:14" ht="14.25" customHeight="1" x14ac:dyDescent="0.3">
      <c r="F319" s="6"/>
      <c r="L319" s="16"/>
      <c r="M319" s="16"/>
      <c r="N319" s="16"/>
    </row>
    <row r="320" spans="6:14" ht="14.25" customHeight="1" x14ac:dyDescent="0.3">
      <c r="F320" s="6"/>
      <c r="L320" s="16"/>
      <c r="M320" s="16"/>
      <c r="N320" s="16"/>
    </row>
    <row r="321" spans="6:14" ht="14.25" customHeight="1" x14ac:dyDescent="0.3">
      <c r="F321" s="6"/>
      <c r="L321" s="16"/>
      <c r="M321" s="16"/>
      <c r="N321" s="16"/>
    </row>
    <row r="322" spans="6:14" ht="14.25" customHeight="1" x14ac:dyDescent="0.3">
      <c r="F322" s="6"/>
      <c r="L322" s="16"/>
      <c r="M322" s="16"/>
      <c r="N322" s="16"/>
    </row>
    <row r="323" spans="6:14" ht="14.25" customHeight="1" x14ac:dyDescent="0.3">
      <c r="F323" s="6"/>
      <c r="L323" s="16"/>
      <c r="M323" s="16"/>
      <c r="N323" s="16"/>
    </row>
    <row r="324" spans="6:14" ht="14.25" customHeight="1" x14ac:dyDescent="0.3">
      <c r="F324" s="6"/>
      <c r="L324" s="16"/>
      <c r="M324" s="16"/>
      <c r="N324" s="16"/>
    </row>
    <row r="325" spans="6:14" ht="14.25" customHeight="1" x14ac:dyDescent="0.3">
      <c r="F325" s="6"/>
      <c r="L325" s="16"/>
      <c r="M325" s="16"/>
      <c r="N325" s="16"/>
    </row>
    <row r="326" spans="6:14" ht="14.25" customHeight="1" x14ac:dyDescent="0.3">
      <c r="F326" s="6"/>
      <c r="L326" s="16"/>
      <c r="M326" s="16"/>
      <c r="N326" s="16"/>
    </row>
    <row r="327" spans="6:14" ht="14.25" customHeight="1" x14ac:dyDescent="0.3">
      <c r="F327" s="6"/>
      <c r="L327" s="16"/>
      <c r="M327" s="16"/>
      <c r="N327" s="16"/>
    </row>
    <row r="328" spans="6:14" ht="14.25" customHeight="1" x14ac:dyDescent="0.3">
      <c r="F328" s="6"/>
      <c r="L328" s="16"/>
      <c r="M328" s="16"/>
      <c r="N328" s="16"/>
    </row>
    <row r="329" spans="6:14" ht="14.25" customHeight="1" x14ac:dyDescent="0.3">
      <c r="F329" s="6"/>
      <c r="L329" s="16"/>
      <c r="M329" s="16"/>
      <c r="N329" s="16"/>
    </row>
    <row r="330" spans="6:14" ht="14.25" customHeight="1" x14ac:dyDescent="0.3">
      <c r="F330" s="6"/>
      <c r="L330" s="16"/>
      <c r="M330" s="16"/>
      <c r="N330" s="16"/>
    </row>
    <row r="331" spans="6:14" ht="14.25" customHeight="1" x14ac:dyDescent="0.3">
      <c r="F331" s="6"/>
      <c r="L331" s="16"/>
      <c r="M331" s="16"/>
      <c r="N331" s="16"/>
    </row>
    <row r="332" spans="6:14" ht="14.25" customHeight="1" x14ac:dyDescent="0.3">
      <c r="F332" s="6"/>
      <c r="L332" s="16"/>
      <c r="M332" s="16"/>
      <c r="N332" s="16"/>
    </row>
    <row r="333" spans="6:14" ht="14.25" customHeight="1" x14ac:dyDescent="0.3">
      <c r="F333" s="6"/>
      <c r="L333" s="16"/>
      <c r="M333" s="16"/>
      <c r="N333" s="16"/>
    </row>
    <row r="334" spans="6:14" ht="14.25" customHeight="1" x14ac:dyDescent="0.3">
      <c r="F334" s="6"/>
      <c r="L334" s="16"/>
      <c r="M334" s="16"/>
      <c r="N334" s="16"/>
    </row>
    <row r="335" spans="6:14" ht="14.25" customHeight="1" x14ac:dyDescent="0.3">
      <c r="F335" s="6"/>
      <c r="L335" s="16"/>
      <c r="M335" s="16"/>
      <c r="N335" s="16"/>
    </row>
    <row r="336" spans="6:14" ht="14.25" customHeight="1" x14ac:dyDescent="0.3">
      <c r="F336" s="6"/>
      <c r="L336" s="16"/>
      <c r="M336" s="16"/>
      <c r="N336" s="16"/>
    </row>
    <row r="337" spans="6:14" ht="14.25" customHeight="1" x14ac:dyDescent="0.3">
      <c r="F337" s="6"/>
      <c r="L337" s="16"/>
      <c r="M337" s="16"/>
      <c r="N337" s="16"/>
    </row>
    <row r="338" spans="6:14" ht="14.25" customHeight="1" x14ac:dyDescent="0.3">
      <c r="F338" s="6"/>
      <c r="L338" s="16"/>
      <c r="M338" s="16"/>
      <c r="N338" s="16"/>
    </row>
    <row r="339" spans="6:14" ht="14.25" customHeight="1" x14ac:dyDescent="0.3">
      <c r="F339" s="6"/>
      <c r="L339" s="16"/>
      <c r="M339" s="16"/>
      <c r="N339" s="16"/>
    </row>
    <row r="340" spans="6:14" ht="14.25" customHeight="1" x14ac:dyDescent="0.3">
      <c r="F340" s="6"/>
      <c r="L340" s="16"/>
      <c r="M340" s="16"/>
      <c r="N340" s="16"/>
    </row>
    <row r="341" spans="6:14" ht="14.25" customHeight="1" x14ac:dyDescent="0.3">
      <c r="F341" s="6"/>
      <c r="L341" s="16"/>
      <c r="M341" s="16"/>
      <c r="N341" s="16"/>
    </row>
    <row r="342" spans="6:14" ht="14.25" customHeight="1" x14ac:dyDescent="0.3">
      <c r="F342" s="6"/>
      <c r="L342" s="16"/>
      <c r="M342" s="16"/>
      <c r="N342" s="16"/>
    </row>
    <row r="343" spans="6:14" ht="14.25" customHeight="1" x14ac:dyDescent="0.3">
      <c r="F343" s="6"/>
      <c r="L343" s="16"/>
      <c r="M343" s="16"/>
      <c r="N343" s="16"/>
    </row>
    <row r="344" spans="6:14" ht="14.25" customHeight="1" x14ac:dyDescent="0.3">
      <c r="F344" s="6"/>
      <c r="L344" s="16"/>
      <c r="M344" s="16"/>
      <c r="N344" s="16"/>
    </row>
    <row r="345" spans="6:14" ht="14.25" customHeight="1" x14ac:dyDescent="0.3">
      <c r="F345" s="6"/>
      <c r="L345" s="16"/>
      <c r="M345" s="16"/>
      <c r="N345" s="16"/>
    </row>
    <row r="346" spans="6:14" ht="14.25" customHeight="1" x14ac:dyDescent="0.3">
      <c r="F346" s="6"/>
      <c r="L346" s="16"/>
      <c r="M346" s="16"/>
      <c r="N346" s="16"/>
    </row>
    <row r="347" spans="6:14" ht="14.25" customHeight="1" x14ac:dyDescent="0.3">
      <c r="F347" s="6"/>
      <c r="L347" s="16"/>
      <c r="M347" s="16"/>
      <c r="N347" s="16"/>
    </row>
    <row r="348" spans="6:14" ht="14.25" customHeight="1" x14ac:dyDescent="0.3">
      <c r="F348" s="6"/>
      <c r="L348" s="16"/>
      <c r="M348" s="16"/>
      <c r="N348" s="16"/>
    </row>
    <row r="349" spans="6:14" ht="14.25" customHeight="1" x14ac:dyDescent="0.3">
      <c r="F349" s="6"/>
      <c r="L349" s="16"/>
      <c r="M349" s="16"/>
      <c r="N349" s="16"/>
    </row>
    <row r="350" spans="6:14" ht="14.25" customHeight="1" x14ac:dyDescent="0.3">
      <c r="F350" s="6"/>
      <c r="L350" s="16"/>
      <c r="M350" s="16"/>
      <c r="N350" s="16"/>
    </row>
    <row r="351" spans="6:14" ht="14.25" customHeight="1" x14ac:dyDescent="0.3">
      <c r="F351" s="6"/>
      <c r="L351" s="16"/>
      <c r="M351" s="16"/>
      <c r="N351" s="16"/>
    </row>
    <row r="352" spans="6:14" ht="14.25" customHeight="1" x14ac:dyDescent="0.3">
      <c r="F352" s="6"/>
      <c r="L352" s="16"/>
      <c r="M352" s="16"/>
      <c r="N352" s="16"/>
    </row>
    <row r="353" spans="6:14" ht="14.25" customHeight="1" x14ac:dyDescent="0.3">
      <c r="F353" s="6"/>
      <c r="L353" s="16"/>
      <c r="M353" s="16"/>
      <c r="N353" s="16"/>
    </row>
    <row r="354" spans="6:14" ht="14.25" customHeight="1" x14ac:dyDescent="0.3">
      <c r="F354" s="6"/>
      <c r="L354" s="16"/>
      <c r="M354" s="16"/>
      <c r="N354" s="16"/>
    </row>
    <row r="355" spans="6:14" ht="14.25" customHeight="1" x14ac:dyDescent="0.3">
      <c r="F355" s="6"/>
      <c r="L355" s="16"/>
      <c r="M355" s="16"/>
      <c r="N355" s="16"/>
    </row>
    <row r="356" spans="6:14" ht="14.25" customHeight="1" x14ac:dyDescent="0.3">
      <c r="F356" s="6"/>
      <c r="L356" s="16"/>
      <c r="M356" s="16"/>
      <c r="N356" s="16"/>
    </row>
    <row r="357" spans="6:14" ht="14.25" customHeight="1" x14ac:dyDescent="0.3">
      <c r="F357" s="6"/>
      <c r="L357" s="16"/>
      <c r="M357" s="16"/>
      <c r="N357" s="16"/>
    </row>
    <row r="358" spans="6:14" ht="14.25" customHeight="1" x14ac:dyDescent="0.3">
      <c r="F358" s="6"/>
      <c r="L358" s="16"/>
      <c r="M358" s="16"/>
      <c r="N358" s="16"/>
    </row>
    <row r="359" spans="6:14" ht="14.25" customHeight="1" x14ac:dyDescent="0.3">
      <c r="F359" s="6"/>
      <c r="L359" s="16"/>
      <c r="M359" s="16"/>
      <c r="N359" s="16"/>
    </row>
    <row r="360" spans="6:14" ht="14.25" customHeight="1" x14ac:dyDescent="0.3">
      <c r="F360" s="6"/>
      <c r="L360" s="16"/>
      <c r="M360" s="16"/>
      <c r="N360" s="16"/>
    </row>
    <row r="361" spans="6:14" ht="14.25" customHeight="1" x14ac:dyDescent="0.3">
      <c r="F361" s="6"/>
      <c r="L361" s="16"/>
      <c r="M361" s="16"/>
      <c r="N361" s="16"/>
    </row>
    <row r="362" spans="6:14" ht="14.25" customHeight="1" x14ac:dyDescent="0.3">
      <c r="F362" s="6"/>
      <c r="L362" s="16"/>
      <c r="M362" s="16"/>
      <c r="N362" s="16"/>
    </row>
    <row r="363" spans="6:14" ht="14.25" customHeight="1" x14ac:dyDescent="0.3">
      <c r="F363" s="6"/>
      <c r="L363" s="16"/>
      <c r="M363" s="16"/>
      <c r="N363" s="16"/>
    </row>
    <row r="364" spans="6:14" ht="14.25" customHeight="1" x14ac:dyDescent="0.3">
      <c r="F364" s="6"/>
      <c r="L364" s="16"/>
      <c r="M364" s="16"/>
      <c r="N364" s="16"/>
    </row>
    <row r="365" spans="6:14" ht="14.25" customHeight="1" x14ac:dyDescent="0.3">
      <c r="F365" s="6"/>
      <c r="L365" s="16"/>
      <c r="M365" s="16"/>
      <c r="N365" s="16"/>
    </row>
    <row r="366" spans="6:14" ht="14.25" customHeight="1" x14ac:dyDescent="0.3">
      <c r="F366" s="6"/>
      <c r="L366" s="16"/>
      <c r="M366" s="16"/>
      <c r="N366" s="16"/>
    </row>
    <row r="367" spans="6:14" ht="14.25" customHeight="1" x14ac:dyDescent="0.3">
      <c r="F367" s="6"/>
      <c r="L367" s="16"/>
      <c r="M367" s="16"/>
      <c r="N367" s="16"/>
    </row>
    <row r="368" spans="6:14" ht="14.25" customHeight="1" x14ac:dyDescent="0.3">
      <c r="F368" s="6"/>
      <c r="L368" s="16"/>
      <c r="M368" s="16"/>
      <c r="N368" s="16"/>
    </row>
    <row r="369" spans="6:14" ht="14.25" customHeight="1" x14ac:dyDescent="0.3">
      <c r="F369" s="6"/>
      <c r="L369" s="16"/>
      <c r="M369" s="16"/>
      <c r="N369" s="16"/>
    </row>
    <row r="370" spans="6:14" ht="14.25" customHeight="1" x14ac:dyDescent="0.3">
      <c r="F370" s="6"/>
      <c r="L370" s="16"/>
      <c r="M370" s="16"/>
      <c r="N370" s="16"/>
    </row>
    <row r="371" spans="6:14" ht="14.25" customHeight="1" x14ac:dyDescent="0.3">
      <c r="F371" s="6"/>
      <c r="L371" s="16"/>
      <c r="M371" s="16"/>
      <c r="N371" s="16"/>
    </row>
    <row r="372" spans="6:14" ht="14.25" customHeight="1" x14ac:dyDescent="0.3">
      <c r="F372" s="6"/>
      <c r="L372" s="16"/>
      <c r="M372" s="16"/>
      <c r="N372" s="16"/>
    </row>
    <row r="373" spans="6:14" ht="14.25" customHeight="1" x14ac:dyDescent="0.3">
      <c r="F373" s="6"/>
      <c r="L373" s="16"/>
      <c r="M373" s="16"/>
      <c r="N373" s="16"/>
    </row>
    <row r="374" spans="6:14" ht="14.25" customHeight="1" x14ac:dyDescent="0.3">
      <c r="F374" s="6"/>
      <c r="L374" s="16"/>
      <c r="M374" s="16"/>
      <c r="N374" s="16"/>
    </row>
    <row r="375" spans="6:14" ht="14.25" customHeight="1" x14ac:dyDescent="0.3">
      <c r="F375" s="6"/>
      <c r="L375" s="16"/>
      <c r="M375" s="16"/>
      <c r="N375" s="16"/>
    </row>
    <row r="376" spans="6:14" ht="14.25" customHeight="1" x14ac:dyDescent="0.3">
      <c r="F376" s="6"/>
      <c r="L376" s="16"/>
      <c r="M376" s="16"/>
      <c r="N376" s="16"/>
    </row>
    <row r="377" spans="6:14" ht="14.25" customHeight="1" x14ac:dyDescent="0.3">
      <c r="F377" s="6"/>
      <c r="L377" s="16"/>
      <c r="M377" s="16"/>
      <c r="N377" s="16"/>
    </row>
    <row r="378" spans="6:14" ht="14.25" customHeight="1" x14ac:dyDescent="0.3">
      <c r="F378" s="6"/>
      <c r="L378" s="16"/>
      <c r="M378" s="16"/>
      <c r="N378" s="16"/>
    </row>
    <row r="379" spans="6:14" ht="14.25" customHeight="1" x14ac:dyDescent="0.3">
      <c r="F379" s="6"/>
      <c r="L379" s="16"/>
      <c r="M379" s="16"/>
      <c r="N379" s="16"/>
    </row>
    <row r="380" spans="6:14" ht="14.25" customHeight="1" x14ac:dyDescent="0.3">
      <c r="F380" s="6"/>
      <c r="L380" s="16"/>
      <c r="M380" s="16"/>
      <c r="N380" s="16"/>
    </row>
    <row r="381" spans="6:14" ht="14.25" customHeight="1" x14ac:dyDescent="0.3">
      <c r="F381" s="6"/>
      <c r="L381" s="16"/>
      <c r="M381" s="16"/>
      <c r="N381" s="16"/>
    </row>
    <row r="382" spans="6:14" ht="14.25" customHeight="1" x14ac:dyDescent="0.3">
      <c r="F382" s="6"/>
      <c r="L382" s="16"/>
      <c r="M382" s="16"/>
      <c r="N382" s="16"/>
    </row>
    <row r="383" spans="6:14" ht="14.25" customHeight="1" x14ac:dyDescent="0.3">
      <c r="F383" s="6"/>
      <c r="L383" s="16"/>
      <c r="M383" s="16"/>
      <c r="N383" s="16"/>
    </row>
    <row r="384" spans="6:14" ht="14.25" customHeight="1" x14ac:dyDescent="0.3">
      <c r="F384" s="6"/>
      <c r="L384" s="16"/>
      <c r="M384" s="16"/>
      <c r="N384" s="16"/>
    </row>
    <row r="385" spans="6:14" ht="14.25" customHeight="1" x14ac:dyDescent="0.3">
      <c r="F385" s="6"/>
      <c r="L385" s="16"/>
      <c r="M385" s="16"/>
      <c r="N385" s="16"/>
    </row>
    <row r="386" spans="6:14" ht="14.25" customHeight="1" x14ac:dyDescent="0.3">
      <c r="F386" s="6"/>
      <c r="L386" s="16"/>
      <c r="M386" s="16"/>
      <c r="N386" s="16"/>
    </row>
    <row r="387" spans="6:14" ht="14.25" customHeight="1" x14ac:dyDescent="0.3">
      <c r="F387" s="6"/>
      <c r="L387" s="16"/>
      <c r="M387" s="16"/>
      <c r="N387" s="16"/>
    </row>
    <row r="388" spans="6:14" ht="14.25" customHeight="1" x14ac:dyDescent="0.3">
      <c r="F388" s="6"/>
      <c r="L388" s="16"/>
      <c r="M388" s="16"/>
      <c r="N388" s="16"/>
    </row>
    <row r="389" spans="6:14" ht="14.25" customHeight="1" x14ac:dyDescent="0.3">
      <c r="F389" s="6"/>
      <c r="L389" s="16"/>
      <c r="M389" s="16"/>
      <c r="N389" s="16"/>
    </row>
    <row r="390" spans="6:14" ht="14.25" customHeight="1" x14ac:dyDescent="0.3">
      <c r="F390" s="6"/>
      <c r="L390" s="16"/>
      <c r="M390" s="16"/>
      <c r="N390" s="16"/>
    </row>
    <row r="391" spans="6:14" ht="14.25" customHeight="1" x14ac:dyDescent="0.3">
      <c r="F391" s="6"/>
      <c r="L391" s="16"/>
      <c r="M391" s="16"/>
      <c r="N391" s="16"/>
    </row>
    <row r="392" spans="6:14" ht="14.25" customHeight="1" x14ac:dyDescent="0.3">
      <c r="F392" s="6"/>
      <c r="L392" s="16"/>
      <c r="M392" s="16"/>
      <c r="N392" s="16"/>
    </row>
    <row r="393" spans="6:14" ht="14.25" customHeight="1" x14ac:dyDescent="0.3">
      <c r="F393" s="6"/>
      <c r="L393" s="16"/>
      <c r="M393" s="16"/>
      <c r="N393" s="16"/>
    </row>
    <row r="394" spans="6:14" ht="14.25" customHeight="1" x14ac:dyDescent="0.3">
      <c r="F394" s="6"/>
      <c r="L394" s="16"/>
      <c r="M394" s="16"/>
      <c r="N394" s="16"/>
    </row>
    <row r="395" spans="6:14" ht="14.25" customHeight="1" x14ac:dyDescent="0.3">
      <c r="F395" s="6"/>
      <c r="L395" s="16"/>
      <c r="M395" s="16"/>
      <c r="N395" s="16"/>
    </row>
    <row r="396" spans="6:14" ht="14.25" customHeight="1" x14ac:dyDescent="0.3">
      <c r="F396" s="6"/>
      <c r="L396" s="16"/>
      <c r="M396" s="16"/>
      <c r="N396" s="16"/>
    </row>
    <row r="397" spans="6:14" ht="14.25" customHeight="1" x14ac:dyDescent="0.3">
      <c r="F397" s="6"/>
      <c r="L397" s="16"/>
      <c r="M397" s="16"/>
      <c r="N397" s="16"/>
    </row>
    <row r="398" spans="6:14" ht="14.25" customHeight="1" x14ac:dyDescent="0.3">
      <c r="F398" s="6"/>
      <c r="L398" s="16"/>
      <c r="M398" s="16"/>
      <c r="N398" s="16"/>
    </row>
    <row r="399" spans="6:14" ht="14.25" customHeight="1" x14ac:dyDescent="0.3">
      <c r="F399" s="6"/>
      <c r="L399" s="16"/>
      <c r="M399" s="16"/>
      <c r="N399" s="16"/>
    </row>
    <row r="400" spans="6:14" ht="14.25" customHeight="1" x14ac:dyDescent="0.3">
      <c r="F400" s="6"/>
      <c r="L400" s="16"/>
      <c r="M400" s="16"/>
      <c r="N400" s="16"/>
    </row>
    <row r="401" spans="6:14" ht="14.25" customHeight="1" x14ac:dyDescent="0.3">
      <c r="F401" s="6"/>
      <c r="L401" s="16"/>
      <c r="M401" s="16"/>
      <c r="N401" s="16"/>
    </row>
    <row r="402" spans="6:14" ht="14.25" customHeight="1" x14ac:dyDescent="0.3">
      <c r="F402" s="6"/>
      <c r="L402" s="16"/>
      <c r="M402" s="16"/>
      <c r="N402" s="16"/>
    </row>
    <row r="403" spans="6:14" ht="14.25" customHeight="1" x14ac:dyDescent="0.3">
      <c r="F403" s="6"/>
      <c r="L403" s="16"/>
      <c r="M403" s="16"/>
      <c r="N403" s="16"/>
    </row>
    <row r="404" spans="6:14" ht="14.25" customHeight="1" x14ac:dyDescent="0.3">
      <c r="F404" s="6"/>
      <c r="L404" s="16"/>
      <c r="M404" s="16"/>
      <c r="N404" s="16"/>
    </row>
    <row r="405" spans="6:14" ht="14.25" customHeight="1" x14ac:dyDescent="0.3">
      <c r="F405" s="6"/>
      <c r="L405" s="16"/>
      <c r="M405" s="16"/>
      <c r="N405" s="16"/>
    </row>
    <row r="406" spans="6:14" ht="14.25" customHeight="1" x14ac:dyDescent="0.3">
      <c r="F406" s="6"/>
      <c r="L406" s="16"/>
      <c r="M406" s="16"/>
      <c r="N406" s="16"/>
    </row>
    <row r="407" spans="6:14" ht="14.25" customHeight="1" x14ac:dyDescent="0.3">
      <c r="F407" s="6"/>
      <c r="L407" s="16"/>
      <c r="M407" s="16"/>
      <c r="N407" s="16"/>
    </row>
    <row r="408" spans="6:14" ht="14.25" customHeight="1" x14ac:dyDescent="0.3">
      <c r="F408" s="6"/>
      <c r="L408" s="16"/>
      <c r="M408" s="16"/>
      <c r="N408" s="16"/>
    </row>
    <row r="409" spans="6:14" ht="14.25" customHeight="1" x14ac:dyDescent="0.3">
      <c r="F409" s="6"/>
      <c r="L409" s="16"/>
      <c r="M409" s="16"/>
      <c r="N409" s="16"/>
    </row>
    <row r="410" spans="6:14" ht="14.25" customHeight="1" x14ac:dyDescent="0.3">
      <c r="F410" s="6"/>
      <c r="L410" s="16"/>
      <c r="M410" s="16"/>
      <c r="N410" s="16"/>
    </row>
    <row r="411" spans="6:14" ht="14.25" customHeight="1" x14ac:dyDescent="0.3">
      <c r="F411" s="6"/>
      <c r="L411" s="16"/>
      <c r="M411" s="16"/>
      <c r="N411" s="16"/>
    </row>
    <row r="412" spans="6:14" ht="14.25" customHeight="1" x14ac:dyDescent="0.3">
      <c r="F412" s="6"/>
      <c r="L412" s="16"/>
      <c r="M412" s="16"/>
      <c r="N412" s="16"/>
    </row>
    <row r="413" spans="6:14" ht="14.25" customHeight="1" x14ac:dyDescent="0.3">
      <c r="F413" s="6"/>
      <c r="L413" s="16"/>
      <c r="M413" s="16"/>
      <c r="N413" s="16"/>
    </row>
    <row r="414" spans="6:14" ht="14.25" customHeight="1" x14ac:dyDescent="0.3">
      <c r="F414" s="6"/>
      <c r="L414" s="16"/>
      <c r="M414" s="16"/>
      <c r="N414" s="16"/>
    </row>
    <row r="415" spans="6:14" ht="14.25" customHeight="1" x14ac:dyDescent="0.3">
      <c r="F415" s="6"/>
      <c r="L415" s="16"/>
      <c r="M415" s="16"/>
      <c r="N415" s="16"/>
    </row>
    <row r="416" spans="6:14" ht="14.25" customHeight="1" x14ac:dyDescent="0.3">
      <c r="F416" s="6"/>
      <c r="L416" s="16"/>
      <c r="M416" s="16"/>
      <c r="N416" s="16"/>
    </row>
    <row r="417" spans="6:14" ht="14.25" customHeight="1" x14ac:dyDescent="0.3">
      <c r="F417" s="6"/>
      <c r="L417" s="16"/>
      <c r="M417" s="16"/>
      <c r="N417" s="16"/>
    </row>
    <row r="418" spans="6:14" ht="14.25" customHeight="1" x14ac:dyDescent="0.3">
      <c r="F418" s="6"/>
      <c r="L418" s="16"/>
      <c r="M418" s="16"/>
      <c r="N418" s="16"/>
    </row>
    <row r="419" spans="6:14" ht="14.25" customHeight="1" x14ac:dyDescent="0.3">
      <c r="F419" s="6"/>
      <c r="L419" s="16"/>
      <c r="M419" s="16"/>
      <c r="N419" s="16"/>
    </row>
    <row r="420" spans="6:14" ht="14.25" customHeight="1" x14ac:dyDescent="0.3">
      <c r="F420" s="6"/>
      <c r="L420" s="16"/>
      <c r="M420" s="16"/>
      <c r="N420" s="16"/>
    </row>
    <row r="421" spans="6:14" ht="14.25" customHeight="1" x14ac:dyDescent="0.3">
      <c r="F421" s="6"/>
      <c r="L421" s="16"/>
      <c r="M421" s="16"/>
      <c r="N421" s="16"/>
    </row>
    <row r="422" spans="6:14" ht="14.25" customHeight="1" x14ac:dyDescent="0.3">
      <c r="F422" s="6"/>
      <c r="L422" s="16"/>
      <c r="M422" s="16"/>
      <c r="N422" s="16"/>
    </row>
    <row r="423" spans="6:14" ht="14.25" customHeight="1" x14ac:dyDescent="0.3">
      <c r="F423" s="6"/>
      <c r="L423" s="16"/>
      <c r="M423" s="16"/>
      <c r="N423" s="16"/>
    </row>
    <row r="424" spans="6:14" ht="14.25" customHeight="1" x14ac:dyDescent="0.3">
      <c r="F424" s="6"/>
      <c r="L424" s="16"/>
      <c r="M424" s="16"/>
      <c r="N424" s="16"/>
    </row>
    <row r="425" spans="6:14" ht="14.25" customHeight="1" x14ac:dyDescent="0.3">
      <c r="F425" s="6"/>
      <c r="L425" s="16"/>
      <c r="M425" s="16"/>
      <c r="N425" s="16"/>
    </row>
    <row r="426" spans="6:14" ht="14.25" customHeight="1" x14ac:dyDescent="0.3">
      <c r="F426" s="6"/>
      <c r="L426" s="16"/>
      <c r="M426" s="16"/>
      <c r="N426" s="16"/>
    </row>
    <row r="427" spans="6:14" ht="14.25" customHeight="1" x14ac:dyDescent="0.3">
      <c r="F427" s="6"/>
      <c r="L427" s="16"/>
      <c r="M427" s="16"/>
      <c r="N427" s="16"/>
    </row>
    <row r="428" spans="6:14" ht="14.25" customHeight="1" x14ac:dyDescent="0.3">
      <c r="F428" s="6"/>
      <c r="L428" s="16"/>
      <c r="M428" s="16"/>
      <c r="N428" s="16"/>
    </row>
    <row r="429" spans="6:14" ht="14.25" customHeight="1" x14ac:dyDescent="0.3">
      <c r="F429" s="6"/>
      <c r="L429" s="16"/>
      <c r="M429" s="16"/>
      <c r="N429" s="16"/>
    </row>
    <row r="430" spans="6:14" ht="14.25" customHeight="1" x14ac:dyDescent="0.3">
      <c r="F430" s="6"/>
      <c r="L430" s="16"/>
      <c r="M430" s="16"/>
      <c r="N430" s="16"/>
    </row>
    <row r="431" spans="6:14" ht="14.25" customHeight="1" x14ac:dyDescent="0.3">
      <c r="F431" s="6"/>
      <c r="L431" s="16"/>
      <c r="M431" s="16"/>
      <c r="N431" s="16"/>
    </row>
    <row r="432" spans="6:14" ht="14.25" customHeight="1" x14ac:dyDescent="0.3">
      <c r="F432" s="6"/>
      <c r="L432" s="16"/>
      <c r="M432" s="16"/>
      <c r="N432" s="16"/>
    </row>
    <row r="433" spans="6:14" ht="14.25" customHeight="1" x14ac:dyDescent="0.3">
      <c r="F433" s="6"/>
      <c r="L433" s="16"/>
      <c r="M433" s="16"/>
      <c r="N433" s="16"/>
    </row>
    <row r="434" spans="6:14" ht="14.25" customHeight="1" x14ac:dyDescent="0.3">
      <c r="F434" s="6"/>
      <c r="L434" s="16"/>
      <c r="M434" s="16"/>
      <c r="N434" s="16"/>
    </row>
    <row r="435" spans="6:14" ht="14.25" customHeight="1" x14ac:dyDescent="0.3">
      <c r="F435" s="6"/>
      <c r="L435" s="16"/>
      <c r="M435" s="16"/>
      <c r="N435" s="16"/>
    </row>
    <row r="436" spans="6:14" ht="14.25" customHeight="1" x14ac:dyDescent="0.3">
      <c r="F436" s="6"/>
      <c r="L436" s="16"/>
      <c r="M436" s="16"/>
      <c r="N436" s="16"/>
    </row>
    <row r="437" spans="6:14" ht="14.25" customHeight="1" x14ac:dyDescent="0.3">
      <c r="F437" s="6"/>
      <c r="L437" s="16"/>
      <c r="M437" s="16"/>
      <c r="N437" s="16"/>
    </row>
    <row r="438" spans="6:14" ht="14.25" customHeight="1" x14ac:dyDescent="0.3">
      <c r="F438" s="6"/>
      <c r="L438" s="16"/>
      <c r="M438" s="16"/>
      <c r="N438" s="16"/>
    </row>
    <row r="439" spans="6:14" ht="14.25" customHeight="1" x14ac:dyDescent="0.3">
      <c r="F439" s="6"/>
      <c r="L439" s="16"/>
      <c r="M439" s="16"/>
      <c r="N439" s="16"/>
    </row>
    <row r="440" spans="6:14" ht="14.25" customHeight="1" x14ac:dyDescent="0.3">
      <c r="F440" s="6"/>
      <c r="L440" s="16"/>
      <c r="M440" s="16"/>
      <c r="N440" s="16"/>
    </row>
    <row r="441" spans="6:14" ht="14.25" customHeight="1" x14ac:dyDescent="0.3">
      <c r="F441" s="6"/>
      <c r="L441" s="16"/>
      <c r="M441" s="16"/>
      <c r="N441" s="16"/>
    </row>
    <row r="442" spans="6:14" ht="14.25" customHeight="1" x14ac:dyDescent="0.3">
      <c r="F442" s="6"/>
      <c r="L442" s="16"/>
      <c r="M442" s="16"/>
      <c r="N442" s="16"/>
    </row>
    <row r="443" spans="6:14" ht="14.25" customHeight="1" x14ac:dyDescent="0.3">
      <c r="F443" s="6"/>
      <c r="L443" s="16"/>
      <c r="M443" s="16"/>
      <c r="N443" s="16"/>
    </row>
    <row r="444" spans="6:14" ht="14.25" customHeight="1" x14ac:dyDescent="0.3">
      <c r="F444" s="6"/>
      <c r="L444" s="16"/>
      <c r="M444" s="16"/>
      <c r="N444" s="16"/>
    </row>
    <row r="445" spans="6:14" ht="14.25" customHeight="1" x14ac:dyDescent="0.3">
      <c r="F445" s="6"/>
      <c r="L445" s="16"/>
      <c r="M445" s="16"/>
      <c r="N445" s="16"/>
    </row>
    <row r="446" spans="6:14" ht="14.25" customHeight="1" x14ac:dyDescent="0.3">
      <c r="F446" s="6"/>
      <c r="L446" s="16"/>
      <c r="M446" s="16"/>
      <c r="N446" s="16"/>
    </row>
    <row r="447" spans="6:14" ht="14.25" customHeight="1" x14ac:dyDescent="0.3">
      <c r="F447" s="6"/>
      <c r="L447" s="16"/>
      <c r="M447" s="16"/>
      <c r="N447" s="16"/>
    </row>
    <row r="448" spans="6:14" ht="14.25" customHeight="1" x14ac:dyDescent="0.3">
      <c r="F448" s="6"/>
      <c r="L448" s="16"/>
      <c r="M448" s="16"/>
      <c r="N448" s="16"/>
    </row>
    <row r="449" spans="6:14" ht="14.25" customHeight="1" x14ac:dyDescent="0.3">
      <c r="F449" s="6"/>
      <c r="L449" s="16"/>
      <c r="M449" s="16"/>
      <c r="N449" s="16"/>
    </row>
    <row r="450" spans="6:14" ht="14.25" customHeight="1" x14ac:dyDescent="0.3">
      <c r="F450" s="6"/>
      <c r="L450" s="16"/>
      <c r="M450" s="16"/>
      <c r="N450" s="16"/>
    </row>
    <row r="451" spans="6:14" ht="14.25" customHeight="1" x14ac:dyDescent="0.3">
      <c r="F451" s="6"/>
      <c r="L451" s="16"/>
      <c r="M451" s="16"/>
      <c r="N451" s="16"/>
    </row>
    <row r="452" spans="6:14" ht="14.25" customHeight="1" x14ac:dyDescent="0.3">
      <c r="F452" s="6"/>
      <c r="L452" s="16"/>
      <c r="M452" s="16"/>
      <c r="N452" s="16"/>
    </row>
    <row r="453" spans="6:14" ht="14.25" customHeight="1" x14ac:dyDescent="0.3">
      <c r="F453" s="6"/>
      <c r="L453" s="16"/>
      <c r="M453" s="16"/>
      <c r="N453" s="16"/>
    </row>
    <row r="454" spans="6:14" ht="14.25" customHeight="1" x14ac:dyDescent="0.3">
      <c r="F454" s="6"/>
      <c r="L454" s="16"/>
      <c r="M454" s="16"/>
      <c r="N454" s="16"/>
    </row>
    <row r="455" spans="6:14" ht="14.25" customHeight="1" x14ac:dyDescent="0.3">
      <c r="F455" s="6"/>
      <c r="L455" s="16"/>
      <c r="M455" s="16"/>
      <c r="N455" s="16"/>
    </row>
    <row r="456" spans="6:14" ht="14.25" customHeight="1" x14ac:dyDescent="0.3">
      <c r="F456" s="6"/>
      <c r="L456" s="16"/>
      <c r="M456" s="16"/>
      <c r="N456" s="16"/>
    </row>
    <row r="457" spans="6:14" ht="14.25" customHeight="1" x14ac:dyDescent="0.3">
      <c r="F457" s="6"/>
      <c r="L457" s="16"/>
      <c r="M457" s="16"/>
      <c r="N457" s="16"/>
    </row>
    <row r="458" spans="6:14" ht="14.25" customHeight="1" x14ac:dyDescent="0.3">
      <c r="F458" s="6"/>
      <c r="L458" s="16"/>
      <c r="M458" s="16"/>
      <c r="N458" s="16"/>
    </row>
    <row r="459" spans="6:14" ht="14.25" customHeight="1" x14ac:dyDescent="0.3">
      <c r="F459" s="6"/>
      <c r="L459" s="16"/>
      <c r="M459" s="16"/>
      <c r="N459" s="16"/>
    </row>
    <row r="460" spans="6:14" ht="14.25" customHeight="1" x14ac:dyDescent="0.3">
      <c r="F460" s="6"/>
      <c r="L460" s="16"/>
      <c r="M460" s="16"/>
      <c r="N460" s="16"/>
    </row>
    <row r="461" spans="6:14" ht="14.25" customHeight="1" x14ac:dyDescent="0.3">
      <c r="F461" s="6"/>
      <c r="L461" s="16"/>
      <c r="M461" s="16"/>
      <c r="N461" s="16"/>
    </row>
    <row r="462" spans="6:14" ht="14.25" customHeight="1" x14ac:dyDescent="0.3">
      <c r="F462" s="6"/>
      <c r="L462" s="16"/>
      <c r="M462" s="16"/>
      <c r="N462" s="16"/>
    </row>
    <row r="463" spans="6:14" ht="14.25" customHeight="1" x14ac:dyDescent="0.3">
      <c r="F463" s="6"/>
      <c r="L463" s="16"/>
      <c r="M463" s="16"/>
      <c r="N463" s="16"/>
    </row>
    <row r="464" spans="6:14" ht="14.25" customHeight="1" x14ac:dyDescent="0.3">
      <c r="F464" s="6"/>
      <c r="L464" s="16"/>
      <c r="M464" s="16"/>
      <c r="N464" s="16"/>
    </row>
    <row r="465" spans="6:14" ht="14.25" customHeight="1" x14ac:dyDescent="0.3">
      <c r="F465" s="6"/>
      <c r="L465" s="16"/>
      <c r="M465" s="16"/>
      <c r="N465" s="16"/>
    </row>
    <row r="466" spans="6:14" ht="14.25" customHeight="1" x14ac:dyDescent="0.3">
      <c r="F466" s="6"/>
      <c r="L466" s="16"/>
      <c r="M466" s="16"/>
      <c r="N466" s="16"/>
    </row>
    <row r="467" spans="6:14" ht="14.25" customHeight="1" x14ac:dyDescent="0.3">
      <c r="F467" s="6"/>
      <c r="L467" s="16"/>
      <c r="M467" s="16"/>
      <c r="N467" s="16"/>
    </row>
    <row r="468" spans="6:14" ht="14.25" customHeight="1" x14ac:dyDescent="0.3">
      <c r="F468" s="6"/>
      <c r="L468" s="16"/>
      <c r="M468" s="16"/>
      <c r="N468" s="16"/>
    </row>
    <row r="469" spans="6:14" ht="14.25" customHeight="1" x14ac:dyDescent="0.3">
      <c r="F469" s="6"/>
      <c r="L469" s="16"/>
      <c r="M469" s="16"/>
      <c r="N469" s="16"/>
    </row>
    <row r="470" spans="6:14" ht="14.25" customHeight="1" x14ac:dyDescent="0.3">
      <c r="F470" s="6"/>
      <c r="L470" s="16"/>
      <c r="M470" s="16"/>
      <c r="N470" s="16"/>
    </row>
    <row r="471" spans="6:14" ht="14.25" customHeight="1" x14ac:dyDescent="0.3">
      <c r="F471" s="6"/>
      <c r="L471" s="16"/>
      <c r="M471" s="16"/>
      <c r="N471" s="16"/>
    </row>
    <row r="472" spans="6:14" ht="14.25" customHeight="1" x14ac:dyDescent="0.3">
      <c r="F472" s="6"/>
      <c r="L472" s="16"/>
      <c r="M472" s="16"/>
      <c r="N472" s="16"/>
    </row>
    <row r="473" spans="6:14" ht="14.25" customHeight="1" x14ac:dyDescent="0.3">
      <c r="F473" s="6"/>
      <c r="L473" s="16"/>
      <c r="M473" s="16"/>
      <c r="N473" s="16"/>
    </row>
    <row r="474" spans="6:14" ht="14.25" customHeight="1" x14ac:dyDescent="0.3">
      <c r="F474" s="6"/>
      <c r="L474" s="16"/>
      <c r="M474" s="16"/>
      <c r="N474" s="16"/>
    </row>
    <row r="475" spans="6:14" ht="14.25" customHeight="1" x14ac:dyDescent="0.3">
      <c r="F475" s="6"/>
      <c r="L475" s="16"/>
      <c r="M475" s="16"/>
      <c r="N475" s="16"/>
    </row>
    <row r="476" spans="6:14" ht="14.25" customHeight="1" x14ac:dyDescent="0.3">
      <c r="F476" s="6"/>
      <c r="L476" s="16"/>
      <c r="M476" s="16"/>
      <c r="N476" s="16"/>
    </row>
    <row r="477" spans="6:14" ht="14.25" customHeight="1" x14ac:dyDescent="0.3">
      <c r="F477" s="6"/>
      <c r="L477" s="16"/>
      <c r="M477" s="16"/>
      <c r="N477" s="16"/>
    </row>
    <row r="478" spans="6:14" ht="14.25" customHeight="1" x14ac:dyDescent="0.3">
      <c r="F478" s="6"/>
      <c r="L478" s="16"/>
      <c r="M478" s="16"/>
      <c r="N478" s="16"/>
    </row>
    <row r="479" spans="6:14" ht="14.25" customHeight="1" x14ac:dyDescent="0.3">
      <c r="F479" s="6"/>
      <c r="L479" s="16"/>
      <c r="M479" s="16"/>
      <c r="N479" s="16"/>
    </row>
    <row r="480" spans="6:14" ht="14.25" customHeight="1" x14ac:dyDescent="0.3">
      <c r="F480" s="6"/>
      <c r="L480" s="16"/>
      <c r="M480" s="16"/>
      <c r="N480" s="16"/>
    </row>
    <row r="481" spans="6:14" ht="14.25" customHeight="1" x14ac:dyDescent="0.3">
      <c r="F481" s="6"/>
      <c r="L481" s="16"/>
      <c r="M481" s="16"/>
      <c r="N481" s="16"/>
    </row>
    <row r="482" spans="6:14" ht="14.25" customHeight="1" x14ac:dyDescent="0.3">
      <c r="F482" s="6"/>
      <c r="L482" s="16"/>
      <c r="M482" s="16"/>
      <c r="N482" s="16"/>
    </row>
    <row r="483" spans="6:14" ht="14.25" customHeight="1" x14ac:dyDescent="0.3">
      <c r="F483" s="6"/>
      <c r="L483" s="16"/>
      <c r="M483" s="16"/>
      <c r="N483" s="16"/>
    </row>
    <row r="484" spans="6:14" ht="14.25" customHeight="1" x14ac:dyDescent="0.3">
      <c r="F484" s="6"/>
      <c r="L484" s="16"/>
      <c r="M484" s="16"/>
      <c r="N484" s="16"/>
    </row>
    <row r="485" spans="6:14" ht="14.25" customHeight="1" x14ac:dyDescent="0.3">
      <c r="F485" s="6"/>
      <c r="L485" s="16"/>
      <c r="M485" s="16"/>
      <c r="N485" s="16"/>
    </row>
    <row r="486" spans="6:14" ht="14.25" customHeight="1" x14ac:dyDescent="0.3">
      <c r="F486" s="6"/>
      <c r="L486" s="16"/>
      <c r="M486" s="16"/>
      <c r="N486" s="16"/>
    </row>
    <row r="487" spans="6:14" ht="14.25" customHeight="1" x14ac:dyDescent="0.3">
      <c r="F487" s="6"/>
      <c r="L487" s="16"/>
      <c r="M487" s="16"/>
      <c r="N487" s="16"/>
    </row>
    <row r="488" spans="6:14" ht="14.25" customHeight="1" x14ac:dyDescent="0.3">
      <c r="F488" s="6"/>
      <c r="L488" s="16"/>
      <c r="M488" s="16"/>
      <c r="N488" s="16"/>
    </row>
    <row r="489" spans="6:14" ht="14.25" customHeight="1" x14ac:dyDescent="0.3">
      <c r="F489" s="6"/>
      <c r="L489" s="16"/>
      <c r="M489" s="16"/>
      <c r="N489" s="16"/>
    </row>
    <row r="490" spans="6:14" ht="14.25" customHeight="1" x14ac:dyDescent="0.3">
      <c r="F490" s="6"/>
      <c r="L490" s="16"/>
      <c r="M490" s="16"/>
      <c r="N490" s="16"/>
    </row>
    <row r="491" spans="6:14" ht="14.25" customHeight="1" x14ac:dyDescent="0.3">
      <c r="F491" s="6"/>
      <c r="L491" s="16"/>
      <c r="M491" s="16"/>
      <c r="N491" s="16"/>
    </row>
    <row r="492" spans="6:14" ht="14.25" customHeight="1" x14ac:dyDescent="0.3">
      <c r="F492" s="6"/>
      <c r="L492" s="16"/>
      <c r="M492" s="16"/>
      <c r="N492" s="16"/>
    </row>
    <row r="493" spans="6:14" ht="14.25" customHeight="1" x14ac:dyDescent="0.3">
      <c r="F493" s="6"/>
      <c r="L493" s="16"/>
      <c r="M493" s="16"/>
      <c r="N493" s="16"/>
    </row>
    <row r="494" spans="6:14" ht="14.25" customHeight="1" x14ac:dyDescent="0.3">
      <c r="F494" s="6"/>
      <c r="L494" s="16"/>
      <c r="M494" s="16"/>
      <c r="N494" s="16"/>
    </row>
    <row r="495" spans="6:14" ht="14.25" customHeight="1" x14ac:dyDescent="0.3">
      <c r="F495" s="6"/>
      <c r="L495" s="16"/>
      <c r="M495" s="16"/>
      <c r="N495" s="16"/>
    </row>
    <row r="496" spans="6:14" ht="14.25" customHeight="1" x14ac:dyDescent="0.3">
      <c r="F496" s="6"/>
      <c r="L496" s="16"/>
      <c r="M496" s="16"/>
      <c r="N496" s="16"/>
    </row>
    <row r="497" spans="6:14" ht="14.25" customHeight="1" x14ac:dyDescent="0.3">
      <c r="F497" s="6"/>
      <c r="L497" s="16"/>
      <c r="M497" s="16"/>
      <c r="N497" s="16"/>
    </row>
    <row r="498" spans="6:14" ht="14.25" customHeight="1" x14ac:dyDescent="0.3">
      <c r="F498" s="6"/>
      <c r="L498" s="16"/>
      <c r="M498" s="16"/>
      <c r="N498" s="16"/>
    </row>
    <row r="499" spans="6:14" ht="14.25" customHeight="1" x14ac:dyDescent="0.3">
      <c r="F499" s="6"/>
      <c r="L499" s="16"/>
      <c r="M499" s="16"/>
      <c r="N499" s="16"/>
    </row>
    <row r="500" spans="6:14" ht="14.25" customHeight="1" x14ac:dyDescent="0.3">
      <c r="F500" s="6"/>
      <c r="L500" s="16"/>
      <c r="M500" s="16"/>
      <c r="N500" s="16"/>
    </row>
    <row r="501" spans="6:14" ht="14.25" customHeight="1" x14ac:dyDescent="0.3">
      <c r="F501" s="6"/>
      <c r="L501" s="16"/>
      <c r="M501" s="16"/>
      <c r="N501" s="16"/>
    </row>
    <row r="502" spans="6:14" ht="14.25" customHeight="1" x14ac:dyDescent="0.3">
      <c r="F502" s="6"/>
      <c r="L502" s="16"/>
      <c r="M502" s="16"/>
      <c r="N502" s="16"/>
    </row>
    <row r="503" spans="6:14" ht="14.25" customHeight="1" x14ac:dyDescent="0.3">
      <c r="F503" s="6"/>
      <c r="L503" s="16"/>
      <c r="M503" s="16"/>
      <c r="N503" s="16"/>
    </row>
    <row r="504" spans="6:14" ht="14.25" customHeight="1" x14ac:dyDescent="0.3">
      <c r="F504" s="6"/>
      <c r="L504" s="16"/>
      <c r="M504" s="16"/>
      <c r="N504" s="16"/>
    </row>
    <row r="505" spans="6:14" ht="14.25" customHeight="1" x14ac:dyDescent="0.3">
      <c r="F505" s="6"/>
      <c r="L505" s="16"/>
      <c r="M505" s="16"/>
      <c r="N505" s="16"/>
    </row>
    <row r="506" spans="6:14" ht="14.25" customHeight="1" x14ac:dyDescent="0.3">
      <c r="F506" s="6"/>
      <c r="L506" s="16"/>
      <c r="M506" s="16"/>
      <c r="N506" s="16"/>
    </row>
    <row r="507" spans="6:14" ht="14.25" customHeight="1" x14ac:dyDescent="0.3">
      <c r="F507" s="6"/>
      <c r="L507" s="16"/>
      <c r="M507" s="16"/>
      <c r="N507" s="16"/>
    </row>
    <row r="508" spans="6:14" ht="14.25" customHeight="1" x14ac:dyDescent="0.3">
      <c r="F508" s="6"/>
      <c r="L508" s="16"/>
      <c r="M508" s="16"/>
      <c r="N508" s="16"/>
    </row>
    <row r="509" spans="6:14" ht="14.25" customHeight="1" x14ac:dyDescent="0.3">
      <c r="F509" s="6"/>
      <c r="L509" s="16"/>
      <c r="M509" s="16"/>
      <c r="N509" s="16"/>
    </row>
    <row r="510" spans="6:14" ht="14.25" customHeight="1" x14ac:dyDescent="0.3">
      <c r="F510" s="6"/>
      <c r="L510" s="16"/>
      <c r="M510" s="16"/>
      <c r="N510" s="16"/>
    </row>
    <row r="511" spans="6:14" ht="14.25" customHeight="1" x14ac:dyDescent="0.3">
      <c r="F511" s="6"/>
      <c r="L511" s="16"/>
      <c r="M511" s="16"/>
      <c r="N511" s="16"/>
    </row>
    <row r="512" spans="6:14" ht="14.25" customHeight="1" x14ac:dyDescent="0.3">
      <c r="F512" s="6"/>
      <c r="L512" s="16"/>
      <c r="M512" s="16"/>
      <c r="N512" s="16"/>
    </row>
    <row r="513" spans="6:14" ht="14.25" customHeight="1" x14ac:dyDescent="0.3">
      <c r="F513" s="6"/>
      <c r="L513" s="16"/>
      <c r="M513" s="16"/>
      <c r="N513" s="16"/>
    </row>
    <row r="514" spans="6:14" ht="14.25" customHeight="1" x14ac:dyDescent="0.3">
      <c r="F514" s="6"/>
      <c r="L514" s="16"/>
      <c r="M514" s="16"/>
      <c r="N514" s="16"/>
    </row>
    <row r="515" spans="6:14" ht="14.25" customHeight="1" x14ac:dyDescent="0.3">
      <c r="F515" s="6"/>
      <c r="L515" s="16"/>
      <c r="M515" s="16"/>
      <c r="N515" s="16"/>
    </row>
    <row r="516" spans="6:14" ht="14.25" customHeight="1" x14ac:dyDescent="0.3">
      <c r="F516" s="6"/>
      <c r="L516" s="16"/>
      <c r="M516" s="16"/>
      <c r="N516" s="16"/>
    </row>
    <row r="517" spans="6:14" ht="14.25" customHeight="1" x14ac:dyDescent="0.3">
      <c r="F517" s="6"/>
      <c r="L517" s="16"/>
      <c r="M517" s="16"/>
      <c r="N517" s="16"/>
    </row>
    <row r="518" spans="6:14" ht="14.25" customHeight="1" x14ac:dyDescent="0.3">
      <c r="F518" s="6"/>
      <c r="L518" s="16"/>
      <c r="M518" s="16"/>
      <c r="N518" s="16"/>
    </row>
    <row r="519" spans="6:14" ht="14.25" customHeight="1" x14ac:dyDescent="0.3">
      <c r="F519" s="6"/>
      <c r="L519" s="16"/>
      <c r="M519" s="16"/>
      <c r="N519" s="16"/>
    </row>
    <row r="520" spans="6:14" ht="14.25" customHeight="1" x14ac:dyDescent="0.3">
      <c r="F520" s="6"/>
      <c r="L520" s="16"/>
      <c r="M520" s="16"/>
      <c r="N520" s="16"/>
    </row>
    <row r="521" spans="6:14" ht="14.25" customHeight="1" x14ac:dyDescent="0.3">
      <c r="F521" s="6"/>
      <c r="L521" s="16"/>
      <c r="M521" s="16"/>
      <c r="N521" s="16"/>
    </row>
    <row r="522" spans="6:14" ht="14.25" customHeight="1" x14ac:dyDescent="0.3">
      <c r="F522" s="6"/>
      <c r="L522" s="16"/>
      <c r="M522" s="16"/>
      <c r="N522" s="16"/>
    </row>
    <row r="523" spans="6:14" ht="14.25" customHeight="1" x14ac:dyDescent="0.3">
      <c r="F523" s="6"/>
      <c r="L523" s="16"/>
      <c r="M523" s="16"/>
      <c r="N523" s="16"/>
    </row>
    <row r="524" spans="6:14" ht="14.25" customHeight="1" x14ac:dyDescent="0.3">
      <c r="F524" s="6"/>
      <c r="L524" s="16"/>
      <c r="M524" s="16"/>
      <c r="N524" s="16"/>
    </row>
    <row r="525" spans="6:14" ht="14.25" customHeight="1" x14ac:dyDescent="0.3">
      <c r="F525" s="6"/>
      <c r="L525" s="16"/>
      <c r="M525" s="16"/>
      <c r="N525" s="16"/>
    </row>
    <row r="526" spans="6:14" ht="14.25" customHeight="1" x14ac:dyDescent="0.3">
      <c r="F526" s="6"/>
      <c r="L526" s="16"/>
      <c r="M526" s="16"/>
      <c r="N526" s="16"/>
    </row>
    <row r="527" spans="6:14" ht="14.25" customHeight="1" x14ac:dyDescent="0.3">
      <c r="F527" s="6"/>
      <c r="L527" s="16"/>
      <c r="M527" s="16"/>
      <c r="N527" s="16"/>
    </row>
    <row r="528" spans="6:14" ht="14.25" customHeight="1" x14ac:dyDescent="0.3">
      <c r="F528" s="6"/>
      <c r="L528" s="16"/>
      <c r="M528" s="16"/>
      <c r="N528" s="16"/>
    </row>
    <row r="529" spans="6:14" ht="14.25" customHeight="1" x14ac:dyDescent="0.3">
      <c r="F529" s="6"/>
      <c r="L529" s="16"/>
      <c r="M529" s="16"/>
      <c r="N529" s="16"/>
    </row>
    <row r="530" spans="6:14" ht="14.25" customHeight="1" x14ac:dyDescent="0.3">
      <c r="F530" s="6"/>
      <c r="L530" s="16"/>
      <c r="M530" s="16"/>
      <c r="N530" s="16"/>
    </row>
    <row r="531" spans="6:14" ht="14.25" customHeight="1" x14ac:dyDescent="0.3">
      <c r="F531" s="6"/>
      <c r="L531" s="16"/>
      <c r="M531" s="16"/>
      <c r="N531" s="16"/>
    </row>
    <row r="532" spans="6:14" ht="14.25" customHeight="1" x14ac:dyDescent="0.3">
      <c r="F532" s="6"/>
      <c r="L532" s="16"/>
      <c r="M532" s="16"/>
      <c r="N532" s="16"/>
    </row>
    <row r="533" spans="6:14" ht="14.25" customHeight="1" x14ac:dyDescent="0.3">
      <c r="F533" s="6"/>
      <c r="L533" s="16"/>
      <c r="M533" s="16"/>
      <c r="N533" s="16"/>
    </row>
    <row r="534" spans="6:14" ht="14.25" customHeight="1" x14ac:dyDescent="0.3">
      <c r="F534" s="6"/>
      <c r="L534" s="16"/>
      <c r="M534" s="16"/>
      <c r="N534" s="16"/>
    </row>
    <row r="535" spans="6:14" ht="14.25" customHeight="1" x14ac:dyDescent="0.3">
      <c r="F535" s="6"/>
      <c r="L535" s="16"/>
      <c r="M535" s="16"/>
      <c r="N535" s="16"/>
    </row>
    <row r="536" spans="6:14" ht="14.25" customHeight="1" x14ac:dyDescent="0.3">
      <c r="F536" s="6"/>
      <c r="L536" s="16"/>
      <c r="M536" s="16"/>
      <c r="N536" s="16"/>
    </row>
    <row r="537" spans="6:14" ht="14.25" customHeight="1" x14ac:dyDescent="0.3">
      <c r="F537" s="6"/>
      <c r="L537" s="16"/>
      <c r="M537" s="16"/>
      <c r="N537" s="16"/>
    </row>
    <row r="538" spans="6:14" ht="14.25" customHeight="1" x14ac:dyDescent="0.3">
      <c r="F538" s="6"/>
      <c r="L538" s="16"/>
      <c r="M538" s="16"/>
      <c r="N538" s="16"/>
    </row>
    <row r="539" spans="6:14" ht="14.25" customHeight="1" x14ac:dyDescent="0.3">
      <c r="F539" s="6"/>
      <c r="L539" s="16"/>
      <c r="M539" s="16"/>
      <c r="N539" s="16"/>
    </row>
    <row r="540" spans="6:14" ht="14.25" customHeight="1" x14ac:dyDescent="0.3">
      <c r="F540" s="6"/>
      <c r="L540" s="16"/>
      <c r="M540" s="16"/>
      <c r="N540" s="16"/>
    </row>
    <row r="541" spans="6:14" ht="14.25" customHeight="1" x14ac:dyDescent="0.3">
      <c r="F541" s="6"/>
      <c r="L541" s="16"/>
      <c r="M541" s="16"/>
      <c r="N541" s="16"/>
    </row>
    <row r="542" spans="6:14" ht="14.25" customHeight="1" x14ac:dyDescent="0.3">
      <c r="F542" s="6"/>
      <c r="L542" s="16"/>
      <c r="M542" s="16"/>
      <c r="N542" s="16"/>
    </row>
    <row r="543" spans="6:14" ht="14.25" customHeight="1" x14ac:dyDescent="0.3">
      <c r="F543" s="6"/>
      <c r="L543" s="16"/>
      <c r="M543" s="16"/>
      <c r="N543" s="16"/>
    </row>
    <row r="544" spans="6:14" ht="14.25" customHeight="1" x14ac:dyDescent="0.3">
      <c r="F544" s="6"/>
      <c r="L544" s="16"/>
      <c r="M544" s="16"/>
      <c r="N544" s="16"/>
    </row>
    <row r="545" spans="6:14" ht="14.25" customHeight="1" x14ac:dyDescent="0.3">
      <c r="F545" s="6"/>
      <c r="L545" s="16"/>
      <c r="M545" s="16"/>
      <c r="N545" s="16"/>
    </row>
    <row r="546" spans="6:14" ht="14.25" customHeight="1" x14ac:dyDescent="0.3">
      <c r="F546" s="6"/>
      <c r="L546" s="16"/>
      <c r="M546" s="16"/>
      <c r="N546" s="16"/>
    </row>
    <row r="547" spans="6:14" ht="14.25" customHeight="1" x14ac:dyDescent="0.3">
      <c r="F547" s="6"/>
      <c r="L547" s="16"/>
      <c r="M547" s="16"/>
      <c r="N547" s="16"/>
    </row>
    <row r="548" spans="6:14" ht="14.25" customHeight="1" x14ac:dyDescent="0.3">
      <c r="F548" s="6"/>
      <c r="L548" s="16"/>
      <c r="M548" s="16"/>
      <c r="N548" s="16"/>
    </row>
    <row r="549" spans="6:14" ht="14.25" customHeight="1" x14ac:dyDescent="0.3">
      <c r="F549" s="6"/>
      <c r="L549" s="16"/>
      <c r="M549" s="16"/>
      <c r="N549" s="16"/>
    </row>
    <row r="550" spans="6:14" ht="14.25" customHeight="1" x14ac:dyDescent="0.3">
      <c r="F550" s="6"/>
      <c r="L550" s="16"/>
      <c r="M550" s="16"/>
      <c r="N550" s="16"/>
    </row>
    <row r="551" spans="6:14" ht="14.25" customHeight="1" x14ac:dyDescent="0.3">
      <c r="F551" s="6"/>
      <c r="L551" s="16"/>
      <c r="M551" s="16"/>
      <c r="N551" s="16"/>
    </row>
    <row r="552" spans="6:14" ht="14.25" customHeight="1" x14ac:dyDescent="0.3">
      <c r="F552" s="6"/>
      <c r="L552" s="16"/>
      <c r="M552" s="16"/>
      <c r="N552" s="16"/>
    </row>
    <row r="553" spans="6:14" ht="14.25" customHeight="1" x14ac:dyDescent="0.3">
      <c r="F553" s="6"/>
      <c r="L553" s="16"/>
      <c r="M553" s="16"/>
      <c r="N553" s="16"/>
    </row>
    <row r="554" spans="6:14" ht="14.25" customHeight="1" x14ac:dyDescent="0.3">
      <c r="F554" s="6"/>
      <c r="L554" s="16"/>
      <c r="M554" s="16"/>
      <c r="N554" s="16"/>
    </row>
    <row r="555" spans="6:14" ht="14.25" customHeight="1" x14ac:dyDescent="0.3">
      <c r="F555" s="6"/>
      <c r="L555" s="16"/>
      <c r="M555" s="16"/>
      <c r="N555" s="16"/>
    </row>
    <row r="556" spans="6:14" ht="14.25" customHeight="1" x14ac:dyDescent="0.3">
      <c r="F556" s="6"/>
      <c r="L556" s="16"/>
      <c r="M556" s="16"/>
      <c r="N556" s="16"/>
    </row>
    <row r="557" spans="6:14" ht="14.25" customHeight="1" x14ac:dyDescent="0.3">
      <c r="F557" s="6"/>
      <c r="L557" s="16"/>
      <c r="M557" s="16"/>
      <c r="N557" s="16"/>
    </row>
    <row r="558" spans="6:14" ht="14.25" customHeight="1" x14ac:dyDescent="0.3">
      <c r="F558" s="6"/>
      <c r="L558" s="16"/>
      <c r="M558" s="16"/>
      <c r="N558" s="16"/>
    </row>
    <row r="559" spans="6:14" ht="14.25" customHeight="1" x14ac:dyDescent="0.3">
      <c r="F559" s="6"/>
      <c r="L559" s="16"/>
      <c r="M559" s="16"/>
      <c r="N559" s="16"/>
    </row>
    <row r="560" spans="6:14" ht="14.25" customHeight="1" x14ac:dyDescent="0.3">
      <c r="F560" s="6"/>
      <c r="L560" s="16"/>
      <c r="M560" s="16"/>
      <c r="N560" s="16"/>
    </row>
    <row r="561" spans="6:14" ht="14.25" customHeight="1" x14ac:dyDescent="0.3">
      <c r="F561" s="6"/>
      <c r="L561" s="16"/>
      <c r="M561" s="16"/>
      <c r="N561" s="16"/>
    </row>
    <row r="562" spans="6:14" ht="14.25" customHeight="1" x14ac:dyDescent="0.3">
      <c r="F562" s="6"/>
      <c r="L562" s="16"/>
      <c r="M562" s="16"/>
      <c r="N562" s="16"/>
    </row>
    <row r="563" spans="6:14" ht="14.25" customHeight="1" x14ac:dyDescent="0.3">
      <c r="F563" s="6"/>
      <c r="L563" s="16"/>
      <c r="M563" s="16"/>
      <c r="N563" s="16"/>
    </row>
    <row r="564" spans="6:14" ht="14.25" customHeight="1" x14ac:dyDescent="0.3">
      <c r="F564" s="6"/>
      <c r="L564" s="16"/>
      <c r="M564" s="16"/>
      <c r="N564" s="16"/>
    </row>
    <row r="565" spans="6:14" ht="14.25" customHeight="1" x14ac:dyDescent="0.3">
      <c r="F565" s="6"/>
      <c r="L565" s="16"/>
      <c r="M565" s="16"/>
      <c r="N565" s="16"/>
    </row>
    <row r="566" spans="6:14" ht="14.25" customHeight="1" x14ac:dyDescent="0.3">
      <c r="F566" s="6"/>
      <c r="L566" s="16"/>
      <c r="M566" s="16"/>
      <c r="N566" s="16"/>
    </row>
    <row r="567" spans="6:14" ht="14.25" customHeight="1" x14ac:dyDescent="0.3">
      <c r="F567" s="6"/>
      <c r="L567" s="16"/>
      <c r="M567" s="16"/>
      <c r="N567" s="16"/>
    </row>
    <row r="568" spans="6:14" ht="14.25" customHeight="1" x14ac:dyDescent="0.3">
      <c r="F568" s="6"/>
      <c r="L568" s="16"/>
      <c r="M568" s="16"/>
      <c r="N568" s="16"/>
    </row>
    <row r="569" spans="6:14" ht="14.25" customHeight="1" x14ac:dyDescent="0.3">
      <c r="F569" s="6"/>
      <c r="L569" s="16"/>
      <c r="M569" s="16"/>
      <c r="N569" s="16"/>
    </row>
    <row r="570" spans="6:14" ht="14.25" customHeight="1" x14ac:dyDescent="0.3">
      <c r="F570" s="6"/>
      <c r="L570" s="16"/>
      <c r="M570" s="16"/>
      <c r="N570" s="16"/>
    </row>
    <row r="571" spans="6:14" ht="14.25" customHeight="1" x14ac:dyDescent="0.3">
      <c r="F571" s="6"/>
      <c r="L571" s="16"/>
      <c r="M571" s="16"/>
      <c r="N571" s="16"/>
    </row>
    <row r="572" spans="6:14" ht="14.25" customHeight="1" x14ac:dyDescent="0.3">
      <c r="F572" s="6"/>
      <c r="L572" s="16"/>
      <c r="M572" s="16"/>
      <c r="N572" s="16"/>
    </row>
    <row r="573" spans="6:14" ht="14.25" customHeight="1" x14ac:dyDescent="0.3">
      <c r="F573" s="6"/>
      <c r="L573" s="16"/>
      <c r="M573" s="16"/>
      <c r="N573" s="16"/>
    </row>
    <row r="574" spans="6:14" ht="14.25" customHeight="1" x14ac:dyDescent="0.3">
      <c r="F574" s="6"/>
      <c r="L574" s="16"/>
      <c r="M574" s="16"/>
      <c r="N574" s="16"/>
    </row>
    <row r="575" spans="6:14" ht="14.25" customHeight="1" x14ac:dyDescent="0.3">
      <c r="F575" s="6"/>
      <c r="L575" s="16"/>
      <c r="M575" s="16"/>
      <c r="N575" s="16"/>
    </row>
    <row r="576" spans="6:14" ht="14.25" customHeight="1" x14ac:dyDescent="0.3">
      <c r="F576" s="6"/>
      <c r="L576" s="16"/>
      <c r="M576" s="16"/>
      <c r="N576" s="16"/>
    </row>
    <row r="577" spans="6:14" ht="14.25" customHeight="1" x14ac:dyDescent="0.3">
      <c r="F577" s="6"/>
      <c r="L577" s="16"/>
      <c r="M577" s="16"/>
      <c r="N577" s="16"/>
    </row>
    <row r="578" spans="6:14" ht="14.25" customHeight="1" x14ac:dyDescent="0.3">
      <c r="F578" s="6"/>
      <c r="L578" s="16"/>
      <c r="M578" s="16"/>
      <c r="N578" s="16"/>
    </row>
    <row r="579" spans="6:14" ht="14.25" customHeight="1" x14ac:dyDescent="0.3">
      <c r="F579" s="6"/>
      <c r="L579" s="16"/>
      <c r="M579" s="16"/>
      <c r="N579" s="16"/>
    </row>
    <row r="580" spans="6:14" ht="14.25" customHeight="1" x14ac:dyDescent="0.3">
      <c r="F580" s="6"/>
      <c r="L580" s="16"/>
      <c r="M580" s="16"/>
      <c r="N580" s="16"/>
    </row>
    <row r="581" spans="6:14" ht="14.25" customHeight="1" x14ac:dyDescent="0.3">
      <c r="F581" s="6"/>
      <c r="L581" s="16"/>
      <c r="M581" s="16"/>
      <c r="N581" s="16"/>
    </row>
    <row r="582" spans="6:14" ht="14.25" customHeight="1" x14ac:dyDescent="0.3">
      <c r="F582" s="6"/>
      <c r="L582" s="16"/>
      <c r="M582" s="16"/>
      <c r="N582" s="16"/>
    </row>
    <row r="583" spans="6:14" ht="14.25" customHeight="1" x14ac:dyDescent="0.3">
      <c r="F583" s="6"/>
      <c r="L583" s="16"/>
      <c r="M583" s="16"/>
      <c r="N583" s="16"/>
    </row>
    <row r="584" spans="6:14" ht="14.25" customHeight="1" x14ac:dyDescent="0.3">
      <c r="F584" s="6"/>
      <c r="L584" s="16"/>
      <c r="M584" s="16"/>
      <c r="N584" s="16"/>
    </row>
    <row r="585" spans="6:14" ht="14.25" customHeight="1" x14ac:dyDescent="0.3">
      <c r="F585" s="6"/>
      <c r="L585" s="16"/>
      <c r="M585" s="16"/>
      <c r="N585" s="16"/>
    </row>
    <row r="586" spans="6:14" ht="14.25" customHeight="1" x14ac:dyDescent="0.3">
      <c r="F586" s="6"/>
      <c r="L586" s="16"/>
      <c r="M586" s="16"/>
      <c r="N586" s="16"/>
    </row>
    <row r="587" spans="6:14" ht="14.25" customHeight="1" x14ac:dyDescent="0.3">
      <c r="F587" s="6"/>
      <c r="L587" s="16"/>
      <c r="M587" s="16"/>
      <c r="N587" s="16"/>
    </row>
    <row r="588" spans="6:14" ht="14.25" customHeight="1" x14ac:dyDescent="0.3">
      <c r="F588" s="6"/>
      <c r="L588" s="16"/>
      <c r="M588" s="16"/>
      <c r="N588" s="16"/>
    </row>
    <row r="589" spans="6:14" ht="14.25" customHeight="1" x14ac:dyDescent="0.3">
      <c r="F589" s="6"/>
      <c r="L589" s="16"/>
      <c r="M589" s="16"/>
      <c r="N589" s="16"/>
    </row>
    <row r="590" spans="6:14" ht="14.25" customHeight="1" x14ac:dyDescent="0.3">
      <c r="F590" s="6"/>
      <c r="L590" s="16"/>
      <c r="M590" s="16"/>
      <c r="N590" s="16"/>
    </row>
    <row r="591" spans="6:14" ht="14.25" customHeight="1" x14ac:dyDescent="0.3">
      <c r="F591" s="6"/>
      <c r="L591" s="16"/>
      <c r="M591" s="16"/>
      <c r="N591" s="16"/>
    </row>
    <row r="592" spans="6:14" ht="14.25" customHeight="1" x14ac:dyDescent="0.3">
      <c r="F592" s="6"/>
      <c r="L592" s="16"/>
      <c r="M592" s="16"/>
      <c r="N592" s="16"/>
    </row>
    <row r="593" spans="6:14" ht="14.25" customHeight="1" x14ac:dyDescent="0.3">
      <c r="F593" s="6"/>
      <c r="L593" s="16"/>
      <c r="M593" s="16"/>
      <c r="N593" s="16"/>
    </row>
    <row r="594" spans="6:14" ht="14.25" customHeight="1" x14ac:dyDescent="0.3">
      <c r="F594" s="6"/>
      <c r="L594" s="16"/>
      <c r="M594" s="16"/>
      <c r="N594" s="16"/>
    </row>
    <row r="595" spans="6:14" ht="14.25" customHeight="1" x14ac:dyDescent="0.3">
      <c r="F595" s="6"/>
      <c r="L595" s="16"/>
      <c r="M595" s="16"/>
      <c r="N595" s="16"/>
    </row>
    <row r="596" spans="6:14" ht="14.25" customHeight="1" x14ac:dyDescent="0.3">
      <c r="F596" s="6"/>
      <c r="L596" s="16"/>
      <c r="M596" s="16"/>
      <c r="N596" s="16"/>
    </row>
    <row r="597" spans="6:14" ht="14.25" customHeight="1" x14ac:dyDescent="0.3">
      <c r="F597" s="6"/>
      <c r="L597" s="16"/>
      <c r="M597" s="16"/>
      <c r="N597" s="16"/>
    </row>
    <row r="598" spans="6:14" ht="14.25" customHeight="1" x14ac:dyDescent="0.3">
      <c r="F598" s="6"/>
      <c r="L598" s="16"/>
      <c r="M598" s="16"/>
      <c r="N598" s="16"/>
    </row>
    <row r="599" spans="6:14" ht="14.25" customHeight="1" x14ac:dyDescent="0.3">
      <c r="F599" s="6"/>
      <c r="L599" s="16"/>
      <c r="M599" s="16"/>
      <c r="N599" s="16"/>
    </row>
    <row r="600" spans="6:14" ht="14.25" customHeight="1" x14ac:dyDescent="0.3">
      <c r="F600" s="6"/>
      <c r="L600" s="16"/>
      <c r="M600" s="16"/>
      <c r="N600" s="16"/>
    </row>
    <row r="601" spans="6:14" ht="14.25" customHeight="1" x14ac:dyDescent="0.3">
      <c r="F601" s="6"/>
      <c r="L601" s="16"/>
      <c r="M601" s="16"/>
      <c r="N601" s="16"/>
    </row>
    <row r="602" spans="6:14" ht="14.25" customHeight="1" x14ac:dyDescent="0.3">
      <c r="F602" s="6"/>
      <c r="L602" s="16"/>
      <c r="M602" s="16"/>
      <c r="N602" s="16"/>
    </row>
    <row r="603" spans="6:14" ht="14.25" customHeight="1" x14ac:dyDescent="0.3">
      <c r="F603" s="6"/>
      <c r="L603" s="16"/>
      <c r="M603" s="16"/>
      <c r="N603" s="16"/>
    </row>
    <row r="604" spans="6:14" ht="14.25" customHeight="1" x14ac:dyDescent="0.3">
      <c r="F604" s="6"/>
      <c r="L604" s="16"/>
      <c r="M604" s="16"/>
      <c r="N604" s="16"/>
    </row>
    <row r="605" spans="6:14" ht="14.25" customHeight="1" x14ac:dyDescent="0.3">
      <c r="F605" s="6"/>
      <c r="L605" s="16"/>
      <c r="M605" s="16"/>
      <c r="N605" s="16"/>
    </row>
    <row r="606" spans="6:14" ht="14.25" customHeight="1" x14ac:dyDescent="0.3">
      <c r="F606" s="6"/>
      <c r="L606" s="16"/>
      <c r="M606" s="16"/>
      <c r="N606" s="16"/>
    </row>
    <row r="607" spans="6:14" ht="14.25" customHeight="1" x14ac:dyDescent="0.3">
      <c r="F607" s="6"/>
      <c r="L607" s="16"/>
      <c r="M607" s="16"/>
      <c r="N607" s="16"/>
    </row>
    <row r="608" spans="6:14" ht="14.25" customHeight="1" x14ac:dyDescent="0.3">
      <c r="F608" s="6"/>
      <c r="L608" s="16"/>
      <c r="M608" s="16"/>
      <c r="N608" s="16"/>
    </row>
    <row r="609" spans="6:14" ht="14.25" customHeight="1" x14ac:dyDescent="0.3">
      <c r="F609" s="6"/>
      <c r="L609" s="16"/>
      <c r="M609" s="16"/>
      <c r="N609" s="16"/>
    </row>
    <row r="610" spans="6:14" ht="14.25" customHeight="1" x14ac:dyDescent="0.3">
      <c r="F610" s="6"/>
      <c r="L610" s="16"/>
      <c r="M610" s="16"/>
      <c r="N610" s="16"/>
    </row>
    <row r="611" spans="6:14" ht="14.25" customHeight="1" x14ac:dyDescent="0.3">
      <c r="F611" s="6"/>
      <c r="L611" s="16"/>
      <c r="M611" s="16"/>
      <c r="N611" s="16"/>
    </row>
    <row r="612" spans="6:14" ht="14.25" customHeight="1" x14ac:dyDescent="0.3">
      <c r="F612" s="6"/>
      <c r="L612" s="16"/>
      <c r="M612" s="16"/>
      <c r="N612" s="16"/>
    </row>
    <row r="613" spans="6:14" ht="14.25" customHeight="1" x14ac:dyDescent="0.3">
      <c r="F613" s="6"/>
      <c r="L613" s="16"/>
      <c r="M613" s="16"/>
      <c r="N613" s="16"/>
    </row>
    <row r="614" spans="6:14" ht="14.25" customHeight="1" x14ac:dyDescent="0.3">
      <c r="F614" s="6"/>
      <c r="L614" s="16"/>
      <c r="M614" s="16"/>
      <c r="N614" s="16"/>
    </row>
    <row r="615" spans="6:14" ht="14.25" customHeight="1" x14ac:dyDescent="0.3">
      <c r="F615" s="6"/>
      <c r="L615" s="16"/>
      <c r="M615" s="16"/>
      <c r="N615" s="16"/>
    </row>
    <row r="616" spans="6:14" ht="14.25" customHeight="1" x14ac:dyDescent="0.3">
      <c r="F616" s="6"/>
      <c r="L616" s="16"/>
      <c r="M616" s="16"/>
      <c r="N616" s="16"/>
    </row>
    <row r="617" spans="6:14" ht="14.25" customHeight="1" x14ac:dyDescent="0.3">
      <c r="F617" s="6"/>
      <c r="L617" s="16"/>
      <c r="M617" s="16"/>
      <c r="N617" s="16"/>
    </row>
    <row r="618" spans="6:14" ht="14.25" customHeight="1" x14ac:dyDescent="0.3">
      <c r="F618" s="6"/>
      <c r="L618" s="16"/>
      <c r="M618" s="16"/>
      <c r="N618" s="16"/>
    </row>
    <row r="619" spans="6:14" ht="14.25" customHeight="1" x14ac:dyDescent="0.3">
      <c r="F619" s="6"/>
      <c r="L619" s="16"/>
      <c r="M619" s="16"/>
      <c r="N619" s="16"/>
    </row>
    <row r="620" spans="6:14" ht="14.25" customHeight="1" x14ac:dyDescent="0.3">
      <c r="F620" s="6"/>
      <c r="L620" s="16"/>
      <c r="M620" s="16"/>
      <c r="N620" s="16"/>
    </row>
    <row r="621" spans="6:14" ht="14.25" customHeight="1" x14ac:dyDescent="0.3">
      <c r="F621" s="6"/>
      <c r="L621" s="16"/>
      <c r="M621" s="16"/>
      <c r="N621" s="16"/>
    </row>
    <row r="622" spans="6:14" ht="14.25" customHeight="1" x14ac:dyDescent="0.3">
      <c r="F622" s="6"/>
      <c r="L622" s="16"/>
      <c r="M622" s="16"/>
      <c r="N622" s="16"/>
    </row>
    <row r="623" spans="6:14" ht="14.25" customHeight="1" x14ac:dyDescent="0.3">
      <c r="F623" s="6"/>
      <c r="L623" s="16"/>
      <c r="M623" s="16"/>
      <c r="N623" s="16"/>
    </row>
    <row r="624" spans="6:14" ht="14.25" customHeight="1" x14ac:dyDescent="0.3">
      <c r="F624" s="6"/>
      <c r="L624" s="16"/>
      <c r="M624" s="16"/>
      <c r="N624" s="16"/>
    </row>
    <row r="625" spans="6:14" ht="14.25" customHeight="1" x14ac:dyDescent="0.3">
      <c r="F625" s="6"/>
      <c r="L625" s="16"/>
      <c r="M625" s="16"/>
      <c r="N625" s="16"/>
    </row>
    <row r="626" spans="6:14" ht="14.25" customHeight="1" x14ac:dyDescent="0.3">
      <c r="F626" s="6"/>
      <c r="L626" s="16"/>
      <c r="M626" s="16"/>
      <c r="N626" s="16"/>
    </row>
    <row r="627" spans="6:14" ht="14.25" customHeight="1" x14ac:dyDescent="0.3">
      <c r="F627" s="6"/>
      <c r="L627" s="16"/>
      <c r="M627" s="16"/>
      <c r="N627" s="16"/>
    </row>
    <row r="628" spans="6:14" ht="14.25" customHeight="1" x14ac:dyDescent="0.3">
      <c r="F628" s="6"/>
      <c r="L628" s="16"/>
      <c r="M628" s="16"/>
      <c r="N628" s="16"/>
    </row>
    <row r="629" spans="6:14" ht="14.25" customHeight="1" x14ac:dyDescent="0.3">
      <c r="F629" s="6"/>
      <c r="L629" s="16"/>
      <c r="M629" s="16"/>
      <c r="N629" s="16"/>
    </row>
    <row r="630" spans="6:14" ht="14.25" customHeight="1" x14ac:dyDescent="0.3">
      <c r="F630" s="6"/>
      <c r="L630" s="16"/>
      <c r="M630" s="16"/>
      <c r="N630" s="16"/>
    </row>
    <row r="631" spans="6:14" ht="14.25" customHeight="1" x14ac:dyDescent="0.3">
      <c r="F631" s="6"/>
      <c r="L631" s="16"/>
      <c r="M631" s="16"/>
      <c r="N631" s="16"/>
    </row>
    <row r="632" spans="6:14" ht="14.25" customHeight="1" x14ac:dyDescent="0.3">
      <c r="F632" s="6"/>
      <c r="L632" s="16"/>
      <c r="M632" s="16"/>
      <c r="N632" s="16"/>
    </row>
    <row r="633" spans="6:14" ht="14.25" customHeight="1" x14ac:dyDescent="0.3">
      <c r="F633" s="6"/>
      <c r="L633" s="16"/>
      <c r="M633" s="16"/>
      <c r="N633" s="16"/>
    </row>
    <row r="634" spans="6:14" ht="14.25" customHeight="1" x14ac:dyDescent="0.3">
      <c r="F634" s="6"/>
      <c r="L634" s="16"/>
      <c r="M634" s="16"/>
      <c r="N634" s="16"/>
    </row>
    <row r="635" spans="6:14" ht="14.25" customHeight="1" x14ac:dyDescent="0.3">
      <c r="F635" s="6"/>
      <c r="L635" s="16"/>
      <c r="M635" s="16"/>
      <c r="N635" s="16"/>
    </row>
    <row r="636" spans="6:14" ht="14.25" customHeight="1" x14ac:dyDescent="0.3">
      <c r="F636" s="6"/>
      <c r="L636" s="16"/>
      <c r="M636" s="16"/>
      <c r="N636" s="16"/>
    </row>
    <row r="637" spans="6:14" ht="14.25" customHeight="1" x14ac:dyDescent="0.3">
      <c r="F637" s="6"/>
      <c r="L637" s="16"/>
      <c r="M637" s="16"/>
      <c r="N637" s="16"/>
    </row>
    <row r="638" spans="6:14" ht="14.25" customHeight="1" x14ac:dyDescent="0.3">
      <c r="F638" s="6"/>
      <c r="L638" s="16"/>
      <c r="M638" s="16"/>
      <c r="N638" s="16"/>
    </row>
    <row r="639" spans="6:14" ht="14.25" customHeight="1" x14ac:dyDescent="0.3">
      <c r="F639" s="6"/>
      <c r="L639" s="16"/>
      <c r="M639" s="16"/>
      <c r="N639" s="16"/>
    </row>
    <row r="640" spans="6:14" ht="14.25" customHeight="1" x14ac:dyDescent="0.3">
      <c r="F640" s="6"/>
      <c r="L640" s="16"/>
      <c r="M640" s="16"/>
      <c r="N640" s="16"/>
    </row>
    <row r="641" spans="6:14" ht="14.25" customHeight="1" x14ac:dyDescent="0.3">
      <c r="F641" s="6"/>
      <c r="L641" s="16"/>
      <c r="M641" s="16"/>
      <c r="N641" s="16"/>
    </row>
    <row r="642" spans="6:14" ht="14.25" customHeight="1" x14ac:dyDescent="0.3">
      <c r="F642" s="6"/>
      <c r="L642" s="16"/>
      <c r="M642" s="16"/>
      <c r="N642" s="16"/>
    </row>
    <row r="643" spans="6:14" ht="14.25" customHeight="1" x14ac:dyDescent="0.3">
      <c r="F643" s="6"/>
      <c r="L643" s="16"/>
      <c r="M643" s="16"/>
      <c r="N643" s="16"/>
    </row>
    <row r="644" spans="6:14" ht="14.25" customHeight="1" x14ac:dyDescent="0.3">
      <c r="F644" s="6"/>
      <c r="L644" s="16"/>
      <c r="M644" s="16"/>
      <c r="N644" s="16"/>
    </row>
    <row r="645" spans="6:14" ht="14.25" customHeight="1" x14ac:dyDescent="0.3">
      <c r="F645" s="6"/>
      <c r="L645" s="16"/>
      <c r="M645" s="16"/>
      <c r="N645" s="16"/>
    </row>
    <row r="646" spans="6:14" ht="14.25" customHeight="1" x14ac:dyDescent="0.3">
      <c r="F646" s="6"/>
      <c r="L646" s="16"/>
      <c r="M646" s="16"/>
      <c r="N646" s="16"/>
    </row>
    <row r="647" spans="6:14" ht="14.25" customHeight="1" x14ac:dyDescent="0.3">
      <c r="F647" s="6"/>
      <c r="L647" s="16"/>
      <c r="M647" s="16"/>
      <c r="N647" s="16"/>
    </row>
    <row r="648" spans="6:14" ht="14.25" customHeight="1" x14ac:dyDescent="0.3">
      <c r="F648" s="6"/>
      <c r="L648" s="16"/>
      <c r="M648" s="16"/>
      <c r="N648" s="16"/>
    </row>
    <row r="649" spans="6:14" ht="14.25" customHeight="1" x14ac:dyDescent="0.3">
      <c r="F649" s="6"/>
      <c r="L649" s="16"/>
      <c r="M649" s="16"/>
      <c r="N649" s="16"/>
    </row>
    <row r="650" spans="6:14" ht="14.25" customHeight="1" x14ac:dyDescent="0.3">
      <c r="F650" s="6"/>
      <c r="L650" s="16"/>
      <c r="M650" s="16"/>
      <c r="N650" s="16"/>
    </row>
    <row r="651" spans="6:14" ht="14.25" customHeight="1" x14ac:dyDescent="0.3">
      <c r="F651" s="6"/>
      <c r="L651" s="16"/>
      <c r="M651" s="16"/>
      <c r="N651" s="16"/>
    </row>
    <row r="652" spans="6:14" ht="14.25" customHeight="1" x14ac:dyDescent="0.3">
      <c r="F652" s="6"/>
      <c r="L652" s="16"/>
      <c r="M652" s="16"/>
      <c r="N652" s="16"/>
    </row>
    <row r="653" spans="6:14" ht="14.25" customHeight="1" x14ac:dyDescent="0.3">
      <c r="F653" s="6"/>
      <c r="L653" s="16"/>
      <c r="M653" s="16"/>
      <c r="N653" s="16"/>
    </row>
    <row r="654" spans="6:14" ht="14.25" customHeight="1" x14ac:dyDescent="0.3">
      <c r="F654" s="6"/>
      <c r="L654" s="16"/>
      <c r="M654" s="16"/>
      <c r="N654" s="16"/>
    </row>
    <row r="655" spans="6:14" ht="14.25" customHeight="1" x14ac:dyDescent="0.3">
      <c r="F655" s="6"/>
      <c r="L655" s="16"/>
      <c r="M655" s="16"/>
      <c r="N655" s="16"/>
    </row>
    <row r="656" spans="6:14" ht="14.25" customHeight="1" x14ac:dyDescent="0.3">
      <c r="F656" s="6"/>
      <c r="L656" s="16"/>
      <c r="M656" s="16"/>
      <c r="N656" s="16"/>
    </row>
    <row r="657" spans="6:14" ht="14.25" customHeight="1" x14ac:dyDescent="0.3">
      <c r="F657" s="6"/>
      <c r="L657" s="16"/>
      <c r="M657" s="16"/>
      <c r="N657" s="16"/>
    </row>
    <row r="658" spans="6:14" ht="14.25" customHeight="1" x14ac:dyDescent="0.3">
      <c r="F658" s="6"/>
      <c r="L658" s="16"/>
      <c r="M658" s="16"/>
      <c r="N658" s="16"/>
    </row>
    <row r="659" spans="6:14" ht="14.25" customHeight="1" x14ac:dyDescent="0.3">
      <c r="F659" s="6"/>
      <c r="L659" s="16"/>
      <c r="M659" s="16"/>
      <c r="N659" s="16"/>
    </row>
    <row r="660" spans="6:14" ht="14.25" customHeight="1" x14ac:dyDescent="0.3">
      <c r="F660" s="6"/>
      <c r="L660" s="16"/>
      <c r="M660" s="16"/>
      <c r="N660" s="16"/>
    </row>
    <row r="661" spans="6:14" ht="14.25" customHeight="1" x14ac:dyDescent="0.3">
      <c r="F661" s="6"/>
      <c r="L661" s="16"/>
      <c r="M661" s="16"/>
      <c r="N661" s="16"/>
    </row>
    <row r="662" spans="6:14" ht="14.25" customHeight="1" x14ac:dyDescent="0.3">
      <c r="F662" s="6"/>
      <c r="L662" s="16"/>
      <c r="M662" s="16"/>
      <c r="N662" s="16"/>
    </row>
    <row r="663" spans="6:14" ht="14.25" customHeight="1" x14ac:dyDescent="0.3">
      <c r="F663" s="6"/>
      <c r="L663" s="16"/>
      <c r="M663" s="16"/>
      <c r="N663" s="16"/>
    </row>
    <row r="664" spans="6:14" ht="14.25" customHeight="1" x14ac:dyDescent="0.3">
      <c r="F664" s="6"/>
      <c r="L664" s="16"/>
      <c r="M664" s="16"/>
      <c r="N664" s="16"/>
    </row>
    <row r="665" spans="6:14" ht="14.25" customHeight="1" x14ac:dyDescent="0.3">
      <c r="F665" s="6"/>
      <c r="L665" s="16"/>
      <c r="M665" s="16"/>
      <c r="N665" s="16"/>
    </row>
    <row r="666" spans="6:14" ht="14.25" customHeight="1" x14ac:dyDescent="0.3">
      <c r="F666" s="6"/>
      <c r="L666" s="16"/>
      <c r="M666" s="16"/>
      <c r="N666" s="16"/>
    </row>
    <row r="667" spans="6:14" ht="14.25" customHeight="1" x14ac:dyDescent="0.3">
      <c r="F667" s="6"/>
      <c r="L667" s="16"/>
      <c r="M667" s="16"/>
      <c r="N667" s="16"/>
    </row>
    <row r="668" spans="6:14" ht="14.25" customHeight="1" x14ac:dyDescent="0.3">
      <c r="F668" s="6"/>
      <c r="L668" s="16"/>
      <c r="M668" s="16"/>
      <c r="N668" s="16"/>
    </row>
    <row r="669" spans="6:14" ht="14.25" customHeight="1" x14ac:dyDescent="0.3">
      <c r="F669" s="6"/>
      <c r="L669" s="16"/>
      <c r="M669" s="16"/>
      <c r="N669" s="16"/>
    </row>
    <row r="670" spans="6:14" ht="14.25" customHeight="1" x14ac:dyDescent="0.3">
      <c r="F670" s="6"/>
      <c r="L670" s="16"/>
      <c r="M670" s="16"/>
      <c r="N670" s="16"/>
    </row>
    <row r="671" spans="6:14" ht="14.25" customHeight="1" x14ac:dyDescent="0.3">
      <c r="F671" s="6"/>
      <c r="L671" s="16"/>
      <c r="M671" s="16"/>
      <c r="N671" s="16"/>
    </row>
    <row r="672" spans="6:14" ht="14.25" customHeight="1" x14ac:dyDescent="0.3">
      <c r="F672" s="6"/>
      <c r="L672" s="16"/>
      <c r="M672" s="16"/>
      <c r="N672" s="16"/>
    </row>
    <row r="673" spans="6:14" ht="14.25" customHeight="1" x14ac:dyDescent="0.3">
      <c r="F673" s="6"/>
      <c r="L673" s="16"/>
      <c r="M673" s="16"/>
      <c r="N673" s="16"/>
    </row>
    <row r="674" spans="6:14" ht="14.25" customHeight="1" x14ac:dyDescent="0.3">
      <c r="F674" s="6"/>
      <c r="L674" s="16"/>
      <c r="M674" s="16"/>
      <c r="N674" s="16"/>
    </row>
    <row r="675" spans="6:14" ht="14.25" customHeight="1" x14ac:dyDescent="0.3">
      <c r="F675" s="6"/>
      <c r="L675" s="16"/>
      <c r="M675" s="16"/>
      <c r="N675" s="16"/>
    </row>
    <row r="676" spans="6:14" ht="14.25" customHeight="1" x14ac:dyDescent="0.3">
      <c r="F676" s="6"/>
      <c r="L676" s="16"/>
      <c r="M676" s="16"/>
      <c r="N676" s="16"/>
    </row>
    <row r="677" spans="6:14" ht="14.25" customHeight="1" x14ac:dyDescent="0.3">
      <c r="F677" s="6"/>
      <c r="L677" s="16"/>
      <c r="M677" s="16"/>
      <c r="N677" s="16"/>
    </row>
    <row r="678" spans="6:14" ht="14.25" customHeight="1" x14ac:dyDescent="0.3">
      <c r="F678" s="6"/>
      <c r="L678" s="16"/>
      <c r="M678" s="16"/>
      <c r="N678" s="16"/>
    </row>
    <row r="679" spans="6:14" ht="14.25" customHeight="1" x14ac:dyDescent="0.3">
      <c r="F679" s="6"/>
      <c r="L679" s="16"/>
      <c r="M679" s="16"/>
      <c r="N679" s="16"/>
    </row>
    <row r="680" spans="6:14" ht="14.25" customHeight="1" x14ac:dyDescent="0.3">
      <c r="F680" s="6"/>
      <c r="L680" s="16"/>
      <c r="M680" s="16"/>
      <c r="N680" s="16"/>
    </row>
    <row r="681" spans="6:14" ht="14.25" customHeight="1" x14ac:dyDescent="0.3">
      <c r="F681" s="6"/>
      <c r="L681" s="16"/>
      <c r="M681" s="16"/>
      <c r="N681" s="16"/>
    </row>
    <row r="682" spans="6:14" ht="14.25" customHeight="1" x14ac:dyDescent="0.3">
      <c r="F682" s="6"/>
      <c r="L682" s="16"/>
      <c r="M682" s="16"/>
      <c r="N682" s="16"/>
    </row>
    <row r="683" spans="6:14" ht="14.25" customHeight="1" x14ac:dyDescent="0.3">
      <c r="F683" s="6"/>
      <c r="L683" s="16"/>
      <c r="M683" s="16"/>
      <c r="N683" s="16"/>
    </row>
    <row r="684" spans="6:14" ht="14.25" customHeight="1" x14ac:dyDescent="0.3">
      <c r="F684" s="6"/>
      <c r="L684" s="16"/>
      <c r="M684" s="16"/>
      <c r="N684" s="16"/>
    </row>
    <row r="685" spans="6:14" ht="14.25" customHeight="1" x14ac:dyDescent="0.3">
      <c r="F685" s="6"/>
      <c r="L685" s="16"/>
      <c r="M685" s="16"/>
      <c r="N685" s="16"/>
    </row>
    <row r="686" spans="6:14" ht="14.25" customHeight="1" x14ac:dyDescent="0.3">
      <c r="F686" s="6"/>
      <c r="L686" s="16"/>
      <c r="M686" s="16"/>
      <c r="N686" s="16"/>
    </row>
    <row r="687" spans="6:14" ht="14.25" customHeight="1" x14ac:dyDescent="0.3">
      <c r="F687" s="6"/>
      <c r="L687" s="16"/>
      <c r="M687" s="16"/>
      <c r="N687" s="16"/>
    </row>
    <row r="688" spans="6:14" ht="14.25" customHeight="1" x14ac:dyDescent="0.3">
      <c r="F688" s="6"/>
      <c r="L688" s="16"/>
      <c r="M688" s="16"/>
      <c r="N688" s="16"/>
    </row>
    <row r="689" spans="6:14" ht="14.25" customHeight="1" x14ac:dyDescent="0.3">
      <c r="F689" s="6"/>
      <c r="L689" s="16"/>
      <c r="M689" s="16"/>
      <c r="N689" s="16"/>
    </row>
    <row r="690" spans="6:14" ht="14.25" customHeight="1" x14ac:dyDescent="0.3">
      <c r="F690" s="6"/>
      <c r="L690" s="16"/>
      <c r="M690" s="16"/>
      <c r="N690" s="16"/>
    </row>
    <row r="691" spans="6:14" ht="14.25" customHeight="1" x14ac:dyDescent="0.3">
      <c r="F691" s="6"/>
      <c r="L691" s="16"/>
      <c r="M691" s="16"/>
      <c r="N691" s="16"/>
    </row>
    <row r="692" spans="6:14" ht="14.25" customHeight="1" x14ac:dyDescent="0.3">
      <c r="F692" s="6"/>
      <c r="L692" s="16"/>
      <c r="M692" s="16"/>
      <c r="N692" s="16"/>
    </row>
    <row r="693" spans="6:14" ht="14.25" customHeight="1" x14ac:dyDescent="0.3">
      <c r="F693" s="6"/>
      <c r="L693" s="16"/>
      <c r="M693" s="16"/>
      <c r="N693" s="16"/>
    </row>
    <row r="694" spans="6:14" ht="14.25" customHeight="1" x14ac:dyDescent="0.3">
      <c r="F694" s="6"/>
      <c r="L694" s="16"/>
      <c r="M694" s="16"/>
      <c r="N694" s="16"/>
    </row>
    <row r="695" spans="6:14" ht="14.25" customHeight="1" x14ac:dyDescent="0.3">
      <c r="F695" s="6"/>
      <c r="L695" s="16"/>
      <c r="M695" s="16"/>
      <c r="N695" s="16"/>
    </row>
    <row r="696" spans="6:14" ht="14.25" customHeight="1" x14ac:dyDescent="0.3">
      <c r="F696" s="6"/>
      <c r="L696" s="16"/>
      <c r="M696" s="16"/>
      <c r="N696" s="16"/>
    </row>
    <row r="697" spans="6:14" ht="14.25" customHeight="1" x14ac:dyDescent="0.3">
      <c r="F697" s="6"/>
      <c r="L697" s="16"/>
      <c r="M697" s="16"/>
      <c r="N697" s="16"/>
    </row>
    <row r="698" spans="6:14" ht="14.25" customHeight="1" x14ac:dyDescent="0.3">
      <c r="F698" s="6"/>
      <c r="L698" s="16"/>
      <c r="M698" s="16"/>
      <c r="N698" s="16"/>
    </row>
    <row r="699" spans="6:14" ht="14.25" customHeight="1" x14ac:dyDescent="0.3">
      <c r="F699" s="6"/>
      <c r="L699" s="16"/>
      <c r="M699" s="16"/>
      <c r="N699" s="16"/>
    </row>
    <row r="700" spans="6:14" ht="14.25" customHeight="1" x14ac:dyDescent="0.3">
      <c r="F700" s="6"/>
      <c r="L700" s="16"/>
      <c r="M700" s="16"/>
      <c r="N700" s="16"/>
    </row>
    <row r="701" spans="6:14" ht="14.25" customHeight="1" x14ac:dyDescent="0.3">
      <c r="F701" s="6"/>
      <c r="L701" s="16"/>
      <c r="M701" s="16"/>
      <c r="N701" s="16"/>
    </row>
    <row r="702" spans="6:14" ht="14.25" customHeight="1" x14ac:dyDescent="0.3">
      <c r="F702" s="6"/>
      <c r="L702" s="16"/>
      <c r="M702" s="16"/>
      <c r="N702" s="16"/>
    </row>
    <row r="703" spans="6:14" ht="14.25" customHeight="1" x14ac:dyDescent="0.3">
      <c r="F703" s="6"/>
      <c r="L703" s="16"/>
      <c r="M703" s="16"/>
      <c r="N703" s="16"/>
    </row>
    <row r="704" spans="6:14" ht="14.25" customHeight="1" x14ac:dyDescent="0.3">
      <c r="F704" s="6"/>
      <c r="L704" s="16"/>
      <c r="M704" s="16"/>
      <c r="N704" s="16"/>
    </row>
    <row r="705" spans="6:14" ht="14.25" customHeight="1" x14ac:dyDescent="0.3">
      <c r="F705" s="6"/>
      <c r="L705" s="16"/>
      <c r="M705" s="16"/>
      <c r="N705" s="16"/>
    </row>
    <row r="706" spans="6:14" ht="14.25" customHeight="1" x14ac:dyDescent="0.3">
      <c r="F706" s="6"/>
      <c r="L706" s="16"/>
      <c r="M706" s="16"/>
      <c r="N706" s="16"/>
    </row>
    <row r="707" spans="6:14" ht="14.25" customHeight="1" x14ac:dyDescent="0.3">
      <c r="F707" s="6"/>
      <c r="L707" s="16"/>
      <c r="M707" s="16"/>
      <c r="N707" s="16"/>
    </row>
    <row r="708" spans="6:14" ht="14.25" customHeight="1" x14ac:dyDescent="0.3">
      <c r="F708" s="6"/>
      <c r="L708" s="16"/>
      <c r="M708" s="16"/>
      <c r="N708" s="16"/>
    </row>
    <row r="709" spans="6:14" ht="14.25" customHeight="1" x14ac:dyDescent="0.3">
      <c r="F709" s="6"/>
      <c r="L709" s="16"/>
      <c r="M709" s="16"/>
      <c r="N709" s="16"/>
    </row>
    <row r="710" spans="6:14" ht="14.25" customHeight="1" x14ac:dyDescent="0.3">
      <c r="F710" s="6"/>
      <c r="L710" s="16"/>
      <c r="M710" s="16"/>
      <c r="N710" s="16"/>
    </row>
    <row r="711" spans="6:14" ht="14.25" customHeight="1" x14ac:dyDescent="0.3">
      <c r="F711" s="6"/>
      <c r="L711" s="16"/>
      <c r="M711" s="16"/>
      <c r="N711" s="16"/>
    </row>
    <row r="712" spans="6:14" ht="14.25" customHeight="1" x14ac:dyDescent="0.3">
      <c r="F712" s="6"/>
      <c r="L712" s="16"/>
      <c r="M712" s="16"/>
      <c r="N712" s="16"/>
    </row>
    <row r="713" spans="6:14" ht="14.25" customHeight="1" x14ac:dyDescent="0.3">
      <c r="F713" s="6"/>
      <c r="L713" s="16"/>
      <c r="M713" s="16"/>
      <c r="N713" s="16"/>
    </row>
    <row r="714" spans="6:14" ht="14.25" customHeight="1" x14ac:dyDescent="0.3">
      <c r="F714" s="6"/>
      <c r="L714" s="16"/>
      <c r="M714" s="16"/>
      <c r="N714" s="16"/>
    </row>
    <row r="715" spans="6:14" ht="14.25" customHeight="1" x14ac:dyDescent="0.3">
      <c r="F715" s="6"/>
      <c r="L715" s="16"/>
      <c r="M715" s="16"/>
      <c r="N715" s="16"/>
    </row>
    <row r="716" spans="6:14" ht="14.25" customHeight="1" x14ac:dyDescent="0.3">
      <c r="F716" s="6"/>
      <c r="L716" s="16"/>
      <c r="M716" s="16"/>
      <c r="N716" s="16"/>
    </row>
    <row r="717" spans="6:14" ht="14.25" customHeight="1" x14ac:dyDescent="0.3">
      <c r="F717" s="6"/>
      <c r="L717" s="16"/>
      <c r="M717" s="16"/>
      <c r="N717" s="16"/>
    </row>
    <row r="718" spans="6:14" ht="14.25" customHeight="1" x14ac:dyDescent="0.3">
      <c r="F718" s="6"/>
      <c r="L718" s="16"/>
      <c r="M718" s="16"/>
      <c r="N718" s="16"/>
    </row>
    <row r="719" spans="6:14" ht="14.25" customHeight="1" x14ac:dyDescent="0.3">
      <c r="F719" s="6"/>
      <c r="L719" s="16"/>
      <c r="M719" s="16"/>
      <c r="N719" s="16"/>
    </row>
    <row r="720" spans="6:14" ht="14.25" customHeight="1" x14ac:dyDescent="0.3">
      <c r="F720" s="6"/>
      <c r="L720" s="16"/>
      <c r="M720" s="16"/>
      <c r="N720" s="16"/>
    </row>
    <row r="721" spans="6:14" ht="14.25" customHeight="1" x14ac:dyDescent="0.3">
      <c r="F721" s="6"/>
      <c r="L721" s="16"/>
      <c r="M721" s="16"/>
      <c r="N721" s="16"/>
    </row>
    <row r="722" spans="6:14" ht="14.25" customHeight="1" x14ac:dyDescent="0.3">
      <c r="F722" s="6"/>
      <c r="L722" s="16"/>
      <c r="M722" s="16"/>
      <c r="N722" s="16"/>
    </row>
    <row r="723" spans="6:14" ht="14.25" customHeight="1" x14ac:dyDescent="0.3">
      <c r="F723" s="6"/>
      <c r="L723" s="16"/>
      <c r="M723" s="16"/>
      <c r="N723" s="16"/>
    </row>
    <row r="724" spans="6:14" ht="14.25" customHeight="1" x14ac:dyDescent="0.3">
      <c r="F724" s="6"/>
      <c r="L724" s="16"/>
      <c r="M724" s="16"/>
      <c r="N724" s="16"/>
    </row>
    <row r="725" spans="6:14" ht="14.25" customHeight="1" x14ac:dyDescent="0.3">
      <c r="F725" s="6"/>
      <c r="L725" s="16"/>
      <c r="M725" s="16"/>
      <c r="N725" s="16"/>
    </row>
    <row r="726" spans="6:14" ht="14.25" customHeight="1" x14ac:dyDescent="0.3">
      <c r="F726" s="6"/>
      <c r="L726" s="16"/>
      <c r="M726" s="16"/>
      <c r="N726" s="16"/>
    </row>
    <row r="727" spans="6:14" ht="14.25" customHeight="1" x14ac:dyDescent="0.3">
      <c r="F727" s="6"/>
      <c r="L727" s="16"/>
      <c r="M727" s="16"/>
      <c r="N727" s="16"/>
    </row>
    <row r="728" spans="6:14" ht="14.25" customHeight="1" x14ac:dyDescent="0.3">
      <c r="F728" s="6"/>
      <c r="L728" s="16"/>
      <c r="M728" s="16"/>
      <c r="N728" s="16"/>
    </row>
    <row r="729" spans="6:14" ht="14.25" customHeight="1" x14ac:dyDescent="0.3">
      <c r="F729" s="6"/>
      <c r="L729" s="16"/>
      <c r="M729" s="16"/>
      <c r="N729" s="16"/>
    </row>
    <row r="730" spans="6:14" ht="14.25" customHeight="1" x14ac:dyDescent="0.3">
      <c r="F730" s="6"/>
      <c r="L730" s="16"/>
      <c r="M730" s="16"/>
      <c r="N730" s="16"/>
    </row>
    <row r="731" spans="6:14" ht="14.25" customHeight="1" x14ac:dyDescent="0.3">
      <c r="F731" s="6"/>
      <c r="L731" s="16"/>
      <c r="M731" s="16"/>
      <c r="N731" s="16"/>
    </row>
    <row r="732" spans="6:14" ht="14.25" customHeight="1" x14ac:dyDescent="0.3">
      <c r="F732" s="6"/>
      <c r="L732" s="16"/>
      <c r="M732" s="16"/>
      <c r="N732" s="16"/>
    </row>
    <row r="733" spans="6:14" ht="14.25" customHeight="1" x14ac:dyDescent="0.3">
      <c r="F733" s="6"/>
      <c r="L733" s="16"/>
      <c r="M733" s="16"/>
      <c r="N733" s="16"/>
    </row>
    <row r="734" spans="6:14" ht="14.25" customHeight="1" x14ac:dyDescent="0.3">
      <c r="F734" s="6"/>
      <c r="L734" s="16"/>
      <c r="M734" s="16"/>
      <c r="N734" s="16"/>
    </row>
    <row r="735" spans="6:14" ht="14.25" customHeight="1" x14ac:dyDescent="0.3">
      <c r="F735" s="6"/>
      <c r="L735" s="16"/>
      <c r="M735" s="16"/>
      <c r="N735" s="16"/>
    </row>
    <row r="736" spans="6:14" ht="14.25" customHeight="1" x14ac:dyDescent="0.3">
      <c r="F736" s="6"/>
      <c r="L736" s="16"/>
      <c r="M736" s="16"/>
      <c r="N736" s="16"/>
    </row>
    <row r="737" spans="6:14" ht="14.25" customHeight="1" x14ac:dyDescent="0.3">
      <c r="F737" s="6"/>
      <c r="L737" s="16"/>
      <c r="M737" s="16"/>
      <c r="N737" s="16"/>
    </row>
    <row r="738" spans="6:14" ht="14.25" customHeight="1" x14ac:dyDescent="0.3">
      <c r="F738" s="6"/>
      <c r="L738" s="16"/>
      <c r="M738" s="16"/>
      <c r="N738" s="16"/>
    </row>
    <row r="739" spans="6:14" ht="14.25" customHeight="1" x14ac:dyDescent="0.3">
      <c r="F739" s="6"/>
      <c r="L739" s="16"/>
      <c r="M739" s="16"/>
      <c r="N739" s="16"/>
    </row>
    <row r="740" spans="6:14" ht="14.25" customHeight="1" x14ac:dyDescent="0.3">
      <c r="F740" s="6"/>
      <c r="L740" s="16"/>
      <c r="M740" s="16"/>
      <c r="N740" s="16"/>
    </row>
    <row r="741" spans="6:14" ht="14.25" customHeight="1" x14ac:dyDescent="0.3">
      <c r="F741" s="6"/>
      <c r="L741" s="16"/>
      <c r="M741" s="16"/>
      <c r="N741" s="16"/>
    </row>
    <row r="742" spans="6:14" ht="14.25" customHeight="1" x14ac:dyDescent="0.3">
      <c r="F742" s="6"/>
      <c r="L742" s="16"/>
      <c r="M742" s="16"/>
      <c r="N742" s="16"/>
    </row>
    <row r="743" spans="6:14" ht="14.25" customHeight="1" x14ac:dyDescent="0.3">
      <c r="F743" s="6"/>
      <c r="L743" s="16"/>
      <c r="M743" s="16"/>
      <c r="N743" s="16"/>
    </row>
    <row r="744" spans="6:14" ht="14.25" customHeight="1" x14ac:dyDescent="0.3">
      <c r="F744" s="6"/>
      <c r="L744" s="16"/>
      <c r="M744" s="16"/>
      <c r="N744" s="16"/>
    </row>
    <row r="745" spans="6:14" ht="14.25" customHeight="1" x14ac:dyDescent="0.3">
      <c r="F745" s="6"/>
      <c r="L745" s="16"/>
      <c r="M745" s="16"/>
      <c r="N745" s="16"/>
    </row>
    <row r="746" spans="6:14" ht="14.25" customHeight="1" x14ac:dyDescent="0.3">
      <c r="F746" s="6"/>
      <c r="L746" s="16"/>
      <c r="M746" s="16"/>
      <c r="N746" s="16"/>
    </row>
    <row r="747" spans="6:14" ht="14.25" customHeight="1" x14ac:dyDescent="0.3">
      <c r="F747" s="6"/>
      <c r="L747" s="16"/>
      <c r="M747" s="16"/>
      <c r="N747" s="16"/>
    </row>
    <row r="748" spans="6:14" ht="14.25" customHeight="1" x14ac:dyDescent="0.3">
      <c r="F748" s="6"/>
      <c r="L748" s="16"/>
      <c r="M748" s="16"/>
      <c r="N748" s="16"/>
    </row>
    <row r="749" spans="6:14" ht="14.25" customHeight="1" x14ac:dyDescent="0.3">
      <c r="F749" s="6"/>
      <c r="L749" s="16"/>
      <c r="M749" s="16"/>
      <c r="N749" s="16"/>
    </row>
    <row r="750" spans="6:14" ht="14.25" customHeight="1" x14ac:dyDescent="0.3">
      <c r="F750" s="6"/>
      <c r="L750" s="16"/>
      <c r="M750" s="16"/>
      <c r="N750" s="16"/>
    </row>
    <row r="751" spans="6:14" ht="14.25" customHeight="1" x14ac:dyDescent="0.3">
      <c r="F751" s="6"/>
      <c r="L751" s="16"/>
      <c r="M751" s="16"/>
      <c r="N751" s="16"/>
    </row>
    <row r="752" spans="6:14" ht="14.25" customHeight="1" x14ac:dyDescent="0.3">
      <c r="F752" s="6"/>
      <c r="L752" s="16"/>
      <c r="M752" s="16"/>
      <c r="N752" s="16"/>
    </row>
    <row r="753" spans="6:14" ht="14.25" customHeight="1" x14ac:dyDescent="0.3">
      <c r="F753" s="6"/>
      <c r="L753" s="16"/>
      <c r="M753" s="16"/>
      <c r="N753" s="16"/>
    </row>
    <row r="754" spans="6:14" ht="14.25" customHeight="1" x14ac:dyDescent="0.3">
      <c r="F754" s="6"/>
      <c r="L754" s="16"/>
      <c r="M754" s="16"/>
      <c r="N754" s="16"/>
    </row>
    <row r="755" spans="6:14" ht="14.25" customHeight="1" x14ac:dyDescent="0.3">
      <c r="F755" s="6"/>
      <c r="L755" s="16"/>
      <c r="M755" s="16"/>
      <c r="N755" s="16"/>
    </row>
    <row r="756" spans="6:14" ht="14.25" customHeight="1" x14ac:dyDescent="0.3">
      <c r="F756" s="6"/>
      <c r="L756" s="16"/>
      <c r="M756" s="16"/>
      <c r="N756" s="16"/>
    </row>
    <row r="757" spans="6:14" ht="14.25" customHeight="1" x14ac:dyDescent="0.3">
      <c r="F757" s="6"/>
      <c r="L757" s="16"/>
      <c r="M757" s="16"/>
      <c r="N757" s="16"/>
    </row>
    <row r="758" spans="6:14" ht="14.25" customHeight="1" x14ac:dyDescent="0.3">
      <c r="F758" s="6"/>
      <c r="L758" s="16"/>
      <c r="M758" s="16"/>
      <c r="N758" s="16"/>
    </row>
    <row r="759" spans="6:14" ht="14.25" customHeight="1" x14ac:dyDescent="0.3">
      <c r="F759" s="6"/>
      <c r="L759" s="16"/>
      <c r="M759" s="16"/>
      <c r="N759" s="16"/>
    </row>
    <row r="760" spans="6:14" ht="14.25" customHeight="1" x14ac:dyDescent="0.3">
      <c r="F760" s="6"/>
      <c r="L760" s="16"/>
      <c r="M760" s="16"/>
      <c r="N760" s="16"/>
    </row>
    <row r="761" spans="6:14" ht="14.25" customHeight="1" x14ac:dyDescent="0.3">
      <c r="F761" s="6"/>
      <c r="L761" s="16"/>
      <c r="M761" s="16"/>
      <c r="N761" s="16"/>
    </row>
    <row r="762" spans="6:14" ht="14.25" customHeight="1" x14ac:dyDescent="0.3">
      <c r="F762" s="6"/>
      <c r="L762" s="16"/>
      <c r="M762" s="16"/>
      <c r="N762" s="16"/>
    </row>
    <row r="763" spans="6:14" ht="14.25" customHeight="1" x14ac:dyDescent="0.3">
      <c r="F763" s="6"/>
      <c r="L763" s="16"/>
      <c r="M763" s="16"/>
      <c r="N763" s="16"/>
    </row>
    <row r="764" spans="6:14" ht="14.25" customHeight="1" x14ac:dyDescent="0.3">
      <c r="F764" s="6"/>
      <c r="L764" s="16"/>
      <c r="M764" s="16"/>
      <c r="N764" s="16"/>
    </row>
    <row r="765" spans="6:14" ht="14.25" customHeight="1" x14ac:dyDescent="0.3">
      <c r="F765" s="6"/>
      <c r="L765" s="16"/>
      <c r="M765" s="16"/>
      <c r="N765" s="16"/>
    </row>
    <row r="766" spans="6:14" ht="14.25" customHeight="1" x14ac:dyDescent="0.3">
      <c r="F766" s="6"/>
      <c r="L766" s="16"/>
      <c r="M766" s="16"/>
      <c r="N766" s="16"/>
    </row>
    <row r="767" spans="6:14" ht="14.25" customHeight="1" x14ac:dyDescent="0.3">
      <c r="F767" s="6"/>
      <c r="L767" s="16"/>
      <c r="M767" s="16"/>
      <c r="N767" s="16"/>
    </row>
    <row r="768" spans="6:14" ht="14.25" customHeight="1" x14ac:dyDescent="0.3">
      <c r="F768" s="6"/>
      <c r="L768" s="16"/>
      <c r="M768" s="16"/>
      <c r="N768" s="16"/>
    </row>
    <row r="769" spans="6:14" ht="14.25" customHeight="1" x14ac:dyDescent="0.3">
      <c r="F769" s="6"/>
      <c r="L769" s="16"/>
      <c r="M769" s="16"/>
      <c r="N769" s="16"/>
    </row>
    <row r="770" spans="6:14" ht="14.25" customHeight="1" x14ac:dyDescent="0.3">
      <c r="F770" s="6"/>
      <c r="L770" s="16"/>
      <c r="M770" s="16"/>
      <c r="N770" s="16"/>
    </row>
    <row r="771" spans="6:14" ht="14.25" customHeight="1" x14ac:dyDescent="0.3">
      <c r="F771" s="6"/>
      <c r="L771" s="16"/>
      <c r="M771" s="16"/>
      <c r="N771" s="16"/>
    </row>
    <row r="772" spans="6:14" ht="14.25" customHeight="1" x14ac:dyDescent="0.3">
      <c r="F772" s="6"/>
      <c r="L772" s="16"/>
      <c r="M772" s="16"/>
      <c r="N772" s="16"/>
    </row>
    <row r="773" spans="6:14" ht="14.25" customHeight="1" x14ac:dyDescent="0.3">
      <c r="F773" s="6"/>
      <c r="L773" s="16"/>
      <c r="M773" s="16"/>
      <c r="N773" s="16"/>
    </row>
    <row r="774" spans="6:14" ht="14.25" customHeight="1" x14ac:dyDescent="0.3">
      <c r="F774" s="6"/>
      <c r="L774" s="16"/>
      <c r="M774" s="16"/>
      <c r="N774" s="16"/>
    </row>
    <row r="775" spans="6:14" ht="14.25" customHeight="1" x14ac:dyDescent="0.3">
      <c r="F775" s="6"/>
      <c r="L775" s="16"/>
      <c r="M775" s="16"/>
      <c r="N775" s="16"/>
    </row>
    <row r="776" spans="6:14" ht="14.25" customHeight="1" x14ac:dyDescent="0.3">
      <c r="F776" s="6"/>
      <c r="L776" s="16"/>
      <c r="M776" s="16"/>
      <c r="N776" s="16"/>
    </row>
    <row r="777" spans="6:14" ht="14.25" customHeight="1" x14ac:dyDescent="0.3">
      <c r="F777" s="6"/>
      <c r="L777" s="16"/>
      <c r="M777" s="16"/>
      <c r="N777" s="16"/>
    </row>
    <row r="778" spans="6:14" ht="14.25" customHeight="1" x14ac:dyDescent="0.3">
      <c r="F778" s="6"/>
      <c r="L778" s="16"/>
      <c r="M778" s="16"/>
      <c r="N778" s="16"/>
    </row>
    <row r="779" spans="6:14" ht="14.25" customHeight="1" x14ac:dyDescent="0.3">
      <c r="F779" s="6"/>
      <c r="L779" s="16"/>
      <c r="M779" s="16"/>
      <c r="N779" s="16"/>
    </row>
    <row r="780" spans="6:14" ht="14.25" customHeight="1" x14ac:dyDescent="0.3">
      <c r="F780" s="6"/>
      <c r="L780" s="16"/>
      <c r="M780" s="16"/>
      <c r="N780" s="16"/>
    </row>
    <row r="781" spans="6:14" ht="14.25" customHeight="1" x14ac:dyDescent="0.3">
      <c r="F781" s="6"/>
      <c r="L781" s="16"/>
      <c r="M781" s="16"/>
      <c r="N781" s="16"/>
    </row>
    <row r="782" spans="6:14" ht="14.25" customHeight="1" x14ac:dyDescent="0.3">
      <c r="F782" s="6"/>
      <c r="L782" s="16"/>
      <c r="M782" s="16"/>
      <c r="N782" s="16"/>
    </row>
    <row r="783" spans="6:14" ht="14.25" customHeight="1" x14ac:dyDescent="0.3">
      <c r="F783" s="6"/>
      <c r="L783" s="16"/>
      <c r="M783" s="16"/>
      <c r="N783" s="16"/>
    </row>
    <row r="784" spans="6:14" ht="14.25" customHeight="1" x14ac:dyDescent="0.3">
      <c r="F784" s="6"/>
      <c r="L784" s="16"/>
      <c r="M784" s="16"/>
      <c r="N784" s="16"/>
    </row>
    <row r="785" spans="6:14" ht="14.25" customHeight="1" x14ac:dyDescent="0.3">
      <c r="F785" s="6"/>
      <c r="L785" s="16"/>
      <c r="M785" s="16"/>
      <c r="N785" s="16"/>
    </row>
    <row r="786" spans="6:14" ht="14.25" customHeight="1" x14ac:dyDescent="0.3">
      <c r="F786" s="6"/>
      <c r="L786" s="16"/>
      <c r="M786" s="16"/>
      <c r="N786" s="16"/>
    </row>
    <row r="787" spans="6:14" ht="14.25" customHeight="1" x14ac:dyDescent="0.3">
      <c r="F787" s="6"/>
      <c r="L787" s="16"/>
      <c r="M787" s="16"/>
      <c r="N787" s="16"/>
    </row>
    <row r="788" spans="6:14" ht="14.25" customHeight="1" x14ac:dyDescent="0.3">
      <c r="F788" s="6"/>
      <c r="L788" s="16"/>
      <c r="M788" s="16"/>
      <c r="N788" s="16"/>
    </row>
    <row r="789" spans="6:14" ht="14.25" customHeight="1" x14ac:dyDescent="0.3">
      <c r="F789" s="6"/>
      <c r="L789" s="16"/>
      <c r="M789" s="16"/>
      <c r="N789" s="16"/>
    </row>
    <row r="790" spans="6:14" ht="14.25" customHeight="1" x14ac:dyDescent="0.3">
      <c r="F790" s="6"/>
      <c r="L790" s="16"/>
      <c r="M790" s="16"/>
      <c r="N790" s="16"/>
    </row>
    <row r="791" spans="6:14" ht="14.25" customHeight="1" x14ac:dyDescent="0.3">
      <c r="F791" s="6"/>
      <c r="L791" s="16"/>
      <c r="M791" s="16"/>
      <c r="N791" s="16"/>
    </row>
    <row r="792" spans="6:14" ht="14.25" customHeight="1" x14ac:dyDescent="0.3">
      <c r="F792" s="6"/>
      <c r="L792" s="16"/>
      <c r="M792" s="16"/>
      <c r="N792" s="16"/>
    </row>
    <row r="793" spans="6:14" ht="14.25" customHeight="1" x14ac:dyDescent="0.3">
      <c r="F793" s="6"/>
      <c r="L793" s="16"/>
      <c r="M793" s="16"/>
      <c r="N793" s="16"/>
    </row>
    <row r="794" spans="6:14" ht="14.25" customHeight="1" x14ac:dyDescent="0.3">
      <c r="F794" s="6"/>
      <c r="L794" s="16"/>
      <c r="M794" s="16"/>
      <c r="N794" s="16"/>
    </row>
    <row r="795" spans="6:14" ht="14.25" customHeight="1" x14ac:dyDescent="0.3">
      <c r="F795" s="6"/>
      <c r="L795" s="16"/>
      <c r="M795" s="16"/>
      <c r="N795" s="16"/>
    </row>
    <row r="796" spans="6:14" ht="14.25" customHeight="1" x14ac:dyDescent="0.3">
      <c r="F796" s="6"/>
      <c r="L796" s="16"/>
      <c r="M796" s="16"/>
      <c r="N796" s="16"/>
    </row>
    <row r="797" spans="6:14" ht="14.25" customHeight="1" x14ac:dyDescent="0.3">
      <c r="F797" s="6"/>
      <c r="L797" s="16"/>
      <c r="M797" s="16"/>
      <c r="N797" s="16"/>
    </row>
    <row r="798" spans="6:14" ht="14.25" customHeight="1" x14ac:dyDescent="0.3">
      <c r="F798" s="6"/>
      <c r="L798" s="16"/>
      <c r="M798" s="16"/>
      <c r="N798" s="16"/>
    </row>
    <row r="799" spans="6:14" ht="14.25" customHeight="1" x14ac:dyDescent="0.3">
      <c r="F799" s="6"/>
      <c r="L799" s="16"/>
      <c r="M799" s="16"/>
      <c r="N799" s="16"/>
    </row>
    <row r="800" spans="6:14" ht="14.25" customHeight="1" x14ac:dyDescent="0.3">
      <c r="F800" s="6"/>
      <c r="L800" s="16"/>
      <c r="M800" s="16"/>
      <c r="N800" s="16"/>
    </row>
    <row r="801" spans="6:14" ht="14.25" customHeight="1" x14ac:dyDescent="0.3">
      <c r="F801" s="6"/>
      <c r="L801" s="16"/>
      <c r="M801" s="16"/>
      <c r="N801" s="16"/>
    </row>
    <row r="802" spans="6:14" ht="14.25" customHeight="1" x14ac:dyDescent="0.3">
      <c r="F802" s="6"/>
      <c r="L802" s="16"/>
      <c r="M802" s="16"/>
      <c r="N802" s="16"/>
    </row>
    <row r="803" spans="6:14" ht="14.25" customHeight="1" x14ac:dyDescent="0.3">
      <c r="F803" s="6"/>
      <c r="L803" s="16"/>
      <c r="M803" s="16"/>
      <c r="N803" s="16"/>
    </row>
    <row r="804" spans="6:14" ht="14.25" customHeight="1" x14ac:dyDescent="0.3">
      <c r="F804" s="6"/>
      <c r="L804" s="16"/>
      <c r="M804" s="16"/>
      <c r="N804" s="16"/>
    </row>
    <row r="805" spans="6:14" ht="14.25" customHeight="1" x14ac:dyDescent="0.3">
      <c r="F805" s="6"/>
      <c r="L805" s="16"/>
      <c r="M805" s="16"/>
      <c r="N805" s="16"/>
    </row>
    <row r="806" spans="6:14" ht="14.25" customHeight="1" x14ac:dyDescent="0.3">
      <c r="F806" s="6"/>
      <c r="L806" s="16"/>
      <c r="M806" s="16"/>
      <c r="N806" s="16"/>
    </row>
    <row r="807" spans="6:14" ht="14.25" customHeight="1" x14ac:dyDescent="0.3">
      <c r="F807" s="6"/>
      <c r="L807" s="16"/>
      <c r="M807" s="16"/>
      <c r="N807" s="16"/>
    </row>
    <row r="808" spans="6:14" ht="14.25" customHeight="1" x14ac:dyDescent="0.3">
      <c r="F808" s="6"/>
      <c r="L808" s="16"/>
      <c r="M808" s="16"/>
      <c r="N808" s="16"/>
    </row>
    <row r="809" spans="6:14" ht="14.25" customHeight="1" x14ac:dyDescent="0.3">
      <c r="F809" s="6"/>
      <c r="L809" s="16"/>
      <c r="M809" s="16"/>
      <c r="N809" s="16"/>
    </row>
    <row r="810" spans="6:14" ht="14.25" customHeight="1" x14ac:dyDescent="0.3">
      <c r="F810" s="6"/>
      <c r="L810" s="16"/>
      <c r="M810" s="16"/>
      <c r="N810" s="16"/>
    </row>
    <row r="811" spans="6:14" ht="14.25" customHeight="1" x14ac:dyDescent="0.3">
      <c r="F811" s="6"/>
      <c r="L811" s="16"/>
      <c r="M811" s="16"/>
      <c r="N811" s="16"/>
    </row>
    <row r="812" spans="6:14" ht="14.25" customHeight="1" x14ac:dyDescent="0.3">
      <c r="F812" s="6"/>
      <c r="L812" s="16"/>
      <c r="M812" s="16"/>
      <c r="N812" s="16"/>
    </row>
    <row r="813" spans="6:14" ht="14.25" customHeight="1" x14ac:dyDescent="0.3">
      <c r="F813" s="6"/>
      <c r="L813" s="16"/>
      <c r="M813" s="16"/>
      <c r="N813" s="16"/>
    </row>
    <row r="814" spans="6:14" ht="14.25" customHeight="1" x14ac:dyDescent="0.3">
      <c r="F814" s="6"/>
      <c r="L814" s="16"/>
      <c r="M814" s="16"/>
      <c r="N814" s="16"/>
    </row>
    <row r="815" spans="6:14" ht="14.25" customHeight="1" x14ac:dyDescent="0.3">
      <c r="F815" s="6"/>
      <c r="L815" s="16"/>
      <c r="M815" s="16"/>
      <c r="N815" s="16"/>
    </row>
    <row r="816" spans="6:14" ht="14.25" customHeight="1" x14ac:dyDescent="0.3">
      <c r="F816" s="6"/>
      <c r="L816" s="16"/>
      <c r="M816" s="16"/>
      <c r="N816" s="16"/>
    </row>
    <row r="817" spans="6:14" ht="14.25" customHeight="1" x14ac:dyDescent="0.3">
      <c r="F817" s="6"/>
      <c r="L817" s="16"/>
      <c r="M817" s="16"/>
      <c r="N817" s="16"/>
    </row>
    <row r="818" spans="6:14" ht="14.25" customHeight="1" x14ac:dyDescent="0.3">
      <c r="F818" s="6"/>
      <c r="L818" s="16"/>
      <c r="M818" s="16"/>
      <c r="N818" s="16"/>
    </row>
    <row r="819" spans="6:14" ht="14.25" customHeight="1" x14ac:dyDescent="0.3">
      <c r="F819" s="6"/>
      <c r="L819" s="16"/>
      <c r="M819" s="16"/>
      <c r="N819" s="16"/>
    </row>
    <row r="820" spans="6:14" ht="14.25" customHeight="1" x14ac:dyDescent="0.3">
      <c r="F820" s="6"/>
      <c r="L820" s="16"/>
      <c r="M820" s="16"/>
      <c r="N820" s="16"/>
    </row>
    <row r="821" spans="6:14" ht="14.25" customHeight="1" x14ac:dyDescent="0.3">
      <c r="F821" s="6"/>
      <c r="L821" s="16"/>
      <c r="M821" s="16"/>
      <c r="N821" s="16"/>
    </row>
    <row r="822" spans="6:14" ht="14.25" customHeight="1" x14ac:dyDescent="0.3">
      <c r="F822" s="6"/>
      <c r="L822" s="16"/>
      <c r="M822" s="16"/>
      <c r="N822" s="16"/>
    </row>
    <row r="823" spans="6:14" ht="14.25" customHeight="1" x14ac:dyDescent="0.3">
      <c r="F823" s="6"/>
      <c r="L823" s="16"/>
      <c r="M823" s="16"/>
      <c r="N823" s="16"/>
    </row>
    <row r="824" spans="6:14" ht="14.25" customHeight="1" x14ac:dyDescent="0.3">
      <c r="F824" s="6"/>
      <c r="L824" s="16"/>
      <c r="M824" s="16"/>
      <c r="N824" s="16"/>
    </row>
    <row r="825" spans="6:14" ht="14.25" customHeight="1" x14ac:dyDescent="0.3">
      <c r="F825" s="6"/>
      <c r="L825" s="16"/>
      <c r="M825" s="16"/>
      <c r="N825" s="16"/>
    </row>
    <row r="826" spans="6:14" ht="14.25" customHeight="1" x14ac:dyDescent="0.3">
      <c r="F826" s="6"/>
      <c r="L826" s="16"/>
      <c r="M826" s="16"/>
      <c r="N826" s="16"/>
    </row>
    <row r="827" spans="6:14" ht="14.25" customHeight="1" x14ac:dyDescent="0.3">
      <c r="F827" s="6"/>
      <c r="L827" s="16"/>
      <c r="M827" s="16"/>
      <c r="N827" s="16"/>
    </row>
    <row r="828" spans="6:14" ht="14.25" customHeight="1" x14ac:dyDescent="0.3">
      <c r="F828" s="6"/>
      <c r="L828" s="16"/>
      <c r="M828" s="16"/>
      <c r="N828" s="16"/>
    </row>
    <row r="829" spans="6:14" ht="14.25" customHeight="1" x14ac:dyDescent="0.3">
      <c r="F829" s="6"/>
      <c r="L829" s="16"/>
      <c r="M829" s="16"/>
      <c r="N829" s="16"/>
    </row>
    <row r="830" spans="6:14" ht="14.25" customHeight="1" x14ac:dyDescent="0.3">
      <c r="F830" s="6"/>
      <c r="L830" s="16"/>
      <c r="M830" s="16"/>
      <c r="N830" s="16"/>
    </row>
    <row r="831" spans="6:14" ht="14.25" customHeight="1" x14ac:dyDescent="0.3">
      <c r="F831" s="6"/>
      <c r="L831" s="16"/>
      <c r="M831" s="16"/>
      <c r="N831" s="16"/>
    </row>
    <row r="832" spans="6:14" ht="14.25" customHeight="1" x14ac:dyDescent="0.3">
      <c r="F832" s="6"/>
      <c r="L832" s="16"/>
      <c r="M832" s="16"/>
      <c r="N832" s="16"/>
    </row>
    <row r="833" spans="6:14" ht="14.25" customHeight="1" x14ac:dyDescent="0.3">
      <c r="F833" s="6"/>
      <c r="L833" s="16"/>
      <c r="M833" s="16"/>
      <c r="N833" s="16"/>
    </row>
    <row r="834" spans="6:14" ht="14.25" customHeight="1" x14ac:dyDescent="0.3">
      <c r="F834" s="6"/>
      <c r="L834" s="16"/>
      <c r="M834" s="16"/>
      <c r="N834" s="16"/>
    </row>
    <row r="835" spans="6:14" ht="14.25" customHeight="1" x14ac:dyDescent="0.3">
      <c r="F835" s="6"/>
      <c r="L835" s="16"/>
      <c r="M835" s="16"/>
      <c r="N835" s="16"/>
    </row>
    <row r="836" spans="6:14" ht="14.25" customHeight="1" x14ac:dyDescent="0.3">
      <c r="F836" s="6"/>
      <c r="L836" s="16"/>
      <c r="M836" s="16"/>
      <c r="N836" s="16"/>
    </row>
    <row r="837" spans="6:14" ht="14.25" customHeight="1" x14ac:dyDescent="0.3">
      <c r="F837" s="6"/>
      <c r="L837" s="16"/>
      <c r="M837" s="16"/>
      <c r="N837" s="16"/>
    </row>
    <row r="838" spans="6:14" ht="14.25" customHeight="1" x14ac:dyDescent="0.3">
      <c r="F838" s="6"/>
      <c r="L838" s="16"/>
      <c r="M838" s="16"/>
      <c r="N838" s="16"/>
    </row>
    <row r="839" spans="6:14" ht="14.25" customHeight="1" x14ac:dyDescent="0.3">
      <c r="F839" s="6"/>
      <c r="L839" s="16"/>
      <c r="M839" s="16"/>
      <c r="N839" s="16"/>
    </row>
    <row r="840" spans="6:14" ht="14.25" customHeight="1" x14ac:dyDescent="0.3">
      <c r="F840" s="6"/>
      <c r="L840" s="16"/>
      <c r="M840" s="16"/>
      <c r="N840" s="16"/>
    </row>
    <row r="841" spans="6:14" ht="14.25" customHeight="1" x14ac:dyDescent="0.3">
      <c r="F841" s="6"/>
      <c r="L841" s="16"/>
      <c r="M841" s="16"/>
      <c r="N841" s="16"/>
    </row>
    <row r="842" spans="6:14" ht="14.25" customHeight="1" x14ac:dyDescent="0.3">
      <c r="F842" s="6"/>
      <c r="L842" s="16"/>
      <c r="M842" s="16"/>
      <c r="N842" s="16"/>
    </row>
    <row r="843" spans="6:14" ht="14.25" customHeight="1" x14ac:dyDescent="0.3">
      <c r="F843" s="6"/>
      <c r="L843" s="16"/>
      <c r="M843" s="16"/>
      <c r="N843" s="16"/>
    </row>
    <row r="844" spans="6:14" ht="14.25" customHeight="1" x14ac:dyDescent="0.3">
      <c r="F844" s="6"/>
      <c r="L844" s="16"/>
      <c r="M844" s="16"/>
      <c r="N844" s="16"/>
    </row>
    <row r="845" spans="6:14" ht="14.25" customHeight="1" x14ac:dyDescent="0.3">
      <c r="F845" s="6"/>
      <c r="L845" s="16"/>
      <c r="M845" s="16"/>
      <c r="N845" s="16"/>
    </row>
    <row r="846" spans="6:14" ht="14.25" customHeight="1" x14ac:dyDescent="0.3">
      <c r="F846" s="6"/>
      <c r="L846" s="16"/>
      <c r="M846" s="16"/>
      <c r="N846" s="16"/>
    </row>
    <row r="847" spans="6:14" ht="14.25" customHeight="1" x14ac:dyDescent="0.3">
      <c r="F847" s="6"/>
      <c r="L847" s="16"/>
      <c r="M847" s="16"/>
      <c r="N847" s="16"/>
    </row>
    <row r="848" spans="6:14" ht="14.25" customHeight="1" x14ac:dyDescent="0.3">
      <c r="F848" s="6"/>
      <c r="L848" s="16"/>
      <c r="M848" s="16"/>
      <c r="N848" s="16"/>
    </row>
    <row r="849" spans="6:14" ht="14.25" customHeight="1" x14ac:dyDescent="0.3">
      <c r="F849" s="6"/>
      <c r="L849" s="16"/>
      <c r="M849" s="16"/>
      <c r="N849" s="16"/>
    </row>
    <row r="850" spans="6:14" ht="14.25" customHeight="1" x14ac:dyDescent="0.3">
      <c r="F850" s="6"/>
      <c r="L850" s="16"/>
      <c r="M850" s="16"/>
      <c r="N850" s="16"/>
    </row>
    <row r="851" spans="6:14" ht="14.25" customHeight="1" x14ac:dyDescent="0.3">
      <c r="F851" s="6"/>
      <c r="L851" s="16"/>
      <c r="M851" s="16"/>
      <c r="N851" s="16"/>
    </row>
    <row r="852" spans="6:14" ht="14.25" customHeight="1" x14ac:dyDescent="0.3">
      <c r="F852" s="6"/>
      <c r="L852" s="16"/>
      <c r="M852" s="16"/>
      <c r="N852" s="16"/>
    </row>
    <row r="853" spans="6:14" ht="14.25" customHeight="1" x14ac:dyDescent="0.3">
      <c r="F853" s="6"/>
      <c r="L853" s="16"/>
      <c r="M853" s="16"/>
      <c r="N853" s="16"/>
    </row>
    <row r="854" spans="6:14" ht="14.25" customHeight="1" x14ac:dyDescent="0.3">
      <c r="F854" s="6"/>
      <c r="L854" s="16"/>
      <c r="M854" s="16"/>
      <c r="N854" s="16"/>
    </row>
    <row r="855" spans="6:14" ht="14.25" customHeight="1" x14ac:dyDescent="0.3">
      <c r="F855" s="6"/>
      <c r="L855" s="16"/>
      <c r="M855" s="16"/>
      <c r="N855" s="16"/>
    </row>
    <row r="856" spans="6:14" ht="14.25" customHeight="1" x14ac:dyDescent="0.3">
      <c r="F856" s="6"/>
      <c r="L856" s="16"/>
      <c r="M856" s="16"/>
      <c r="N856" s="16"/>
    </row>
    <row r="857" spans="6:14" ht="14.25" customHeight="1" x14ac:dyDescent="0.3">
      <c r="F857" s="6"/>
      <c r="L857" s="16"/>
      <c r="M857" s="16"/>
      <c r="N857" s="16"/>
    </row>
    <row r="858" spans="6:14" ht="14.25" customHeight="1" x14ac:dyDescent="0.3">
      <c r="F858" s="6"/>
      <c r="L858" s="16"/>
      <c r="M858" s="16"/>
      <c r="N858" s="16"/>
    </row>
    <row r="859" spans="6:14" ht="14.25" customHeight="1" x14ac:dyDescent="0.3">
      <c r="F859" s="6"/>
      <c r="L859" s="16"/>
      <c r="M859" s="16"/>
      <c r="N859" s="16"/>
    </row>
    <row r="860" spans="6:14" ht="14.25" customHeight="1" x14ac:dyDescent="0.3">
      <c r="F860" s="6"/>
      <c r="L860" s="16"/>
      <c r="M860" s="16"/>
      <c r="N860" s="16"/>
    </row>
    <row r="861" spans="6:14" ht="14.25" customHeight="1" x14ac:dyDescent="0.3">
      <c r="F861" s="6"/>
      <c r="L861" s="16"/>
      <c r="M861" s="16"/>
      <c r="N861" s="16"/>
    </row>
    <row r="862" spans="6:14" ht="14.25" customHeight="1" x14ac:dyDescent="0.3">
      <c r="F862" s="6"/>
      <c r="L862" s="16"/>
      <c r="M862" s="16"/>
      <c r="N862" s="16"/>
    </row>
    <row r="863" spans="6:14" ht="14.25" customHeight="1" x14ac:dyDescent="0.3">
      <c r="F863" s="6"/>
      <c r="L863" s="16"/>
      <c r="M863" s="16"/>
      <c r="N863" s="16"/>
    </row>
    <row r="864" spans="6:14" ht="14.25" customHeight="1" x14ac:dyDescent="0.3">
      <c r="F864" s="6"/>
      <c r="L864" s="16"/>
      <c r="M864" s="16"/>
      <c r="N864" s="16"/>
    </row>
    <row r="865" spans="6:14" ht="14.25" customHeight="1" x14ac:dyDescent="0.3">
      <c r="F865" s="6"/>
      <c r="L865" s="16"/>
      <c r="M865" s="16"/>
      <c r="N865" s="16"/>
    </row>
    <row r="866" spans="6:14" ht="14.25" customHeight="1" x14ac:dyDescent="0.3">
      <c r="F866" s="6"/>
      <c r="L866" s="16"/>
      <c r="M866" s="16"/>
      <c r="N866" s="16"/>
    </row>
    <row r="867" spans="6:14" ht="14.25" customHeight="1" x14ac:dyDescent="0.3">
      <c r="F867" s="6"/>
      <c r="L867" s="16"/>
      <c r="M867" s="16"/>
      <c r="N867" s="16"/>
    </row>
    <row r="868" spans="6:14" ht="14.25" customHeight="1" x14ac:dyDescent="0.3">
      <c r="F868" s="6"/>
      <c r="L868" s="16"/>
      <c r="M868" s="16"/>
      <c r="N868" s="16"/>
    </row>
    <row r="869" spans="6:14" ht="14.25" customHeight="1" x14ac:dyDescent="0.3">
      <c r="F869" s="6"/>
      <c r="L869" s="16"/>
      <c r="M869" s="16"/>
      <c r="N869" s="16"/>
    </row>
    <row r="870" spans="6:14" ht="14.25" customHeight="1" x14ac:dyDescent="0.3">
      <c r="F870" s="6"/>
      <c r="L870" s="16"/>
      <c r="M870" s="16"/>
      <c r="N870" s="16"/>
    </row>
    <row r="871" spans="6:14" ht="14.25" customHeight="1" x14ac:dyDescent="0.3">
      <c r="F871" s="6"/>
      <c r="L871" s="16"/>
      <c r="M871" s="16"/>
      <c r="N871" s="16"/>
    </row>
    <row r="872" spans="6:14" ht="14.25" customHeight="1" x14ac:dyDescent="0.3">
      <c r="F872" s="6"/>
      <c r="L872" s="16"/>
      <c r="M872" s="16"/>
      <c r="N872" s="16"/>
    </row>
    <row r="873" spans="6:14" ht="14.25" customHeight="1" x14ac:dyDescent="0.3">
      <c r="F873" s="6"/>
      <c r="L873" s="16"/>
      <c r="M873" s="16"/>
      <c r="N873" s="16"/>
    </row>
    <row r="874" spans="6:14" ht="14.25" customHeight="1" x14ac:dyDescent="0.3">
      <c r="F874" s="6"/>
      <c r="L874" s="16"/>
      <c r="M874" s="16"/>
      <c r="N874" s="16"/>
    </row>
    <row r="875" spans="6:14" ht="14.25" customHeight="1" x14ac:dyDescent="0.3">
      <c r="F875" s="6"/>
      <c r="L875" s="16"/>
      <c r="M875" s="16"/>
      <c r="N875" s="16"/>
    </row>
    <row r="876" spans="6:14" ht="14.25" customHeight="1" x14ac:dyDescent="0.3">
      <c r="F876" s="6"/>
      <c r="L876" s="16"/>
      <c r="M876" s="16"/>
      <c r="N876" s="16"/>
    </row>
    <row r="877" spans="6:14" ht="14.25" customHeight="1" x14ac:dyDescent="0.3">
      <c r="F877" s="6"/>
      <c r="L877" s="16"/>
      <c r="M877" s="16"/>
      <c r="N877" s="16"/>
    </row>
    <row r="878" spans="6:14" ht="14.25" customHeight="1" x14ac:dyDescent="0.3">
      <c r="F878" s="6"/>
      <c r="L878" s="16"/>
      <c r="M878" s="16"/>
      <c r="N878" s="16"/>
    </row>
    <row r="879" spans="6:14" ht="14.25" customHeight="1" x14ac:dyDescent="0.3">
      <c r="F879" s="6"/>
      <c r="L879" s="16"/>
      <c r="M879" s="16"/>
      <c r="N879" s="16"/>
    </row>
    <row r="880" spans="6:14" ht="14.25" customHeight="1" x14ac:dyDescent="0.3">
      <c r="F880" s="6"/>
      <c r="L880" s="16"/>
      <c r="M880" s="16"/>
      <c r="N880" s="16"/>
    </row>
    <row r="881" spans="6:14" ht="14.25" customHeight="1" x14ac:dyDescent="0.3">
      <c r="F881" s="6"/>
      <c r="L881" s="16"/>
      <c r="M881" s="16"/>
      <c r="N881" s="16"/>
    </row>
    <row r="882" spans="6:14" ht="14.25" customHeight="1" x14ac:dyDescent="0.3">
      <c r="F882" s="6"/>
      <c r="L882" s="16"/>
      <c r="M882" s="16"/>
      <c r="N882" s="16"/>
    </row>
    <row r="883" spans="6:14" ht="14.25" customHeight="1" x14ac:dyDescent="0.3">
      <c r="F883" s="6"/>
      <c r="L883" s="16"/>
      <c r="M883" s="16"/>
      <c r="N883" s="16"/>
    </row>
    <row r="884" spans="6:14" ht="14.25" customHeight="1" x14ac:dyDescent="0.3">
      <c r="F884" s="6"/>
      <c r="L884" s="16"/>
      <c r="M884" s="16"/>
      <c r="N884" s="16"/>
    </row>
    <row r="885" spans="6:14" ht="14.25" customHeight="1" x14ac:dyDescent="0.3">
      <c r="F885" s="6"/>
      <c r="L885" s="16"/>
      <c r="M885" s="16"/>
      <c r="N885" s="16"/>
    </row>
    <row r="886" spans="6:14" ht="14.25" customHeight="1" x14ac:dyDescent="0.3">
      <c r="F886" s="6"/>
      <c r="L886" s="16"/>
      <c r="M886" s="16"/>
      <c r="N886" s="16"/>
    </row>
    <row r="887" spans="6:14" ht="14.25" customHeight="1" x14ac:dyDescent="0.3">
      <c r="F887" s="6"/>
      <c r="L887" s="16"/>
      <c r="M887" s="16"/>
      <c r="N887" s="16"/>
    </row>
    <row r="888" spans="6:14" ht="14.25" customHeight="1" x14ac:dyDescent="0.3">
      <c r="F888" s="6"/>
      <c r="L888" s="16"/>
      <c r="M888" s="16"/>
      <c r="N888" s="16"/>
    </row>
    <row r="889" spans="6:14" ht="14.25" customHeight="1" x14ac:dyDescent="0.3">
      <c r="F889" s="6"/>
      <c r="L889" s="16"/>
      <c r="M889" s="16"/>
      <c r="N889" s="16"/>
    </row>
    <row r="890" spans="6:14" ht="14.25" customHeight="1" x14ac:dyDescent="0.3">
      <c r="F890" s="6"/>
      <c r="L890" s="16"/>
      <c r="M890" s="16"/>
      <c r="N890" s="16"/>
    </row>
    <row r="891" spans="6:14" ht="14.25" customHeight="1" x14ac:dyDescent="0.3">
      <c r="F891" s="6"/>
      <c r="L891" s="16"/>
      <c r="M891" s="16"/>
      <c r="N891" s="16"/>
    </row>
    <row r="892" spans="6:14" ht="14.25" customHeight="1" x14ac:dyDescent="0.3">
      <c r="F892" s="6"/>
      <c r="L892" s="16"/>
      <c r="M892" s="16"/>
      <c r="N892" s="16"/>
    </row>
    <row r="893" spans="6:14" ht="14.25" customHeight="1" x14ac:dyDescent="0.3">
      <c r="F893" s="6"/>
      <c r="L893" s="16"/>
      <c r="M893" s="16"/>
      <c r="N893" s="16"/>
    </row>
    <row r="894" spans="6:14" ht="14.25" customHeight="1" x14ac:dyDescent="0.3">
      <c r="F894" s="6"/>
      <c r="L894" s="16"/>
      <c r="M894" s="16"/>
      <c r="N894" s="16"/>
    </row>
    <row r="895" spans="6:14" ht="14.25" customHeight="1" x14ac:dyDescent="0.3">
      <c r="F895" s="6"/>
      <c r="L895" s="16"/>
      <c r="M895" s="16"/>
      <c r="N895" s="16"/>
    </row>
    <row r="896" spans="6:14" ht="14.25" customHeight="1" x14ac:dyDescent="0.3">
      <c r="F896" s="6"/>
      <c r="L896" s="16"/>
      <c r="M896" s="16"/>
      <c r="N896" s="16"/>
    </row>
    <row r="897" spans="6:14" ht="14.25" customHeight="1" x14ac:dyDescent="0.3">
      <c r="F897" s="6"/>
      <c r="L897" s="16"/>
      <c r="M897" s="16"/>
      <c r="N897" s="16"/>
    </row>
    <row r="898" spans="6:14" ht="14.25" customHeight="1" x14ac:dyDescent="0.3">
      <c r="F898" s="6"/>
      <c r="L898" s="16"/>
      <c r="M898" s="16"/>
      <c r="N898" s="16"/>
    </row>
    <row r="899" spans="6:14" ht="14.25" customHeight="1" x14ac:dyDescent="0.3">
      <c r="F899" s="6"/>
      <c r="L899" s="16"/>
      <c r="M899" s="16"/>
      <c r="N899" s="16"/>
    </row>
    <row r="900" spans="6:14" ht="14.25" customHeight="1" x14ac:dyDescent="0.3">
      <c r="F900" s="6"/>
      <c r="L900" s="16"/>
      <c r="M900" s="16"/>
      <c r="N900" s="16"/>
    </row>
    <row r="901" spans="6:14" ht="14.25" customHeight="1" x14ac:dyDescent="0.3">
      <c r="F901" s="6"/>
      <c r="L901" s="16"/>
      <c r="M901" s="16"/>
      <c r="N901" s="16"/>
    </row>
    <row r="902" spans="6:14" ht="14.25" customHeight="1" x14ac:dyDescent="0.3">
      <c r="F902" s="6"/>
      <c r="L902" s="16"/>
      <c r="M902" s="16"/>
      <c r="N902" s="16"/>
    </row>
    <row r="903" spans="6:14" ht="14.25" customHeight="1" x14ac:dyDescent="0.3">
      <c r="F903" s="6"/>
      <c r="L903" s="16"/>
      <c r="M903" s="16"/>
      <c r="N903" s="16"/>
    </row>
    <row r="904" spans="6:14" ht="14.25" customHeight="1" x14ac:dyDescent="0.3">
      <c r="F904" s="6"/>
      <c r="L904" s="16"/>
      <c r="M904" s="16"/>
      <c r="N904" s="16"/>
    </row>
    <row r="905" spans="6:14" ht="14.25" customHeight="1" x14ac:dyDescent="0.3">
      <c r="F905" s="6"/>
      <c r="L905" s="16"/>
      <c r="M905" s="16"/>
      <c r="N905" s="16"/>
    </row>
    <row r="906" spans="6:14" ht="14.25" customHeight="1" x14ac:dyDescent="0.3">
      <c r="F906" s="6"/>
      <c r="L906" s="16"/>
      <c r="M906" s="16"/>
      <c r="N906" s="16"/>
    </row>
    <row r="907" spans="6:14" ht="14.25" customHeight="1" x14ac:dyDescent="0.3">
      <c r="F907" s="6"/>
      <c r="L907" s="16"/>
      <c r="M907" s="16"/>
      <c r="N907" s="16"/>
    </row>
    <row r="908" spans="6:14" ht="14.25" customHeight="1" x14ac:dyDescent="0.3">
      <c r="F908" s="6"/>
      <c r="L908" s="16"/>
      <c r="M908" s="16"/>
      <c r="N908" s="16"/>
    </row>
    <row r="909" spans="6:14" ht="14.25" customHeight="1" x14ac:dyDescent="0.3">
      <c r="F909" s="6"/>
      <c r="L909" s="16"/>
      <c r="M909" s="16"/>
      <c r="N909" s="16"/>
    </row>
    <row r="910" spans="6:14" ht="14.25" customHeight="1" x14ac:dyDescent="0.3">
      <c r="F910" s="6"/>
      <c r="L910" s="16"/>
      <c r="M910" s="16"/>
      <c r="N910" s="16"/>
    </row>
    <row r="911" spans="6:14" ht="14.25" customHeight="1" x14ac:dyDescent="0.3">
      <c r="F911" s="6"/>
      <c r="L911" s="16"/>
      <c r="M911" s="16"/>
      <c r="N911" s="16"/>
    </row>
    <row r="912" spans="6:14" ht="14.25" customHeight="1" x14ac:dyDescent="0.3">
      <c r="F912" s="6"/>
      <c r="L912" s="16"/>
      <c r="M912" s="16"/>
      <c r="N912" s="16"/>
    </row>
    <row r="913" spans="6:14" ht="14.25" customHeight="1" x14ac:dyDescent="0.3">
      <c r="F913" s="6"/>
      <c r="L913" s="16"/>
      <c r="M913" s="16"/>
      <c r="N913" s="16"/>
    </row>
    <row r="914" spans="6:14" ht="14.25" customHeight="1" x14ac:dyDescent="0.3">
      <c r="F914" s="6"/>
      <c r="L914" s="16"/>
      <c r="M914" s="16"/>
      <c r="N914" s="16"/>
    </row>
    <row r="915" spans="6:14" ht="14.25" customHeight="1" x14ac:dyDescent="0.3">
      <c r="F915" s="6"/>
      <c r="L915" s="16"/>
      <c r="M915" s="16"/>
      <c r="N915" s="16"/>
    </row>
    <row r="916" spans="6:14" ht="14.25" customHeight="1" x14ac:dyDescent="0.3">
      <c r="F916" s="6"/>
      <c r="L916" s="16"/>
      <c r="M916" s="16"/>
      <c r="N916" s="16"/>
    </row>
    <row r="917" spans="6:14" ht="14.25" customHeight="1" x14ac:dyDescent="0.3">
      <c r="F917" s="6"/>
      <c r="L917" s="16"/>
      <c r="M917" s="16"/>
      <c r="N917" s="16"/>
    </row>
    <row r="918" spans="6:14" ht="14.25" customHeight="1" x14ac:dyDescent="0.3">
      <c r="F918" s="6"/>
      <c r="L918" s="16"/>
      <c r="M918" s="16"/>
      <c r="N918" s="16"/>
    </row>
    <row r="919" spans="6:14" ht="14.25" customHeight="1" x14ac:dyDescent="0.3">
      <c r="F919" s="6"/>
      <c r="L919" s="16"/>
      <c r="M919" s="16"/>
      <c r="N919" s="16"/>
    </row>
    <row r="920" spans="6:14" ht="14.25" customHeight="1" x14ac:dyDescent="0.3">
      <c r="F920" s="6"/>
      <c r="L920" s="16"/>
      <c r="M920" s="16"/>
      <c r="N920" s="16"/>
    </row>
    <row r="921" spans="6:14" ht="14.25" customHeight="1" x14ac:dyDescent="0.3">
      <c r="F921" s="6"/>
      <c r="L921" s="16"/>
      <c r="M921" s="16"/>
      <c r="N921" s="16"/>
    </row>
    <row r="922" spans="6:14" ht="14.25" customHeight="1" x14ac:dyDescent="0.3">
      <c r="F922" s="6"/>
      <c r="L922" s="16"/>
      <c r="M922" s="16"/>
      <c r="N922" s="16"/>
    </row>
    <row r="923" spans="6:14" ht="14.25" customHeight="1" x14ac:dyDescent="0.3">
      <c r="F923" s="6"/>
      <c r="L923" s="16"/>
      <c r="M923" s="16"/>
      <c r="N923" s="16"/>
    </row>
    <row r="924" spans="6:14" ht="14.25" customHeight="1" x14ac:dyDescent="0.3">
      <c r="F924" s="6"/>
      <c r="L924" s="16"/>
      <c r="M924" s="16"/>
      <c r="N924" s="16"/>
    </row>
    <row r="925" spans="6:14" ht="14.25" customHeight="1" x14ac:dyDescent="0.3">
      <c r="F925" s="6"/>
      <c r="L925" s="16"/>
      <c r="M925" s="16"/>
      <c r="N925" s="16"/>
    </row>
    <row r="926" spans="6:14" ht="14.25" customHeight="1" x14ac:dyDescent="0.3">
      <c r="F926" s="6"/>
      <c r="L926" s="16"/>
      <c r="M926" s="16"/>
      <c r="N926" s="16"/>
    </row>
    <row r="927" spans="6:14" ht="14.25" customHeight="1" x14ac:dyDescent="0.3">
      <c r="F927" s="6"/>
      <c r="L927" s="16"/>
      <c r="M927" s="16"/>
      <c r="N927" s="16"/>
    </row>
    <row r="928" spans="6:14" ht="14.25" customHeight="1" x14ac:dyDescent="0.3">
      <c r="F928" s="6"/>
      <c r="L928" s="16"/>
      <c r="M928" s="16"/>
      <c r="N928" s="16"/>
    </row>
    <row r="929" spans="6:14" ht="14.25" customHeight="1" x14ac:dyDescent="0.3">
      <c r="F929" s="6"/>
      <c r="L929" s="16"/>
      <c r="M929" s="16"/>
      <c r="N929" s="16"/>
    </row>
    <row r="930" spans="6:14" ht="14.25" customHeight="1" x14ac:dyDescent="0.3">
      <c r="F930" s="6"/>
      <c r="L930" s="16"/>
      <c r="M930" s="16"/>
      <c r="N930" s="16"/>
    </row>
    <row r="931" spans="6:14" ht="14.25" customHeight="1" x14ac:dyDescent="0.3">
      <c r="F931" s="6"/>
      <c r="L931" s="16"/>
      <c r="M931" s="16"/>
      <c r="N931" s="16"/>
    </row>
    <row r="932" spans="6:14" ht="14.25" customHeight="1" x14ac:dyDescent="0.3">
      <c r="F932" s="6"/>
      <c r="L932" s="16"/>
      <c r="M932" s="16"/>
      <c r="N932" s="16"/>
    </row>
    <row r="933" spans="6:14" ht="14.25" customHeight="1" x14ac:dyDescent="0.3">
      <c r="F933" s="6"/>
      <c r="L933" s="16"/>
      <c r="M933" s="16"/>
      <c r="N933" s="16"/>
    </row>
    <row r="934" spans="6:14" ht="14.25" customHeight="1" x14ac:dyDescent="0.3">
      <c r="F934" s="6"/>
      <c r="L934" s="16"/>
      <c r="M934" s="16"/>
      <c r="N934" s="16"/>
    </row>
    <row r="935" spans="6:14" ht="14.25" customHeight="1" x14ac:dyDescent="0.3">
      <c r="F935" s="6"/>
      <c r="L935" s="16"/>
      <c r="M935" s="16"/>
      <c r="N935" s="16"/>
    </row>
    <row r="936" spans="6:14" ht="14.25" customHeight="1" x14ac:dyDescent="0.3">
      <c r="F936" s="6"/>
      <c r="L936" s="16"/>
      <c r="M936" s="16"/>
      <c r="N936" s="16"/>
    </row>
    <row r="937" spans="6:14" ht="14.25" customHeight="1" x14ac:dyDescent="0.3">
      <c r="F937" s="6"/>
      <c r="L937" s="16"/>
      <c r="M937" s="16"/>
      <c r="N937" s="16"/>
    </row>
    <row r="938" spans="6:14" ht="14.25" customHeight="1" x14ac:dyDescent="0.3">
      <c r="F938" s="6"/>
      <c r="L938" s="16"/>
      <c r="M938" s="16"/>
      <c r="N938" s="16"/>
    </row>
    <row r="939" spans="6:14" ht="14.25" customHeight="1" x14ac:dyDescent="0.3">
      <c r="F939" s="6"/>
      <c r="L939" s="16"/>
      <c r="M939" s="16"/>
      <c r="N939" s="16"/>
    </row>
    <row r="940" spans="6:14" ht="14.25" customHeight="1" x14ac:dyDescent="0.3">
      <c r="F940" s="6"/>
      <c r="L940" s="16"/>
      <c r="M940" s="16"/>
      <c r="N940" s="16"/>
    </row>
    <row r="941" spans="6:14" ht="14.25" customHeight="1" x14ac:dyDescent="0.3">
      <c r="F941" s="6"/>
      <c r="L941" s="16"/>
      <c r="M941" s="16"/>
      <c r="N941" s="16"/>
    </row>
    <row r="942" spans="6:14" ht="14.25" customHeight="1" x14ac:dyDescent="0.3">
      <c r="F942" s="6"/>
      <c r="L942" s="16"/>
      <c r="M942" s="16"/>
      <c r="N942" s="16"/>
    </row>
    <row r="943" spans="6:14" ht="14.25" customHeight="1" x14ac:dyDescent="0.3">
      <c r="F943" s="6"/>
      <c r="L943" s="16"/>
      <c r="M943" s="16"/>
      <c r="N943" s="16"/>
    </row>
    <row r="944" spans="6:14" ht="14.25" customHeight="1" x14ac:dyDescent="0.3">
      <c r="F944" s="6"/>
      <c r="L944" s="16"/>
      <c r="M944" s="16"/>
      <c r="N944" s="16"/>
    </row>
    <row r="945" spans="6:14" ht="14.25" customHeight="1" x14ac:dyDescent="0.3">
      <c r="F945" s="6"/>
      <c r="L945" s="16"/>
      <c r="M945" s="16"/>
      <c r="N945" s="16"/>
    </row>
    <row r="946" spans="6:14" ht="14.25" customHeight="1" x14ac:dyDescent="0.3">
      <c r="F946" s="6"/>
      <c r="L946" s="16"/>
      <c r="M946" s="16"/>
      <c r="N946" s="16"/>
    </row>
    <row r="947" spans="6:14" ht="14.25" customHeight="1" x14ac:dyDescent="0.3">
      <c r="F947" s="6"/>
      <c r="L947" s="16"/>
      <c r="M947" s="16"/>
      <c r="N947" s="16"/>
    </row>
    <row r="948" spans="6:14" ht="14.25" customHeight="1" x14ac:dyDescent="0.3">
      <c r="F948" s="6"/>
      <c r="L948" s="16"/>
      <c r="M948" s="16"/>
      <c r="N948" s="16"/>
    </row>
    <row r="949" spans="6:14" ht="14.25" customHeight="1" x14ac:dyDescent="0.3">
      <c r="F949" s="6"/>
      <c r="L949" s="16"/>
      <c r="M949" s="16"/>
      <c r="N949" s="16"/>
    </row>
    <row r="950" spans="6:14" ht="14.25" customHeight="1" x14ac:dyDescent="0.3">
      <c r="F950" s="6"/>
      <c r="L950" s="16"/>
      <c r="M950" s="16"/>
      <c r="N950" s="16"/>
    </row>
    <row r="951" spans="6:14" ht="14.25" customHeight="1" x14ac:dyDescent="0.3">
      <c r="F951" s="6"/>
      <c r="L951" s="16"/>
      <c r="M951" s="16"/>
      <c r="N951" s="16"/>
    </row>
    <row r="952" spans="6:14" ht="14.25" customHeight="1" x14ac:dyDescent="0.3">
      <c r="F952" s="6"/>
      <c r="L952" s="16"/>
      <c r="M952" s="16"/>
      <c r="N952" s="16"/>
    </row>
    <row r="953" spans="6:14" ht="14.25" customHeight="1" x14ac:dyDescent="0.3">
      <c r="F953" s="6"/>
      <c r="L953" s="16"/>
      <c r="M953" s="16"/>
      <c r="N953" s="16"/>
    </row>
    <row r="954" spans="6:14" ht="14.25" customHeight="1" x14ac:dyDescent="0.3">
      <c r="F954" s="6"/>
      <c r="L954" s="16"/>
      <c r="M954" s="16"/>
      <c r="N954" s="16"/>
    </row>
    <row r="955" spans="6:14" ht="14.25" customHeight="1" x14ac:dyDescent="0.3">
      <c r="F955" s="6"/>
      <c r="L955" s="16"/>
      <c r="M955" s="16"/>
      <c r="N955" s="16"/>
    </row>
    <row r="956" spans="6:14" ht="14.25" customHeight="1" x14ac:dyDescent="0.3">
      <c r="F956" s="6"/>
      <c r="L956" s="16"/>
      <c r="M956" s="16"/>
      <c r="N956" s="16"/>
    </row>
    <row r="957" spans="6:14" ht="14.25" customHeight="1" x14ac:dyDescent="0.3">
      <c r="F957" s="6"/>
      <c r="L957" s="16"/>
      <c r="M957" s="16"/>
      <c r="N957" s="16"/>
    </row>
    <row r="958" spans="6:14" ht="14.25" customHeight="1" x14ac:dyDescent="0.3">
      <c r="F958" s="6"/>
      <c r="L958" s="16"/>
      <c r="M958" s="16"/>
      <c r="N958" s="16"/>
    </row>
    <row r="959" spans="6:14" ht="14.25" customHeight="1" x14ac:dyDescent="0.3">
      <c r="F959" s="6"/>
      <c r="L959" s="16"/>
      <c r="M959" s="16"/>
      <c r="N959" s="16"/>
    </row>
    <row r="960" spans="6:14" ht="14.25" customHeight="1" x14ac:dyDescent="0.3">
      <c r="F960" s="6"/>
      <c r="L960" s="16"/>
      <c r="M960" s="16"/>
      <c r="N960" s="16"/>
    </row>
    <row r="961" spans="6:14" ht="14.25" customHeight="1" x14ac:dyDescent="0.3">
      <c r="F961" s="6"/>
      <c r="L961" s="16"/>
      <c r="M961" s="16"/>
      <c r="N961" s="16"/>
    </row>
    <row r="962" spans="6:14" ht="14.25" customHeight="1" x14ac:dyDescent="0.3">
      <c r="F962" s="6"/>
      <c r="L962" s="16"/>
      <c r="M962" s="16"/>
      <c r="N962" s="16"/>
    </row>
    <row r="963" spans="6:14" ht="14.25" customHeight="1" x14ac:dyDescent="0.3">
      <c r="F963" s="6"/>
      <c r="L963" s="16"/>
      <c r="M963" s="16"/>
      <c r="N963" s="16"/>
    </row>
    <row r="964" spans="6:14" ht="14.25" customHeight="1" x14ac:dyDescent="0.3">
      <c r="F964" s="6"/>
      <c r="L964" s="16"/>
      <c r="M964" s="16"/>
      <c r="N964" s="16"/>
    </row>
    <row r="965" spans="6:14" ht="14.25" customHeight="1" x14ac:dyDescent="0.3">
      <c r="F965" s="6"/>
      <c r="L965" s="16"/>
      <c r="M965" s="16"/>
      <c r="N965" s="16"/>
    </row>
    <row r="966" spans="6:14" ht="14.25" customHeight="1" x14ac:dyDescent="0.3">
      <c r="F966" s="6"/>
      <c r="L966" s="16"/>
      <c r="M966" s="16"/>
      <c r="N966" s="16"/>
    </row>
    <row r="967" spans="6:14" ht="14.25" customHeight="1" x14ac:dyDescent="0.3">
      <c r="F967" s="6"/>
      <c r="L967" s="16"/>
      <c r="M967" s="16"/>
      <c r="N967" s="16"/>
    </row>
    <row r="968" spans="6:14" ht="14.25" customHeight="1" x14ac:dyDescent="0.3">
      <c r="F968" s="6"/>
      <c r="L968" s="16"/>
      <c r="M968" s="16"/>
      <c r="N968" s="16"/>
    </row>
    <row r="969" spans="6:14" ht="14.25" customHeight="1" x14ac:dyDescent="0.3">
      <c r="F969" s="6"/>
      <c r="L969" s="16"/>
      <c r="M969" s="16"/>
      <c r="N969" s="16"/>
    </row>
    <row r="970" spans="6:14" ht="14.25" customHeight="1" x14ac:dyDescent="0.3">
      <c r="F970" s="6"/>
      <c r="L970" s="16"/>
      <c r="M970" s="16"/>
      <c r="N970" s="16"/>
    </row>
    <row r="971" spans="6:14" ht="14.25" customHeight="1" x14ac:dyDescent="0.3">
      <c r="F971" s="6"/>
      <c r="L971" s="16"/>
      <c r="M971" s="16"/>
      <c r="N971" s="16"/>
    </row>
    <row r="972" spans="6:14" ht="14.25" customHeight="1" x14ac:dyDescent="0.3">
      <c r="F972" s="6"/>
      <c r="L972" s="16"/>
      <c r="M972" s="16"/>
      <c r="N972" s="16"/>
    </row>
    <row r="973" spans="6:14" ht="14.25" customHeight="1" x14ac:dyDescent="0.3">
      <c r="F973" s="6"/>
      <c r="L973" s="16"/>
      <c r="M973" s="16"/>
      <c r="N973" s="16"/>
    </row>
    <row r="974" spans="6:14" ht="14.25" customHeight="1" x14ac:dyDescent="0.3">
      <c r="F974" s="6"/>
      <c r="L974" s="16"/>
      <c r="M974" s="16"/>
      <c r="N974" s="16"/>
    </row>
    <row r="975" spans="6:14" ht="14.25" customHeight="1" x14ac:dyDescent="0.3">
      <c r="F975" s="6"/>
      <c r="L975" s="16"/>
      <c r="M975" s="16"/>
      <c r="N975" s="16"/>
    </row>
    <row r="976" spans="6:14" ht="14.25" customHeight="1" x14ac:dyDescent="0.3">
      <c r="F976" s="6"/>
      <c r="L976" s="16"/>
      <c r="M976" s="16"/>
      <c r="N976" s="16"/>
    </row>
    <row r="977" spans="6:14" ht="14.25" customHeight="1" x14ac:dyDescent="0.3">
      <c r="F977" s="6"/>
      <c r="L977" s="16"/>
      <c r="M977" s="16"/>
      <c r="N977" s="16"/>
    </row>
    <row r="978" spans="6:14" ht="14.25" customHeight="1" x14ac:dyDescent="0.3">
      <c r="F978" s="6"/>
      <c r="L978" s="16"/>
      <c r="M978" s="16"/>
      <c r="N978" s="16"/>
    </row>
    <row r="979" spans="6:14" ht="14.25" customHeight="1" x14ac:dyDescent="0.3">
      <c r="F979" s="6"/>
      <c r="L979" s="16"/>
      <c r="M979" s="16"/>
      <c r="N979" s="16"/>
    </row>
    <row r="980" spans="6:14" ht="14.25" customHeight="1" x14ac:dyDescent="0.3">
      <c r="F980" s="6"/>
      <c r="L980" s="16"/>
      <c r="M980" s="16"/>
      <c r="N980" s="16"/>
    </row>
    <row r="981" spans="6:14" ht="14.25" customHeight="1" x14ac:dyDescent="0.3">
      <c r="F981" s="6"/>
      <c r="L981" s="16"/>
      <c r="M981" s="16"/>
      <c r="N981" s="16"/>
    </row>
    <row r="982" spans="6:14" ht="14.25" customHeight="1" x14ac:dyDescent="0.3">
      <c r="F982" s="6"/>
      <c r="L982" s="16"/>
      <c r="M982" s="16"/>
      <c r="N982" s="16"/>
    </row>
    <row r="983" spans="6:14" ht="14.25" customHeight="1" x14ac:dyDescent="0.3">
      <c r="F983" s="6"/>
      <c r="L983" s="16"/>
      <c r="M983" s="16"/>
      <c r="N983" s="16"/>
    </row>
    <row r="984" spans="6:14" ht="14.25" customHeight="1" x14ac:dyDescent="0.3">
      <c r="F984" s="6"/>
      <c r="L984" s="16"/>
      <c r="M984" s="16"/>
      <c r="N984" s="16"/>
    </row>
    <row r="985" spans="6:14" ht="14.25" customHeight="1" x14ac:dyDescent="0.3">
      <c r="F985" s="6"/>
      <c r="L985" s="16"/>
      <c r="M985" s="16"/>
      <c r="N985" s="16"/>
    </row>
    <row r="986" spans="6:14" ht="14.25" customHeight="1" x14ac:dyDescent="0.3">
      <c r="F986" s="6"/>
      <c r="L986" s="16"/>
      <c r="M986" s="16"/>
      <c r="N986" s="16"/>
    </row>
    <row r="987" spans="6:14" ht="14.25" customHeight="1" x14ac:dyDescent="0.3">
      <c r="F987" s="6"/>
      <c r="L987" s="16"/>
      <c r="M987" s="16"/>
      <c r="N987" s="16"/>
    </row>
    <row r="988" spans="6:14" ht="14.25" customHeight="1" x14ac:dyDescent="0.3">
      <c r="F988" s="6"/>
      <c r="L988" s="16"/>
      <c r="M988" s="16"/>
      <c r="N988" s="16"/>
    </row>
    <row r="989" spans="6:14" ht="14.25" customHeight="1" x14ac:dyDescent="0.3">
      <c r="F989" s="6"/>
      <c r="L989" s="16"/>
      <c r="M989" s="16"/>
      <c r="N989" s="16"/>
    </row>
    <row r="990" spans="6:14" ht="14.25" customHeight="1" x14ac:dyDescent="0.3">
      <c r="F990" s="6"/>
      <c r="L990" s="16"/>
      <c r="M990" s="16"/>
      <c r="N990" s="16"/>
    </row>
    <row r="991" spans="6:14" ht="14.25" customHeight="1" x14ac:dyDescent="0.3">
      <c r="F991" s="6"/>
      <c r="L991" s="16"/>
      <c r="M991" s="16"/>
      <c r="N991" s="16"/>
    </row>
    <row r="992" spans="6:14" ht="14.25" customHeight="1" x14ac:dyDescent="0.3">
      <c r="F992" s="6"/>
      <c r="L992" s="16"/>
      <c r="M992" s="16"/>
      <c r="N992" s="16"/>
    </row>
    <row r="993" spans="6:14" ht="14.25" customHeight="1" x14ac:dyDescent="0.3">
      <c r="F993" s="6"/>
      <c r="L993" s="16"/>
      <c r="M993" s="16"/>
      <c r="N993" s="16"/>
    </row>
    <row r="994" spans="6:14" ht="14.25" customHeight="1" x14ac:dyDescent="0.3">
      <c r="F994" s="6"/>
      <c r="L994" s="16"/>
      <c r="M994" s="16"/>
      <c r="N994" s="16"/>
    </row>
    <row r="995" spans="6:14" ht="14.25" customHeight="1" x14ac:dyDescent="0.3">
      <c r="F995" s="6"/>
      <c r="L995" s="16"/>
      <c r="M995" s="16"/>
      <c r="N995" s="16"/>
    </row>
    <row r="996" spans="6:14" ht="14.25" customHeight="1" x14ac:dyDescent="0.3">
      <c r="F996" s="6"/>
      <c r="L996" s="16"/>
      <c r="M996" s="16"/>
      <c r="N996" s="16"/>
    </row>
    <row r="997" spans="6:14" ht="14.25" customHeight="1" x14ac:dyDescent="0.3">
      <c r="F997" s="6"/>
      <c r="L997" s="16"/>
      <c r="M997" s="16"/>
      <c r="N997" s="16"/>
    </row>
    <row r="998" spans="6:14" ht="14.25" customHeight="1" x14ac:dyDescent="0.3">
      <c r="F998" s="6"/>
      <c r="L998" s="16"/>
      <c r="M998" s="16"/>
      <c r="N998" s="16"/>
    </row>
    <row r="999" spans="6:14" ht="14.25" customHeight="1" x14ac:dyDescent="0.3">
      <c r="F999" s="6"/>
      <c r="L999" s="16"/>
      <c r="M999" s="16"/>
      <c r="N999" s="16"/>
    </row>
    <row r="1000" spans="6:14" ht="14.25" customHeight="1" x14ac:dyDescent="0.3">
      <c r="F1000" s="6"/>
      <c r="L1000" s="16"/>
      <c r="M1000" s="16"/>
      <c r="N1000" s="16"/>
    </row>
    <row r="1001" spans="6:14" ht="14.25" customHeight="1" x14ac:dyDescent="0.3">
      <c r="F1001" s="6"/>
      <c r="L1001" s="16"/>
      <c r="M1001" s="16"/>
      <c r="N1001" s="16"/>
    </row>
    <row r="1002" spans="6:14" ht="14.25" customHeight="1" x14ac:dyDescent="0.3">
      <c r="F1002" s="6"/>
      <c r="L1002" s="16"/>
      <c r="M1002" s="16"/>
      <c r="N1002" s="16"/>
    </row>
  </sheetData>
  <dataValidations count="1">
    <dataValidation type="list" allowBlank="1" showErrorMessage="1" sqref="F2:F1002" xr:uid="{00000000-0002-0000-0200-000000000000}">
      <formula1>$K$2:$K$5</formula1>
    </dataValidation>
  </dataValidation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CAF50"/>
  </sheetPr>
  <dimension ref="A1:I1000"/>
  <sheetViews>
    <sheetView workbookViewId="0"/>
  </sheetViews>
  <sheetFormatPr baseColWidth="10" defaultColWidth="14.44140625" defaultRowHeight="15" customHeight="1" x14ac:dyDescent="0.3"/>
  <cols>
    <col min="1" max="1" width="14" customWidth="1"/>
    <col min="2" max="7" width="16" customWidth="1"/>
    <col min="8" max="8" width="14" customWidth="1"/>
    <col min="9" max="9" width="47.6640625" customWidth="1"/>
    <col min="10" max="26" width="8.6640625" customWidth="1"/>
  </cols>
  <sheetData>
    <row r="1" spans="1:9" ht="14.25" customHeight="1" x14ac:dyDescent="0.3">
      <c r="A1" s="64" t="s">
        <v>422</v>
      </c>
      <c r="B1" s="64" t="s">
        <v>488</v>
      </c>
      <c r="C1" s="64" t="s">
        <v>489</v>
      </c>
      <c r="D1" s="64" t="s">
        <v>490</v>
      </c>
      <c r="E1" s="64" t="s">
        <v>491</v>
      </c>
      <c r="F1" s="64" t="s">
        <v>492</v>
      </c>
      <c r="G1" s="64" t="s">
        <v>493</v>
      </c>
      <c r="H1" s="64" t="s">
        <v>494</v>
      </c>
      <c r="I1" s="64" t="s">
        <v>196</v>
      </c>
    </row>
    <row r="2" spans="1:9" ht="14.25" customHeight="1" x14ac:dyDescent="0.3">
      <c r="A2" s="46">
        <v>46067</v>
      </c>
      <c r="B2" s="17">
        <v>0</v>
      </c>
      <c r="C2" s="17">
        <v>0</v>
      </c>
      <c r="D2" s="17">
        <v>0</v>
      </c>
      <c r="E2" s="17">
        <v>120000</v>
      </c>
      <c r="F2" s="17">
        <v>0</v>
      </c>
      <c r="G2" s="17">
        <f t="shared" ref="G2:G61" si="0">B2+C2-F2</f>
        <v>0</v>
      </c>
      <c r="H2" s="17">
        <f t="shared" ref="H2:H61" si="1">G2-(B2+C2-F2)</f>
        <v>0</v>
      </c>
      <c r="I2" s="47" t="s">
        <v>495</v>
      </c>
    </row>
    <row r="3" spans="1:9" ht="14.25" customHeight="1" x14ac:dyDescent="0.3">
      <c r="A3" s="46"/>
      <c r="B3" s="17"/>
      <c r="C3" s="17"/>
      <c r="D3" s="17"/>
      <c r="E3" s="17"/>
      <c r="F3" s="17"/>
      <c r="G3" s="17">
        <f t="shared" si="0"/>
        <v>0</v>
      </c>
      <c r="H3" s="17">
        <f t="shared" si="1"/>
        <v>0</v>
      </c>
    </row>
    <row r="4" spans="1:9" ht="14.25" customHeight="1" x14ac:dyDescent="0.3">
      <c r="A4" s="46"/>
      <c r="B4" s="17"/>
      <c r="C4" s="17"/>
      <c r="D4" s="17"/>
      <c r="E4" s="17"/>
      <c r="F4" s="17"/>
      <c r="G4" s="17">
        <f t="shared" si="0"/>
        <v>0</v>
      </c>
      <c r="H4" s="17">
        <f t="shared" si="1"/>
        <v>0</v>
      </c>
    </row>
    <row r="5" spans="1:9" ht="14.25" customHeight="1" x14ac:dyDescent="0.3">
      <c r="A5" s="46"/>
      <c r="B5" s="17"/>
      <c r="C5" s="17"/>
      <c r="D5" s="17"/>
      <c r="E5" s="17"/>
      <c r="F5" s="17"/>
      <c r="G5" s="17">
        <f t="shared" si="0"/>
        <v>0</v>
      </c>
      <c r="H5" s="17">
        <f t="shared" si="1"/>
        <v>0</v>
      </c>
    </row>
    <row r="6" spans="1:9" ht="14.25" customHeight="1" x14ac:dyDescent="0.3">
      <c r="A6" s="46"/>
      <c r="B6" s="17"/>
      <c r="C6" s="17"/>
      <c r="D6" s="17"/>
      <c r="E6" s="17"/>
      <c r="F6" s="17"/>
      <c r="G6" s="17">
        <f t="shared" si="0"/>
        <v>0</v>
      </c>
      <c r="H6" s="17">
        <f t="shared" si="1"/>
        <v>0</v>
      </c>
    </row>
    <row r="7" spans="1:9" ht="14.25" customHeight="1" x14ac:dyDescent="0.3">
      <c r="A7" s="46"/>
      <c r="B7" s="17"/>
      <c r="C7" s="17"/>
      <c r="D7" s="17"/>
      <c r="E7" s="17"/>
      <c r="F7" s="17"/>
      <c r="G7" s="17">
        <f t="shared" si="0"/>
        <v>0</v>
      </c>
      <c r="H7" s="17">
        <f t="shared" si="1"/>
        <v>0</v>
      </c>
    </row>
    <row r="8" spans="1:9" ht="14.25" customHeight="1" x14ac:dyDescent="0.3">
      <c r="A8" s="46"/>
      <c r="B8" s="17"/>
      <c r="C8" s="17"/>
      <c r="D8" s="17"/>
      <c r="E8" s="17"/>
      <c r="F8" s="17"/>
      <c r="G8" s="17">
        <f t="shared" si="0"/>
        <v>0</v>
      </c>
      <c r="H8" s="17">
        <f t="shared" si="1"/>
        <v>0</v>
      </c>
    </row>
    <row r="9" spans="1:9" ht="14.25" customHeight="1" x14ac:dyDescent="0.3">
      <c r="A9" s="46"/>
      <c r="B9" s="17"/>
      <c r="C9" s="17"/>
      <c r="D9" s="17"/>
      <c r="E9" s="17"/>
      <c r="F9" s="17"/>
      <c r="G9" s="17">
        <f t="shared" si="0"/>
        <v>0</v>
      </c>
      <c r="H9" s="17">
        <f t="shared" si="1"/>
        <v>0</v>
      </c>
    </row>
    <row r="10" spans="1:9" ht="14.25" customHeight="1" x14ac:dyDescent="0.3">
      <c r="A10" s="46"/>
      <c r="B10" s="17"/>
      <c r="C10" s="17"/>
      <c r="D10" s="17"/>
      <c r="E10" s="17"/>
      <c r="F10" s="17"/>
      <c r="G10" s="17">
        <f t="shared" si="0"/>
        <v>0</v>
      </c>
      <c r="H10" s="17">
        <f t="shared" si="1"/>
        <v>0</v>
      </c>
    </row>
    <row r="11" spans="1:9" ht="14.25" customHeight="1" x14ac:dyDescent="0.3">
      <c r="A11" s="46"/>
      <c r="B11" s="17"/>
      <c r="C11" s="17"/>
      <c r="D11" s="17"/>
      <c r="E11" s="17"/>
      <c r="F11" s="17"/>
      <c r="G11" s="17">
        <f t="shared" si="0"/>
        <v>0</v>
      </c>
      <c r="H11" s="17">
        <f t="shared" si="1"/>
        <v>0</v>
      </c>
    </row>
    <row r="12" spans="1:9" ht="14.25" customHeight="1" x14ac:dyDescent="0.3">
      <c r="A12" s="46"/>
      <c r="B12" s="17"/>
      <c r="C12" s="17"/>
      <c r="D12" s="17"/>
      <c r="E12" s="17"/>
      <c r="F12" s="17"/>
      <c r="G12" s="17">
        <f t="shared" si="0"/>
        <v>0</v>
      </c>
      <c r="H12" s="17">
        <f t="shared" si="1"/>
        <v>0</v>
      </c>
    </row>
    <row r="13" spans="1:9" ht="14.25" customHeight="1" x14ac:dyDescent="0.3">
      <c r="A13" s="46"/>
      <c r="B13" s="17"/>
      <c r="C13" s="17"/>
      <c r="D13" s="17"/>
      <c r="E13" s="17"/>
      <c r="F13" s="17"/>
      <c r="G13" s="17">
        <f t="shared" si="0"/>
        <v>0</v>
      </c>
      <c r="H13" s="17">
        <f t="shared" si="1"/>
        <v>0</v>
      </c>
    </row>
    <row r="14" spans="1:9" ht="14.25" customHeight="1" x14ac:dyDescent="0.3">
      <c r="A14" s="46"/>
      <c r="B14" s="17"/>
      <c r="C14" s="17"/>
      <c r="D14" s="17"/>
      <c r="E14" s="17"/>
      <c r="F14" s="17"/>
      <c r="G14" s="17">
        <f t="shared" si="0"/>
        <v>0</v>
      </c>
      <c r="H14" s="17">
        <f t="shared" si="1"/>
        <v>0</v>
      </c>
    </row>
    <row r="15" spans="1:9" ht="14.25" customHeight="1" x14ac:dyDescent="0.3">
      <c r="A15" s="46"/>
      <c r="B15" s="17"/>
      <c r="C15" s="17"/>
      <c r="D15" s="17"/>
      <c r="E15" s="17"/>
      <c r="F15" s="17"/>
      <c r="G15" s="17">
        <f t="shared" si="0"/>
        <v>0</v>
      </c>
      <c r="H15" s="17">
        <f t="shared" si="1"/>
        <v>0</v>
      </c>
    </row>
    <row r="16" spans="1:9" ht="14.25" customHeight="1" x14ac:dyDescent="0.3">
      <c r="A16" s="46"/>
      <c r="B16" s="17"/>
      <c r="C16" s="17"/>
      <c r="D16" s="17"/>
      <c r="E16" s="17"/>
      <c r="F16" s="17"/>
      <c r="G16" s="17">
        <f t="shared" si="0"/>
        <v>0</v>
      </c>
      <c r="H16" s="17">
        <f t="shared" si="1"/>
        <v>0</v>
      </c>
    </row>
    <row r="17" spans="1:8" ht="14.25" customHeight="1" x14ac:dyDescent="0.3">
      <c r="A17" s="46"/>
      <c r="B17" s="17"/>
      <c r="C17" s="17"/>
      <c r="D17" s="17"/>
      <c r="E17" s="17"/>
      <c r="F17" s="17"/>
      <c r="G17" s="17">
        <f t="shared" si="0"/>
        <v>0</v>
      </c>
      <c r="H17" s="17">
        <f t="shared" si="1"/>
        <v>0</v>
      </c>
    </row>
    <row r="18" spans="1:8" ht="14.25" customHeight="1" x14ac:dyDescent="0.3">
      <c r="A18" s="46"/>
      <c r="B18" s="17"/>
      <c r="C18" s="17"/>
      <c r="D18" s="17"/>
      <c r="E18" s="17"/>
      <c r="F18" s="17"/>
      <c r="G18" s="17">
        <f t="shared" si="0"/>
        <v>0</v>
      </c>
      <c r="H18" s="17">
        <f t="shared" si="1"/>
        <v>0</v>
      </c>
    </row>
    <row r="19" spans="1:8" ht="14.25" customHeight="1" x14ac:dyDescent="0.3">
      <c r="A19" s="46"/>
      <c r="B19" s="17"/>
      <c r="C19" s="17"/>
      <c r="D19" s="17"/>
      <c r="E19" s="17"/>
      <c r="F19" s="17"/>
      <c r="G19" s="17">
        <f t="shared" si="0"/>
        <v>0</v>
      </c>
      <c r="H19" s="17">
        <f t="shared" si="1"/>
        <v>0</v>
      </c>
    </row>
    <row r="20" spans="1:8" ht="14.25" customHeight="1" x14ac:dyDescent="0.3">
      <c r="A20" s="46"/>
      <c r="B20" s="17"/>
      <c r="C20" s="17"/>
      <c r="D20" s="17"/>
      <c r="E20" s="17"/>
      <c r="F20" s="17"/>
      <c r="G20" s="17">
        <f t="shared" si="0"/>
        <v>0</v>
      </c>
      <c r="H20" s="17">
        <f t="shared" si="1"/>
        <v>0</v>
      </c>
    </row>
    <row r="21" spans="1:8" ht="14.25" customHeight="1" x14ac:dyDescent="0.3">
      <c r="A21" s="46"/>
      <c r="B21" s="17"/>
      <c r="C21" s="17"/>
      <c r="D21" s="17"/>
      <c r="E21" s="17"/>
      <c r="F21" s="17"/>
      <c r="G21" s="17">
        <f t="shared" si="0"/>
        <v>0</v>
      </c>
      <c r="H21" s="17">
        <f t="shared" si="1"/>
        <v>0</v>
      </c>
    </row>
    <row r="22" spans="1:8" ht="14.25" customHeight="1" x14ac:dyDescent="0.3">
      <c r="A22" s="46"/>
      <c r="B22" s="17"/>
      <c r="C22" s="17"/>
      <c r="D22" s="17"/>
      <c r="E22" s="17"/>
      <c r="F22" s="17"/>
      <c r="G22" s="17">
        <f t="shared" si="0"/>
        <v>0</v>
      </c>
      <c r="H22" s="17">
        <f t="shared" si="1"/>
        <v>0</v>
      </c>
    </row>
    <row r="23" spans="1:8" ht="14.25" customHeight="1" x14ac:dyDescent="0.3">
      <c r="A23" s="46"/>
      <c r="B23" s="17"/>
      <c r="C23" s="17"/>
      <c r="D23" s="17"/>
      <c r="E23" s="17"/>
      <c r="F23" s="17"/>
      <c r="G23" s="17">
        <f t="shared" si="0"/>
        <v>0</v>
      </c>
      <c r="H23" s="17">
        <f t="shared" si="1"/>
        <v>0</v>
      </c>
    </row>
    <row r="24" spans="1:8" ht="14.25" customHeight="1" x14ac:dyDescent="0.3">
      <c r="A24" s="46"/>
      <c r="B24" s="17"/>
      <c r="C24" s="17"/>
      <c r="D24" s="17"/>
      <c r="E24" s="17"/>
      <c r="F24" s="17"/>
      <c r="G24" s="17">
        <f t="shared" si="0"/>
        <v>0</v>
      </c>
      <c r="H24" s="17">
        <f t="shared" si="1"/>
        <v>0</v>
      </c>
    </row>
    <row r="25" spans="1:8" ht="14.25" customHeight="1" x14ac:dyDescent="0.3">
      <c r="A25" s="46"/>
      <c r="B25" s="17"/>
      <c r="C25" s="17"/>
      <c r="D25" s="17"/>
      <c r="E25" s="17"/>
      <c r="F25" s="17"/>
      <c r="G25" s="17">
        <f t="shared" si="0"/>
        <v>0</v>
      </c>
      <c r="H25" s="17">
        <f t="shared" si="1"/>
        <v>0</v>
      </c>
    </row>
    <row r="26" spans="1:8" ht="14.25" customHeight="1" x14ac:dyDescent="0.3">
      <c r="A26" s="46"/>
      <c r="B26" s="17"/>
      <c r="C26" s="17"/>
      <c r="D26" s="17"/>
      <c r="E26" s="17"/>
      <c r="F26" s="17"/>
      <c r="G26" s="17">
        <f t="shared" si="0"/>
        <v>0</v>
      </c>
      <c r="H26" s="17">
        <f t="shared" si="1"/>
        <v>0</v>
      </c>
    </row>
    <row r="27" spans="1:8" ht="14.25" customHeight="1" x14ac:dyDescent="0.3">
      <c r="A27" s="46"/>
      <c r="B27" s="17"/>
      <c r="C27" s="17"/>
      <c r="D27" s="17"/>
      <c r="E27" s="17"/>
      <c r="F27" s="17"/>
      <c r="G27" s="17">
        <f t="shared" si="0"/>
        <v>0</v>
      </c>
      <c r="H27" s="17">
        <f t="shared" si="1"/>
        <v>0</v>
      </c>
    </row>
    <row r="28" spans="1:8" ht="14.25" customHeight="1" x14ac:dyDescent="0.3">
      <c r="A28" s="46"/>
      <c r="B28" s="17"/>
      <c r="C28" s="17"/>
      <c r="D28" s="17"/>
      <c r="E28" s="17"/>
      <c r="F28" s="17"/>
      <c r="G28" s="17">
        <f t="shared" si="0"/>
        <v>0</v>
      </c>
      <c r="H28" s="17">
        <f t="shared" si="1"/>
        <v>0</v>
      </c>
    </row>
    <row r="29" spans="1:8" ht="14.25" customHeight="1" x14ac:dyDescent="0.3">
      <c r="A29" s="46"/>
      <c r="B29" s="17"/>
      <c r="C29" s="17"/>
      <c r="D29" s="17"/>
      <c r="E29" s="17"/>
      <c r="F29" s="17"/>
      <c r="G29" s="17">
        <f t="shared" si="0"/>
        <v>0</v>
      </c>
      <c r="H29" s="17">
        <f t="shared" si="1"/>
        <v>0</v>
      </c>
    </row>
    <row r="30" spans="1:8" ht="14.25" customHeight="1" x14ac:dyDescent="0.3">
      <c r="A30" s="46"/>
      <c r="B30" s="17"/>
      <c r="C30" s="17"/>
      <c r="D30" s="17"/>
      <c r="E30" s="17"/>
      <c r="F30" s="17"/>
      <c r="G30" s="17">
        <f t="shared" si="0"/>
        <v>0</v>
      </c>
      <c r="H30" s="17">
        <f t="shared" si="1"/>
        <v>0</v>
      </c>
    </row>
    <row r="31" spans="1:8" ht="14.25" customHeight="1" x14ac:dyDescent="0.3">
      <c r="A31" s="46"/>
      <c r="B31" s="17"/>
      <c r="C31" s="17"/>
      <c r="D31" s="17"/>
      <c r="E31" s="17"/>
      <c r="F31" s="17"/>
      <c r="G31" s="17">
        <f t="shared" si="0"/>
        <v>0</v>
      </c>
      <c r="H31" s="17">
        <f t="shared" si="1"/>
        <v>0</v>
      </c>
    </row>
    <row r="32" spans="1:8" ht="14.25" customHeight="1" x14ac:dyDescent="0.3">
      <c r="A32" s="46"/>
      <c r="B32" s="17"/>
      <c r="C32" s="17"/>
      <c r="D32" s="17"/>
      <c r="E32" s="17"/>
      <c r="F32" s="17"/>
      <c r="G32" s="17">
        <f t="shared" si="0"/>
        <v>0</v>
      </c>
      <c r="H32" s="17">
        <f t="shared" si="1"/>
        <v>0</v>
      </c>
    </row>
    <row r="33" spans="1:8" ht="14.25" customHeight="1" x14ac:dyDescent="0.3">
      <c r="A33" s="46"/>
      <c r="B33" s="17"/>
      <c r="C33" s="17"/>
      <c r="D33" s="17"/>
      <c r="E33" s="17"/>
      <c r="F33" s="17"/>
      <c r="G33" s="17">
        <f t="shared" si="0"/>
        <v>0</v>
      </c>
      <c r="H33" s="17">
        <f t="shared" si="1"/>
        <v>0</v>
      </c>
    </row>
    <row r="34" spans="1:8" ht="14.25" customHeight="1" x14ac:dyDescent="0.3">
      <c r="A34" s="46"/>
      <c r="B34" s="17"/>
      <c r="C34" s="17"/>
      <c r="D34" s="17"/>
      <c r="E34" s="17"/>
      <c r="F34" s="17"/>
      <c r="G34" s="17">
        <f t="shared" si="0"/>
        <v>0</v>
      </c>
      <c r="H34" s="17">
        <f t="shared" si="1"/>
        <v>0</v>
      </c>
    </row>
    <row r="35" spans="1:8" ht="14.25" customHeight="1" x14ac:dyDescent="0.3">
      <c r="A35" s="46"/>
      <c r="B35" s="17"/>
      <c r="C35" s="17"/>
      <c r="D35" s="17"/>
      <c r="E35" s="17"/>
      <c r="F35" s="17"/>
      <c r="G35" s="17">
        <f t="shared" si="0"/>
        <v>0</v>
      </c>
      <c r="H35" s="17">
        <f t="shared" si="1"/>
        <v>0</v>
      </c>
    </row>
    <row r="36" spans="1:8" ht="14.25" customHeight="1" x14ac:dyDescent="0.3">
      <c r="A36" s="46"/>
      <c r="B36" s="17"/>
      <c r="C36" s="17"/>
      <c r="D36" s="17"/>
      <c r="E36" s="17"/>
      <c r="F36" s="17"/>
      <c r="G36" s="17">
        <f t="shared" si="0"/>
        <v>0</v>
      </c>
      <c r="H36" s="17">
        <f t="shared" si="1"/>
        <v>0</v>
      </c>
    </row>
    <row r="37" spans="1:8" ht="14.25" customHeight="1" x14ac:dyDescent="0.3">
      <c r="A37" s="46"/>
      <c r="B37" s="17"/>
      <c r="C37" s="17"/>
      <c r="D37" s="17"/>
      <c r="E37" s="17"/>
      <c r="F37" s="17"/>
      <c r="G37" s="17">
        <f t="shared" si="0"/>
        <v>0</v>
      </c>
      <c r="H37" s="17">
        <f t="shared" si="1"/>
        <v>0</v>
      </c>
    </row>
    <row r="38" spans="1:8" ht="14.25" customHeight="1" x14ac:dyDescent="0.3">
      <c r="A38" s="46"/>
      <c r="B38" s="17"/>
      <c r="C38" s="17"/>
      <c r="D38" s="17"/>
      <c r="E38" s="17"/>
      <c r="F38" s="17"/>
      <c r="G38" s="17">
        <f t="shared" si="0"/>
        <v>0</v>
      </c>
      <c r="H38" s="17">
        <f t="shared" si="1"/>
        <v>0</v>
      </c>
    </row>
    <row r="39" spans="1:8" ht="14.25" customHeight="1" x14ac:dyDescent="0.3">
      <c r="A39" s="46"/>
      <c r="B39" s="17"/>
      <c r="C39" s="17"/>
      <c r="D39" s="17"/>
      <c r="E39" s="17"/>
      <c r="F39" s="17"/>
      <c r="G39" s="17">
        <f t="shared" si="0"/>
        <v>0</v>
      </c>
      <c r="H39" s="17">
        <f t="shared" si="1"/>
        <v>0</v>
      </c>
    </row>
    <row r="40" spans="1:8" ht="14.25" customHeight="1" x14ac:dyDescent="0.3">
      <c r="A40" s="46"/>
      <c r="B40" s="17"/>
      <c r="C40" s="17"/>
      <c r="D40" s="17"/>
      <c r="E40" s="17"/>
      <c r="F40" s="17"/>
      <c r="G40" s="17">
        <f t="shared" si="0"/>
        <v>0</v>
      </c>
      <c r="H40" s="17">
        <f t="shared" si="1"/>
        <v>0</v>
      </c>
    </row>
    <row r="41" spans="1:8" ht="14.25" customHeight="1" x14ac:dyDescent="0.3">
      <c r="A41" s="46"/>
      <c r="B41" s="17"/>
      <c r="C41" s="17"/>
      <c r="D41" s="17"/>
      <c r="E41" s="17"/>
      <c r="F41" s="17"/>
      <c r="G41" s="17">
        <f t="shared" si="0"/>
        <v>0</v>
      </c>
      <c r="H41" s="17">
        <f t="shared" si="1"/>
        <v>0</v>
      </c>
    </row>
    <row r="42" spans="1:8" ht="14.25" customHeight="1" x14ac:dyDescent="0.3">
      <c r="A42" s="46"/>
      <c r="B42" s="17"/>
      <c r="C42" s="17"/>
      <c r="D42" s="17"/>
      <c r="E42" s="17"/>
      <c r="F42" s="17"/>
      <c r="G42" s="17">
        <f t="shared" si="0"/>
        <v>0</v>
      </c>
      <c r="H42" s="17">
        <f t="shared" si="1"/>
        <v>0</v>
      </c>
    </row>
    <row r="43" spans="1:8" ht="14.25" customHeight="1" x14ac:dyDescent="0.3">
      <c r="A43" s="46"/>
      <c r="B43" s="17"/>
      <c r="C43" s="17"/>
      <c r="D43" s="17"/>
      <c r="E43" s="17"/>
      <c r="F43" s="17"/>
      <c r="G43" s="17">
        <f t="shared" si="0"/>
        <v>0</v>
      </c>
      <c r="H43" s="17">
        <f t="shared" si="1"/>
        <v>0</v>
      </c>
    </row>
    <row r="44" spans="1:8" ht="14.25" customHeight="1" x14ac:dyDescent="0.3">
      <c r="A44" s="46"/>
      <c r="B44" s="17"/>
      <c r="C44" s="17"/>
      <c r="D44" s="17"/>
      <c r="E44" s="17"/>
      <c r="F44" s="17"/>
      <c r="G44" s="17">
        <f t="shared" si="0"/>
        <v>0</v>
      </c>
      <c r="H44" s="17">
        <f t="shared" si="1"/>
        <v>0</v>
      </c>
    </row>
    <row r="45" spans="1:8" ht="14.25" customHeight="1" x14ac:dyDescent="0.3">
      <c r="A45" s="46"/>
      <c r="B45" s="17"/>
      <c r="C45" s="17"/>
      <c r="D45" s="17"/>
      <c r="E45" s="17"/>
      <c r="F45" s="17"/>
      <c r="G45" s="17">
        <f t="shared" si="0"/>
        <v>0</v>
      </c>
      <c r="H45" s="17">
        <f t="shared" si="1"/>
        <v>0</v>
      </c>
    </row>
    <row r="46" spans="1:8" ht="14.25" customHeight="1" x14ac:dyDescent="0.3">
      <c r="A46" s="46"/>
      <c r="B46" s="17"/>
      <c r="C46" s="17"/>
      <c r="D46" s="17"/>
      <c r="E46" s="17"/>
      <c r="F46" s="17"/>
      <c r="G46" s="17">
        <f t="shared" si="0"/>
        <v>0</v>
      </c>
      <c r="H46" s="17">
        <f t="shared" si="1"/>
        <v>0</v>
      </c>
    </row>
    <row r="47" spans="1:8" ht="14.25" customHeight="1" x14ac:dyDescent="0.3">
      <c r="A47" s="46"/>
      <c r="B47" s="17"/>
      <c r="C47" s="17"/>
      <c r="D47" s="17"/>
      <c r="E47" s="17"/>
      <c r="F47" s="17"/>
      <c r="G47" s="17">
        <f t="shared" si="0"/>
        <v>0</v>
      </c>
      <c r="H47" s="17">
        <f t="shared" si="1"/>
        <v>0</v>
      </c>
    </row>
    <row r="48" spans="1:8" ht="14.25" customHeight="1" x14ac:dyDescent="0.3">
      <c r="A48" s="46"/>
      <c r="B48" s="17"/>
      <c r="C48" s="17"/>
      <c r="D48" s="17"/>
      <c r="E48" s="17"/>
      <c r="F48" s="17"/>
      <c r="G48" s="17">
        <f t="shared" si="0"/>
        <v>0</v>
      </c>
      <c r="H48" s="17">
        <f t="shared" si="1"/>
        <v>0</v>
      </c>
    </row>
    <row r="49" spans="1:8" ht="14.25" customHeight="1" x14ac:dyDescent="0.3">
      <c r="A49" s="46"/>
      <c r="B49" s="17"/>
      <c r="C49" s="17"/>
      <c r="D49" s="17"/>
      <c r="E49" s="17"/>
      <c r="F49" s="17"/>
      <c r="G49" s="17">
        <f t="shared" si="0"/>
        <v>0</v>
      </c>
      <c r="H49" s="17">
        <f t="shared" si="1"/>
        <v>0</v>
      </c>
    </row>
    <row r="50" spans="1:8" ht="14.25" customHeight="1" x14ac:dyDescent="0.3">
      <c r="A50" s="46"/>
      <c r="B50" s="17"/>
      <c r="C50" s="17"/>
      <c r="D50" s="17"/>
      <c r="E50" s="17"/>
      <c r="F50" s="17"/>
      <c r="G50" s="17">
        <f t="shared" si="0"/>
        <v>0</v>
      </c>
      <c r="H50" s="17">
        <f t="shared" si="1"/>
        <v>0</v>
      </c>
    </row>
    <row r="51" spans="1:8" ht="14.25" customHeight="1" x14ac:dyDescent="0.3">
      <c r="A51" s="46"/>
      <c r="B51" s="17"/>
      <c r="C51" s="17"/>
      <c r="D51" s="17"/>
      <c r="E51" s="17"/>
      <c r="F51" s="17"/>
      <c r="G51" s="17">
        <f t="shared" si="0"/>
        <v>0</v>
      </c>
      <c r="H51" s="17">
        <f t="shared" si="1"/>
        <v>0</v>
      </c>
    </row>
    <row r="52" spans="1:8" ht="14.25" customHeight="1" x14ac:dyDescent="0.3">
      <c r="A52" s="46"/>
      <c r="B52" s="17"/>
      <c r="C52" s="17"/>
      <c r="D52" s="17"/>
      <c r="E52" s="17"/>
      <c r="F52" s="17"/>
      <c r="G52" s="17">
        <f t="shared" si="0"/>
        <v>0</v>
      </c>
      <c r="H52" s="17">
        <f t="shared" si="1"/>
        <v>0</v>
      </c>
    </row>
    <row r="53" spans="1:8" ht="14.25" customHeight="1" x14ac:dyDescent="0.3">
      <c r="A53" s="46"/>
      <c r="B53" s="17"/>
      <c r="C53" s="17"/>
      <c r="D53" s="17"/>
      <c r="E53" s="17"/>
      <c r="F53" s="17"/>
      <c r="G53" s="17">
        <f t="shared" si="0"/>
        <v>0</v>
      </c>
      <c r="H53" s="17">
        <f t="shared" si="1"/>
        <v>0</v>
      </c>
    </row>
    <row r="54" spans="1:8" ht="14.25" customHeight="1" x14ac:dyDescent="0.3">
      <c r="A54" s="46"/>
      <c r="B54" s="17"/>
      <c r="C54" s="17"/>
      <c r="D54" s="17"/>
      <c r="E54" s="17"/>
      <c r="F54" s="17"/>
      <c r="G54" s="17">
        <f t="shared" si="0"/>
        <v>0</v>
      </c>
      <c r="H54" s="17">
        <f t="shared" si="1"/>
        <v>0</v>
      </c>
    </row>
    <row r="55" spans="1:8" ht="14.25" customHeight="1" x14ac:dyDescent="0.3">
      <c r="A55" s="46"/>
      <c r="B55" s="17"/>
      <c r="C55" s="17"/>
      <c r="D55" s="17"/>
      <c r="E55" s="17"/>
      <c r="F55" s="17"/>
      <c r="G55" s="17">
        <f t="shared" si="0"/>
        <v>0</v>
      </c>
      <c r="H55" s="17">
        <f t="shared" si="1"/>
        <v>0</v>
      </c>
    </row>
    <row r="56" spans="1:8" ht="14.25" customHeight="1" x14ac:dyDescent="0.3">
      <c r="A56" s="46"/>
      <c r="B56" s="17"/>
      <c r="C56" s="17"/>
      <c r="D56" s="17"/>
      <c r="E56" s="17"/>
      <c r="F56" s="17"/>
      <c r="G56" s="17">
        <f t="shared" si="0"/>
        <v>0</v>
      </c>
      <c r="H56" s="17">
        <f t="shared" si="1"/>
        <v>0</v>
      </c>
    </row>
    <row r="57" spans="1:8" ht="14.25" customHeight="1" x14ac:dyDescent="0.3">
      <c r="A57" s="46"/>
      <c r="B57" s="17"/>
      <c r="C57" s="17"/>
      <c r="D57" s="17"/>
      <c r="E57" s="17"/>
      <c r="F57" s="17"/>
      <c r="G57" s="17">
        <f t="shared" si="0"/>
        <v>0</v>
      </c>
      <c r="H57" s="17">
        <f t="shared" si="1"/>
        <v>0</v>
      </c>
    </row>
    <row r="58" spans="1:8" ht="14.25" customHeight="1" x14ac:dyDescent="0.3">
      <c r="A58" s="46"/>
      <c r="B58" s="17"/>
      <c r="C58" s="17"/>
      <c r="D58" s="17"/>
      <c r="E58" s="17"/>
      <c r="F58" s="17"/>
      <c r="G58" s="17">
        <f t="shared" si="0"/>
        <v>0</v>
      </c>
      <c r="H58" s="17">
        <f t="shared" si="1"/>
        <v>0</v>
      </c>
    </row>
    <row r="59" spans="1:8" ht="14.25" customHeight="1" x14ac:dyDescent="0.3">
      <c r="A59" s="46"/>
      <c r="B59" s="17"/>
      <c r="C59" s="17"/>
      <c r="D59" s="17"/>
      <c r="E59" s="17"/>
      <c r="F59" s="17"/>
      <c r="G59" s="17">
        <f t="shared" si="0"/>
        <v>0</v>
      </c>
      <c r="H59" s="17">
        <f t="shared" si="1"/>
        <v>0</v>
      </c>
    </row>
    <row r="60" spans="1:8" ht="14.25" customHeight="1" x14ac:dyDescent="0.3">
      <c r="A60" s="46"/>
      <c r="B60" s="17"/>
      <c r="C60" s="17"/>
      <c r="D60" s="17"/>
      <c r="E60" s="17"/>
      <c r="F60" s="17"/>
      <c r="G60" s="17">
        <f t="shared" si="0"/>
        <v>0</v>
      </c>
      <c r="H60" s="17">
        <f t="shared" si="1"/>
        <v>0</v>
      </c>
    </row>
    <row r="61" spans="1:8" ht="14.25" customHeight="1" x14ac:dyDescent="0.3">
      <c r="A61" s="46"/>
      <c r="B61" s="17"/>
      <c r="C61" s="17"/>
      <c r="D61" s="17"/>
      <c r="E61" s="17"/>
      <c r="F61" s="17"/>
      <c r="G61" s="17">
        <f t="shared" si="0"/>
        <v>0</v>
      </c>
      <c r="H61" s="17">
        <f t="shared" si="1"/>
        <v>0</v>
      </c>
    </row>
    <row r="62" spans="1:8" ht="14.25" customHeight="1" x14ac:dyDescent="0.3"/>
    <row r="63" spans="1:8" ht="14.25" customHeight="1" x14ac:dyDescent="0.3"/>
    <row r="64" spans="1:8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CAF50"/>
  </sheetPr>
  <dimension ref="A1:R101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16.5546875" customWidth="1"/>
    <col min="2" max="2" width="12.5546875" customWidth="1"/>
    <col min="3" max="3" width="33.5546875" customWidth="1"/>
    <col min="4" max="4" width="10.109375" customWidth="1"/>
    <col min="5" max="5" width="11.44140625" customWidth="1"/>
    <col min="6" max="6" width="11.6640625" customWidth="1"/>
    <col min="7" max="7" width="12.6640625" customWidth="1"/>
    <col min="8" max="8" width="11.6640625" customWidth="1"/>
    <col min="9" max="9" width="43.109375" customWidth="1"/>
    <col min="10" max="11" width="8.6640625" customWidth="1"/>
    <col min="12" max="12" width="10" customWidth="1"/>
    <col min="13" max="13" width="10.6640625" customWidth="1"/>
    <col min="14" max="16" width="8.6640625" customWidth="1"/>
    <col min="17" max="17" width="62.109375" customWidth="1"/>
    <col min="18" max="26" width="8.6640625" customWidth="1"/>
  </cols>
  <sheetData>
    <row r="1" spans="1:18" ht="14.25" customHeight="1" x14ac:dyDescent="0.3">
      <c r="A1" s="65" t="s">
        <v>496</v>
      </c>
      <c r="B1" s="65" t="s">
        <v>497</v>
      </c>
      <c r="C1" s="65" t="s">
        <v>498</v>
      </c>
      <c r="D1" s="65" t="s">
        <v>499</v>
      </c>
      <c r="E1" s="65" t="s">
        <v>500</v>
      </c>
      <c r="F1" s="65" t="s">
        <v>452</v>
      </c>
      <c r="G1" s="65" t="s">
        <v>501</v>
      </c>
      <c r="H1" s="65" t="s">
        <v>502</v>
      </c>
      <c r="I1" s="65" t="s">
        <v>196</v>
      </c>
      <c r="L1" s="2" t="s">
        <v>503</v>
      </c>
      <c r="M1" s="66">
        <f t="shared" ref="M1:M3" si="0">SUMIF($G$2:$G$18,L1,$F$2:$F$18)</f>
        <v>0</v>
      </c>
      <c r="Q1" s="67" t="s">
        <v>504</v>
      </c>
      <c r="R1" s="68"/>
    </row>
    <row r="2" spans="1:18" ht="14.25" customHeight="1" x14ac:dyDescent="0.3">
      <c r="A2" s="69">
        <v>45692</v>
      </c>
      <c r="B2" s="70" t="s">
        <v>505</v>
      </c>
      <c r="C2" s="70" t="s">
        <v>506</v>
      </c>
      <c r="D2" s="70">
        <v>2</v>
      </c>
      <c r="E2" s="71">
        <v>120000</v>
      </c>
      <c r="F2" s="72">
        <f t="shared" ref="F2:F22" si="1">D2*E2</f>
        <v>240000</v>
      </c>
      <c r="G2" s="70" t="s">
        <v>507</v>
      </c>
      <c r="H2" s="73">
        <v>46057</v>
      </c>
      <c r="I2" s="70" t="s">
        <v>508</v>
      </c>
      <c r="L2" s="2" t="s">
        <v>507</v>
      </c>
      <c r="M2" s="66">
        <f t="shared" si="0"/>
        <v>13206000</v>
      </c>
      <c r="Q2" s="2" t="s">
        <v>509</v>
      </c>
      <c r="R2" s="74" t="s">
        <v>510</v>
      </c>
    </row>
    <row r="3" spans="1:18" ht="14.25" customHeight="1" x14ac:dyDescent="0.3">
      <c r="A3" s="69">
        <v>45692</v>
      </c>
      <c r="B3" s="70" t="s">
        <v>505</v>
      </c>
      <c r="C3" s="70" t="s">
        <v>511</v>
      </c>
      <c r="D3" s="70">
        <v>4</v>
      </c>
      <c r="E3" s="71">
        <v>90000</v>
      </c>
      <c r="F3" s="72">
        <f t="shared" si="1"/>
        <v>360000</v>
      </c>
      <c r="G3" s="70" t="s">
        <v>507</v>
      </c>
      <c r="H3" s="73"/>
      <c r="I3" s="70" t="s">
        <v>512</v>
      </c>
      <c r="L3" s="67" t="s">
        <v>434</v>
      </c>
      <c r="M3" s="66">
        <f t="shared" si="0"/>
        <v>0</v>
      </c>
      <c r="Q3" s="6" t="s">
        <v>513</v>
      </c>
      <c r="R3" s="75">
        <v>32000</v>
      </c>
    </row>
    <row r="4" spans="1:18" ht="14.25" customHeight="1" x14ac:dyDescent="0.3">
      <c r="A4" s="69">
        <v>46062</v>
      </c>
      <c r="B4" s="70" t="s">
        <v>505</v>
      </c>
      <c r="C4" s="70" t="s">
        <v>514</v>
      </c>
      <c r="D4" s="70">
        <v>10</v>
      </c>
      <c r="E4" s="71">
        <v>120000</v>
      </c>
      <c r="F4" s="72">
        <f t="shared" si="1"/>
        <v>1200000</v>
      </c>
      <c r="G4" s="70" t="s">
        <v>507</v>
      </c>
      <c r="H4" s="73"/>
      <c r="I4" s="70" t="s">
        <v>515</v>
      </c>
      <c r="L4" s="67"/>
      <c r="M4" s="66"/>
      <c r="Q4" s="6" t="s">
        <v>516</v>
      </c>
      <c r="R4" s="75">
        <v>35000</v>
      </c>
    </row>
    <row r="5" spans="1:18" ht="14.25" customHeight="1" x14ac:dyDescent="0.3">
      <c r="A5" s="69">
        <v>46062</v>
      </c>
      <c r="B5" s="70" t="s">
        <v>505</v>
      </c>
      <c r="C5" s="70" t="s">
        <v>517</v>
      </c>
      <c r="D5" s="70">
        <v>30</v>
      </c>
      <c r="E5" s="71">
        <v>37000</v>
      </c>
      <c r="F5" s="72">
        <f t="shared" si="1"/>
        <v>1110000</v>
      </c>
      <c r="G5" s="70" t="s">
        <v>507</v>
      </c>
      <c r="H5" s="73"/>
      <c r="I5" s="70" t="s">
        <v>518</v>
      </c>
      <c r="L5" s="67"/>
      <c r="M5" s="66"/>
      <c r="Q5" s="6" t="s">
        <v>519</v>
      </c>
      <c r="R5" s="75">
        <v>50000</v>
      </c>
    </row>
    <row r="6" spans="1:18" ht="14.25" customHeight="1" x14ac:dyDescent="0.3">
      <c r="A6" s="69">
        <v>46056</v>
      </c>
      <c r="B6" s="70" t="s">
        <v>520</v>
      </c>
      <c r="C6" s="70" t="s">
        <v>521</v>
      </c>
      <c r="D6" s="70">
        <v>8</v>
      </c>
      <c r="E6" s="71">
        <v>60000</v>
      </c>
      <c r="F6" s="72">
        <f t="shared" si="1"/>
        <v>480000</v>
      </c>
      <c r="G6" s="70" t="s">
        <v>507</v>
      </c>
      <c r="H6" s="73"/>
      <c r="I6" s="70"/>
      <c r="L6" s="67"/>
      <c r="M6" s="66"/>
      <c r="Q6" s="6" t="s">
        <v>522</v>
      </c>
      <c r="R6" s="75">
        <v>55000</v>
      </c>
    </row>
    <row r="7" spans="1:18" ht="14.25" customHeight="1" x14ac:dyDescent="0.3">
      <c r="A7" s="69">
        <v>46056</v>
      </c>
      <c r="B7" s="70" t="s">
        <v>520</v>
      </c>
      <c r="C7" s="70" t="s">
        <v>523</v>
      </c>
      <c r="D7" s="70">
        <v>22</v>
      </c>
      <c r="E7" s="71">
        <v>54000</v>
      </c>
      <c r="F7" s="72">
        <f t="shared" si="1"/>
        <v>1188000</v>
      </c>
      <c r="G7" s="70" t="s">
        <v>507</v>
      </c>
      <c r="H7" s="73"/>
      <c r="I7" s="70"/>
      <c r="L7" s="67"/>
      <c r="M7" s="66"/>
      <c r="Q7" s="6" t="s">
        <v>401</v>
      </c>
      <c r="R7" s="75">
        <v>45000</v>
      </c>
    </row>
    <row r="8" spans="1:18" ht="14.25" customHeight="1" x14ac:dyDescent="0.3">
      <c r="A8" s="69">
        <v>46067</v>
      </c>
      <c r="B8" s="70" t="s">
        <v>509</v>
      </c>
      <c r="C8" s="70" t="s">
        <v>353</v>
      </c>
      <c r="D8" s="70">
        <v>36</v>
      </c>
      <c r="E8" s="71">
        <v>40000</v>
      </c>
      <c r="F8" s="72">
        <f t="shared" si="1"/>
        <v>1440000</v>
      </c>
      <c r="G8" s="70" t="s">
        <v>507</v>
      </c>
      <c r="H8" s="73"/>
      <c r="I8" s="70" t="s">
        <v>524</v>
      </c>
      <c r="L8" s="67"/>
      <c r="M8" s="66"/>
      <c r="Q8" s="6" t="s">
        <v>334</v>
      </c>
      <c r="R8" s="75">
        <v>55000</v>
      </c>
    </row>
    <row r="9" spans="1:18" ht="14.25" customHeight="1" x14ac:dyDescent="0.3">
      <c r="A9" s="69">
        <v>46067</v>
      </c>
      <c r="B9" s="70" t="s">
        <v>509</v>
      </c>
      <c r="C9" s="70" t="s">
        <v>525</v>
      </c>
      <c r="D9" s="70">
        <v>12</v>
      </c>
      <c r="E9" s="72">
        <v>45000</v>
      </c>
      <c r="F9" s="72">
        <f t="shared" si="1"/>
        <v>540000</v>
      </c>
      <c r="G9" s="70" t="s">
        <v>507</v>
      </c>
      <c r="H9" s="73"/>
      <c r="I9" s="70" t="s">
        <v>526</v>
      </c>
      <c r="L9" s="67"/>
      <c r="M9" s="66"/>
      <c r="Q9" s="6" t="s">
        <v>527</v>
      </c>
      <c r="R9" s="75">
        <v>55000</v>
      </c>
    </row>
    <row r="10" spans="1:18" ht="14.25" customHeight="1" x14ac:dyDescent="0.3">
      <c r="A10" s="69">
        <v>46067</v>
      </c>
      <c r="B10" s="70" t="s">
        <v>509</v>
      </c>
      <c r="C10" s="70" t="s">
        <v>384</v>
      </c>
      <c r="D10" s="70">
        <v>12</v>
      </c>
      <c r="E10" s="72">
        <v>55000</v>
      </c>
      <c r="F10" s="72">
        <f t="shared" si="1"/>
        <v>660000</v>
      </c>
      <c r="G10" s="70" t="s">
        <v>507</v>
      </c>
      <c r="H10" s="73"/>
      <c r="I10" s="70" t="s">
        <v>528</v>
      </c>
      <c r="L10" s="67"/>
      <c r="M10" s="66"/>
      <c r="Q10" s="6" t="s">
        <v>529</v>
      </c>
      <c r="R10" s="75">
        <v>75000</v>
      </c>
    </row>
    <row r="11" spans="1:18" ht="14.25" customHeight="1" x14ac:dyDescent="0.3">
      <c r="A11" s="69">
        <v>46067</v>
      </c>
      <c r="B11" s="70" t="s">
        <v>509</v>
      </c>
      <c r="C11" s="70" t="s">
        <v>334</v>
      </c>
      <c r="D11" s="70">
        <v>24</v>
      </c>
      <c r="E11" s="72">
        <v>55000</v>
      </c>
      <c r="F11" s="72">
        <f t="shared" si="1"/>
        <v>1320000</v>
      </c>
      <c r="G11" s="70" t="s">
        <v>507</v>
      </c>
      <c r="H11" s="73"/>
      <c r="I11" s="70" t="s">
        <v>530</v>
      </c>
      <c r="L11" s="67"/>
      <c r="M11" s="66"/>
      <c r="Q11" s="6" t="s">
        <v>531</v>
      </c>
      <c r="R11" s="75">
        <v>40000</v>
      </c>
    </row>
    <row r="12" spans="1:18" ht="14.25" customHeight="1" x14ac:dyDescent="0.3">
      <c r="A12" s="69">
        <v>46067</v>
      </c>
      <c r="B12" s="70" t="s">
        <v>509</v>
      </c>
      <c r="C12" s="70" t="s">
        <v>532</v>
      </c>
      <c r="D12" s="70">
        <v>24</v>
      </c>
      <c r="E12" s="72">
        <v>55000</v>
      </c>
      <c r="F12" s="72">
        <f t="shared" si="1"/>
        <v>1320000</v>
      </c>
      <c r="G12" s="70" t="s">
        <v>507</v>
      </c>
      <c r="H12" s="73"/>
      <c r="I12" s="70" t="s">
        <v>533</v>
      </c>
      <c r="L12" s="67"/>
      <c r="M12" s="66"/>
      <c r="Q12" s="6" t="s">
        <v>534</v>
      </c>
      <c r="R12" s="75">
        <v>32000</v>
      </c>
    </row>
    <row r="13" spans="1:18" ht="14.25" customHeight="1" x14ac:dyDescent="0.3">
      <c r="A13" s="73">
        <v>46078</v>
      </c>
      <c r="B13" s="70" t="s">
        <v>505</v>
      </c>
      <c r="C13" s="70" t="s">
        <v>535</v>
      </c>
      <c r="D13" s="70">
        <v>60</v>
      </c>
      <c r="E13" s="72">
        <v>37000</v>
      </c>
      <c r="F13" s="72">
        <f t="shared" si="1"/>
        <v>2220000</v>
      </c>
      <c r="G13" s="70" t="s">
        <v>507</v>
      </c>
      <c r="H13" s="73"/>
      <c r="I13" s="70" t="s">
        <v>536</v>
      </c>
      <c r="L13" s="67"/>
      <c r="M13" s="66"/>
      <c r="Q13" s="6" t="s">
        <v>537</v>
      </c>
      <c r="R13" s="75">
        <v>50000</v>
      </c>
    </row>
    <row r="14" spans="1:18" ht="14.25" customHeight="1" x14ac:dyDescent="0.3">
      <c r="A14" s="73">
        <v>46086</v>
      </c>
      <c r="B14" s="70" t="s">
        <v>505</v>
      </c>
      <c r="C14" s="70" t="s">
        <v>538</v>
      </c>
      <c r="D14" s="70">
        <v>5</v>
      </c>
      <c r="E14" s="72">
        <v>90000</v>
      </c>
      <c r="F14" s="72">
        <f t="shared" si="1"/>
        <v>450000</v>
      </c>
      <c r="G14" s="70" t="s">
        <v>507</v>
      </c>
      <c r="H14" s="73"/>
      <c r="I14" s="70" t="s">
        <v>539</v>
      </c>
      <c r="L14" s="67"/>
      <c r="M14" s="66"/>
      <c r="R14" s="66"/>
    </row>
    <row r="15" spans="1:18" ht="14.25" customHeight="1" x14ac:dyDescent="0.3">
      <c r="A15" s="73">
        <v>46086</v>
      </c>
      <c r="B15" s="70" t="s">
        <v>505</v>
      </c>
      <c r="C15" s="70" t="s">
        <v>540</v>
      </c>
      <c r="D15" s="70">
        <v>2</v>
      </c>
      <c r="E15" s="72">
        <v>30000</v>
      </c>
      <c r="F15" s="72">
        <f t="shared" si="1"/>
        <v>60000</v>
      </c>
      <c r="G15" s="70" t="s">
        <v>507</v>
      </c>
      <c r="H15" s="73"/>
      <c r="I15" s="70" t="s">
        <v>541</v>
      </c>
      <c r="L15" s="67"/>
      <c r="M15" s="66"/>
      <c r="Q15" s="67"/>
      <c r="R15" s="66"/>
    </row>
    <row r="16" spans="1:18" ht="14.25" customHeight="1" x14ac:dyDescent="0.3">
      <c r="A16" s="73">
        <v>46102</v>
      </c>
      <c r="B16" s="70" t="s">
        <v>505</v>
      </c>
      <c r="C16" s="70" t="s">
        <v>535</v>
      </c>
      <c r="D16" s="70">
        <v>14</v>
      </c>
      <c r="E16" s="72">
        <v>37000</v>
      </c>
      <c r="F16" s="72">
        <f t="shared" si="1"/>
        <v>518000</v>
      </c>
      <c r="G16" s="70" t="s">
        <v>507</v>
      </c>
      <c r="H16" s="73"/>
      <c r="I16" s="70" t="s">
        <v>542</v>
      </c>
      <c r="L16" s="67"/>
      <c r="M16" s="66"/>
      <c r="Q16" s="67"/>
      <c r="R16" s="66"/>
    </row>
    <row r="17" spans="1:18" ht="14.25" customHeight="1" x14ac:dyDescent="0.3">
      <c r="A17" s="73">
        <v>46112</v>
      </c>
      <c r="B17" s="70" t="s">
        <v>509</v>
      </c>
      <c r="C17" s="70" t="s">
        <v>384</v>
      </c>
      <c r="D17" s="70">
        <v>1</v>
      </c>
      <c r="E17" s="72">
        <f>E10</f>
        <v>55000</v>
      </c>
      <c r="F17" s="72">
        <f t="shared" si="1"/>
        <v>55000</v>
      </c>
      <c r="G17" s="70" t="s">
        <v>507</v>
      </c>
      <c r="H17" s="73"/>
      <c r="I17" s="70" t="s">
        <v>543</v>
      </c>
      <c r="L17" s="67"/>
      <c r="M17" s="66"/>
      <c r="Q17" s="67"/>
      <c r="R17" s="66"/>
    </row>
    <row r="18" spans="1:18" ht="14.25" customHeight="1" x14ac:dyDescent="0.3">
      <c r="A18" s="73">
        <v>46112</v>
      </c>
      <c r="B18" s="70" t="s">
        <v>509</v>
      </c>
      <c r="C18" s="70" t="s">
        <v>401</v>
      </c>
      <c r="D18" s="70">
        <v>1</v>
      </c>
      <c r="E18" s="72">
        <v>45000</v>
      </c>
      <c r="F18" s="72">
        <f t="shared" si="1"/>
        <v>45000</v>
      </c>
      <c r="G18" s="70" t="s">
        <v>507</v>
      </c>
      <c r="H18" s="73"/>
      <c r="I18" s="70" t="s">
        <v>544</v>
      </c>
      <c r="L18" s="67"/>
      <c r="M18" s="66"/>
      <c r="Q18" s="67" t="s">
        <v>545</v>
      </c>
      <c r="R18" s="66"/>
    </row>
    <row r="19" spans="1:18" ht="14.25" customHeight="1" x14ac:dyDescent="0.3">
      <c r="A19" s="73">
        <v>46123</v>
      </c>
      <c r="B19" s="70" t="s">
        <v>505</v>
      </c>
      <c r="C19" s="70" t="s">
        <v>546</v>
      </c>
      <c r="D19" s="70">
        <v>10</v>
      </c>
      <c r="E19" s="72">
        <v>36000</v>
      </c>
      <c r="F19" s="72">
        <f t="shared" si="1"/>
        <v>360000</v>
      </c>
      <c r="G19" s="70" t="s">
        <v>507</v>
      </c>
      <c r="H19" s="73"/>
      <c r="I19" s="70" t="s">
        <v>547</v>
      </c>
      <c r="L19" s="67"/>
      <c r="M19" s="66"/>
      <c r="Q19" s="6"/>
      <c r="R19" s="75"/>
    </row>
    <row r="20" spans="1:18" ht="14.25" customHeight="1" x14ac:dyDescent="0.3">
      <c r="A20" s="73">
        <v>46135</v>
      </c>
      <c r="B20" s="70" t="s">
        <v>505</v>
      </c>
      <c r="C20" s="70" t="s">
        <v>535</v>
      </c>
      <c r="D20" s="70">
        <v>3</v>
      </c>
      <c r="E20" s="72">
        <v>37000</v>
      </c>
      <c r="F20" s="72">
        <f t="shared" si="1"/>
        <v>111000</v>
      </c>
      <c r="G20" s="70" t="s">
        <v>507</v>
      </c>
      <c r="H20" s="73"/>
      <c r="I20" s="70" t="s">
        <v>548</v>
      </c>
      <c r="L20" s="67"/>
      <c r="M20" s="66"/>
      <c r="Q20" s="6"/>
      <c r="R20" s="75"/>
    </row>
    <row r="21" spans="1:18" ht="14.25" customHeight="1" x14ac:dyDescent="0.3">
      <c r="A21" s="73"/>
      <c r="B21" s="70"/>
      <c r="C21" s="70"/>
      <c r="D21" s="70"/>
      <c r="E21" s="72"/>
      <c r="F21" s="72">
        <f t="shared" si="1"/>
        <v>0</v>
      </c>
      <c r="G21" s="70"/>
      <c r="H21" s="73"/>
      <c r="I21" s="70"/>
      <c r="L21" s="67"/>
      <c r="M21" s="66"/>
      <c r="Q21" s="6"/>
      <c r="R21" s="75"/>
    </row>
    <row r="22" spans="1:18" ht="14.25" customHeight="1" x14ac:dyDescent="0.3">
      <c r="A22" s="73"/>
      <c r="B22" s="70"/>
      <c r="C22" s="70"/>
      <c r="D22" s="70"/>
      <c r="E22" s="72"/>
      <c r="F22" s="72">
        <f t="shared" si="1"/>
        <v>0</v>
      </c>
      <c r="G22" s="70"/>
      <c r="H22" s="73"/>
      <c r="I22" s="70"/>
      <c r="L22" s="67"/>
      <c r="M22" s="66"/>
      <c r="Q22" s="6"/>
      <c r="R22" s="75"/>
    </row>
    <row r="23" spans="1:18" ht="14.25" customHeight="1" x14ac:dyDescent="0.3">
      <c r="A23" s="76" t="s">
        <v>549</v>
      </c>
      <c r="B23" s="70"/>
      <c r="C23" s="70"/>
      <c r="D23" s="70">
        <f>SUM(D2:D22)</f>
        <v>280</v>
      </c>
      <c r="E23" s="72"/>
      <c r="F23" s="72">
        <f>SUM(F2:F18)</f>
        <v>13206000</v>
      </c>
      <c r="G23" s="70"/>
      <c r="H23" s="73"/>
      <c r="I23" s="70"/>
      <c r="L23" s="67"/>
      <c r="M23" s="66"/>
      <c r="Q23" s="6" t="s">
        <v>550</v>
      </c>
      <c r="R23" s="75">
        <v>600</v>
      </c>
    </row>
    <row r="24" spans="1:18" ht="14.25" customHeight="1" x14ac:dyDescent="0.3">
      <c r="L24" s="67"/>
      <c r="M24" s="66"/>
      <c r="Q24" s="6" t="s">
        <v>551</v>
      </c>
      <c r="R24" s="75">
        <v>150</v>
      </c>
    </row>
    <row r="25" spans="1:18" ht="14.25" customHeight="1" x14ac:dyDescent="0.3">
      <c r="L25" s="67"/>
      <c r="M25" s="66"/>
      <c r="Q25" s="6"/>
      <c r="R25" s="51"/>
    </row>
    <row r="26" spans="1:18" ht="14.25" customHeight="1" x14ac:dyDescent="0.3">
      <c r="L26" s="67"/>
      <c r="M26" s="66"/>
      <c r="Q26" s="6"/>
      <c r="R26" s="51"/>
    </row>
    <row r="27" spans="1:18" ht="14.25" customHeight="1" x14ac:dyDescent="0.3">
      <c r="L27" s="67"/>
      <c r="M27" s="66"/>
      <c r="Q27" s="6"/>
      <c r="R27" s="51"/>
    </row>
    <row r="28" spans="1:18" ht="14.25" customHeight="1" x14ac:dyDescent="0.3">
      <c r="L28" s="67"/>
      <c r="M28" s="66"/>
      <c r="Q28" s="6"/>
      <c r="R28" s="51"/>
    </row>
    <row r="29" spans="1:18" ht="14.25" customHeight="1" x14ac:dyDescent="0.3">
      <c r="L29" s="67"/>
      <c r="M29" s="66"/>
      <c r="R29" s="66"/>
    </row>
    <row r="30" spans="1:18" ht="14.25" customHeight="1" x14ac:dyDescent="0.3">
      <c r="L30" s="67"/>
      <c r="M30" s="66"/>
      <c r="R30" s="66"/>
    </row>
    <row r="31" spans="1:18" ht="14.25" customHeight="1" x14ac:dyDescent="0.3">
      <c r="L31" s="67"/>
      <c r="M31" s="66"/>
      <c r="R31" s="66"/>
    </row>
    <row r="32" spans="1:18" ht="14.25" customHeight="1" x14ac:dyDescent="0.3">
      <c r="L32" s="67"/>
      <c r="M32" s="66"/>
      <c r="R32" s="66"/>
    </row>
    <row r="33" spans="12:18" ht="14.25" customHeight="1" x14ac:dyDescent="0.3">
      <c r="L33" s="67"/>
      <c r="M33" s="66"/>
      <c r="R33" s="66"/>
    </row>
    <row r="34" spans="12:18" ht="14.25" customHeight="1" x14ac:dyDescent="0.3">
      <c r="L34" s="67"/>
      <c r="M34" s="66"/>
      <c r="R34" s="66"/>
    </row>
    <row r="35" spans="12:18" ht="14.25" customHeight="1" x14ac:dyDescent="0.3">
      <c r="L35" s="67"/>
      <c r="M35" s="66"/>
      <c r="R35" s="66"/>
    </row>
    <row r="36" spans="12:18" ht="14.25" customHeight="1" x14ac:dyDescent="0.3">
      <c r="L36" s="67"/>
      <c r="M36" s="66"/>
      <c r="R36" s="66"/>
    </row>
    <row r="37" spans="12:18" ht="14.25" customHeight="1" x14ac:dyDescent="0.3">
      <c r="L37" s="67"/>
      <c r="M37" s="66"/>
      <c r="R37" s="66"/>
    </row>
    <row r="38" spans="12:18" ht="14.25" customHeight="1" x14ac:dyDescent="0.3">
      <c r="L38" s="67"/>
      <c r="M38" s="66"/>
      <c r="R38" s="66"/>
    </row>
    <row r="39" spans="12:18" ht="14.25" customHeight="1" x14ac:dyDescent="0.3">
      <c r="L39" s="67"/>
      <c r="M39" s="66"/>
      <c r="R39" s="66"/>
    </row>
    <row r="40" spans="12:18" ht="14.25" customHeight="1" x14ac:dyDescent="0.3">
      <c r="L40" s="67"/>
      <c r="M40" s="66"/>
      <c r="R40" s="66"/>
    </row>
    <row r="41" spans="12:18" ht="14.25" customHeight="1" x14ac:dyDescent="0.3">
      <c r="L41" s="67"/>
      <c r="M41" s="66"/>
      <c r="R41" s="66"/>
    </row>
    <row r="42" spans="12:18" ht="14.25" customHeight="1" x14ac:dyDescent="0.3">
      <c r="L42" s="67"/>
      <c r="M42" s="66"/>
      <c r="R42" s="66"/>
    </row>
    <row r="43" spans="12:18" ht="14.25" customHeight="1" x14ac:dyDescent="0.3">
      <c r="L43" s="67"/>
      <c r="M43" s="66"/>
      <c r="R43" s="66"/>
    </row>
    <row r="44" spans="12:18" ht="14.25" customHeight="1" x14ac:dyDescent="0.3">
      <c r="L44" s="67"/>
      <c r="M44" s="66"/>
      <c r="R44" s="66"/>
    </row>
    <row r="45" spans="12:18" ht="14.25" customHeight="1" x14ac:dyDescent="0.3">
      <c r="L45" s="67"/>
      <c r="M45" s="66"/>
      <c r="R45" s="66"/>
    </row>
    <row r="46" spans="12:18" ht="14.25" customHeight="1" x14ac:dyDescent="0.3">
      <c r="L46" s="67"/>
      <c r="M46" s="66"/>
      <c r="R46" s="66"/>
    </row>
    <row r="47" spans="12:18" ht="14.25" customHeight="1" x14ac:dyDescent="0.3">
      <c r="L47" s="67"/>
      <c r="M47" s="66"/>
      <c r="R47" s="66"/>
    </row>
    <row r="48" spans="12:18" ht="14.25" customHeight="1" x14ac:dyDescent="0.3">
      <c r="L48" s="67"/>
      <c r="M48" s="66"/>
      <c r="R48" s="66"/>
    </row>
    <row r="49" spans="12:18" ht="14.25" customHeight="1" x14ac:dyDescent="0.3">
      <c r="L49" s="67"/>
      <c r="M49" s="66"/>
      <c r="R49" s="66"/>
    </row>
    <row r="50" spans="12:18" ht="14.25" customHeight="1" x14ac:dyDescent="0.3">
      <c r="L50" s="67"/>
      <c r="M50" s="66"/>
      <c r="R50" s="66"/>
    </row>
    <row r="51" spans="12:18" ht="14.25" customHeight="1" x14ac:dyDescent="0.3">
      <c r="L51" s="67"/>
      <c r="M51" s="66"/>
      <c r="R51" s="66"/>
    </row>
    <row r="52" spans="12:18" ht="14.25" customHeight="1" x14ac:dyDescent="0.3">
      <c r="L52" s="67"/>
      <c r="M52" s="66"/>
      <c r="R52" s="66"/>
    </row>
    <row r="53" spans="12:18" ht="14.25" customHeight="1" x14ac:dyDescent="0.3">
      <c r="L53" s="67"/>
      <c r="M53" s="66"/>
      <c r="R53" s="66"/>
    </row>
    <row r="54" spans="12:18" ht="14.25" customHeight="1" x14ac:dyDescent="0.3">
      <c r="L54" s="67"/>
      <c r="M54" s="66"/>
      <c r="R54" s="66"/>
    </row>
    <row r="55" spans="12:18" ht="14.25" customHeight="1" x14ac:dyDescent="0.3">
      <c r="L55" s="67"/>
      <c r="M55" s="66"/>
      <c r="R55" s="66"/>
    </row>
    <row r="56" spans="12:18" ht="14.25" customHeight="1" x14ac:dyDescent="0.3">
      <c r="L56" s="67"/>
      <c r="M56" s="66"/>
      <c r="R56" s="66"/>
    </row>
    <row r="57" spans="12:18" ht="14.25" customHeight="1" x14ac:dyDescent="0.3">
      <c r="L57" s="67"/>
      <c r="M57" s="66"/>
      <c r="R57" s="66"/>
    </row>
    <row r="58" spans="12:18" ht="14.25" customHeight="1" x14ac:dyDescent="0.3">
      <c r="L58" s="67"/>
      <c r="M58" s="66"/>
      <c r="R58" s="66"/>
    </row>
    <row r="59" spans="12:18" ht="14.25" customHeight="1" x14ac:dyDescent="0.3">
      <c r="L59" s="67"/>
      <c r="M59" s="66"/>
      <c r="R59" s="66"/>
    </row>
    <row r="60" spans="12:18" ht="14.25" customHeight="1" x14ac:dyDescent="0.3">
      <c r="L60" s="67"/>
      <c r="M60" s="66"/>
      <c r="R60" s="66"/>
    </row>
    <row r="61" spans="12:18" ht="14.25" customHeight="1" x14ac:dyDescent="0.3">
      <c r="L61" s="67"/>
      <c r="M61" s="66"/>
      <c r="R61" s="66"/>
    </row>
    <row r="62" spans="12:18" ht="14.25" customHeight="1" x14ac:dyDescent="0.3">
      <c r="L62" s="67"/>
      <c r="M62" s="66"/>
      <c r="R62" s="66"/>
    </row>
    <row r="63" spans="12:18" ht="14.25" customHeight="1" x14ac:dyDescent="0.3">
      <c r="L63" s="67"/>
      <c r="M63" s="66"/>
      <c r="R63" s="66"/>
    </row>
    <row r="64" spans="12:18" ht="14.25" customHeight="1" x14ac:dyDescent="0.3">
      <c r="L64" s="67"/>
      <c r="M64" s="66"/>
      <c r="R64" s="66"/>
    </row>
    <row r="65" spans="12:18" ht="14.25" customHeight="1" x14ac:dyDescent="0.3">
      <c r="L65" s="67"/>
      <c r="M65" s="66"/>
      <c r="R65" s="66"/>
    </row>
    <row r="66" spans="12:18" ht="14.25" customHeight="1" x14ac:dyDescent="0.3">
      <c r="L66" s="67"/>
      <c r="M66" s="66"/>
      <c r="R66" s="66"/>
    </row>
    <row r="67" spans="12:18" ht="14.25" customHeight="1" x14ac:dyDescent="0.3">
      <c r="L67" s="67"/>
      <c r="M67" s="66"/>
      <c r="R67" s="66"/>
    </row>
    <row r="68" spans="12:18" ht="14.25" customHeight="1" x14ac:dyDescent="0.3">
      <c r="L68" s="67"/>
      <c r="M68" s="66"/>
      <c r="R68" s="66"/>
    </row>
    <row r="69" spans="12:18" ht="14.25" customHeight="1" x14ac:dyDescent="0.3">
      <c r="L69" s="67"/>
      <c r="M69" s="66"/>
      <c r="R69" s="66"/>
    </row>
    <row r="70" spans="12:18" ht="14.25" customHeight="1" x14ac:dyDescent="0.3">
      <c r="L70" s="67"/>
      <c r="M70" s="66"/>
      <c r="R70" s="66"/>
    </row>
    <row r="71" spans="12:18" ht="14.25" customHeight="1" x14ac:dyDescent="0.3">
      <c r="L71" s="67"/>
      <c r="M71" s="66"/>
      <c r="R71" s="66"/>
    </row>
    <row r="72" spans="12:18" ht="14.25" customHeight="1" x14ac:dyDescent="0.3">
      <c r="L72" s="67"/>
      <c r="M72" s="66"/>
      <c r="R72" s="66"/>
    </row>
    <row r="73" spans="12:18" ht="14.25" customHeight="1" x14ac:dyDescent="0.3">
      <c r="L73" s="67"/>
      <c r="M73" s="66"/>
      <c r="R73" s="66"/>
    </row>
    <row r="74" spans="12:18" ht="14.25" customHeight="1" x14ac:dyDescent="0.3">
      <c r="L74" s="67"/>
      <c r="M74" s="66"/>
      <c r="R74" s="66"/>
    </row>
    <row r="75" spans="12:18" ht="14.25" customHeight="1" x14ac:dyDescent="0.3">
      <c r="L75" s="67"/>
      <c r="M75" s="66"/>
      <c r="R75" s="66"/>
    </row>
    <row r="76" spans="12:18" ht="14.25" customHeight="1" x14ac:dyDescent="0.3">
      <c r="L76" s="67"/>
      <c r="M76" s="66"/>
      <c r="R76" s="66"/>
    </row>
    <row r="77" spans="12:18" ht="14.25" customHeight="1" x14ac:dyDescent="0.3">
      <c r="L77" s="67"/>
      <c r="M77" s="66"/>
      <c r="R77" s="66"/>
    </row>
    <row r="78" spans="12:18" ht="14.25" customHeight="1" x14ac:dyDescent="0.3">
      <c r="L78" s="67"/>
      <c r="M78" s="66"/>
      <c r="R78" s="66"/>
    </row>
    <row r="79" spans="12:18" ht="14.25" customHeight="1" x14ac:dyDescent="0.3">
      <c r="L79" s="67"/>
      <c r="M79" s="66"/>
      <c r="R79" s="66"/>
    </row>
    <row r="80" spans="12:18" ht="14.25" customHeight="1" x14ac:dyDescent="0.3">
      <c r="L80" s="67"/>
      <c r="M80" s="66"/>
      <c r="R80" s="66"/>
    </row>
    <row r="81" spans="12:18" ht="14.25" customHeight="1" x14ac:dyDescent="0.3">
      <c r="L81" s="67"/>
      <c r="M81" s="66"/>
      <c r="R81" s="66"/>
    </row>
    <row r="82" spans="12:18" ht="14.25" customHeight="1" x14ac:dyDescent="0.3">
      <c r="L82" s="67"/>
      <c r="M82" s="66"/>
      <c r="R82" s="66"/>
    </row>
    <row r="83" spans="12:18" ht="14.25" customHeight="1" x14ac:dyDescent="0.3">
      <c r="L83" s="67"/>
      <c r="M83" s="66"/>
      <c r="R83" s="66"/>
    </row>
    <row r="84" spans="12:18" ht="14.25" customHeight="1" x14ac:dyDescent="0.3">
      <c r="L84" s="67"/>
      <c r="M84" s="66"/>
      <c r="R84" s="66"/>
    </row>
    <row r="85" spans="12:18" ht="14.25" customHeight="1" x14ac:dyDescent="0.3">
      <c r="L85" s="67"/>
      <c r="M85" s="66"/>
      <c r="R85" s="66"/>
    </row>
    <row r="86" spans="12:18" ht="14.25" customHeight="1" x14ac:dyDescent="0.3">
      <c r="L86" s="67"/>
      <c r="M86" s="66"/>
      <c r="R86" s="66"/>
    </row>
    <row r="87" spans="12:18" ht="14.25" customHeight="1" x14ac:dyDescent="0.3">
      <c r="L87" s="67"/>
      <c r="M87" s="66"/>
      <c r="R87" s="66"/>
    </row>
    <row r="88" spans="12:18" ht="14.25" customHeight="1" x14ac:dyDescent="0.3">
      <c r="L88" s="67"/>
      <c r="M88" s="66"/>
      <c r="R88" s="66"/>
    </row>
    <row r="89" spans="12:18" ht="14.25" customHeight="1" x14ac:dyDescent="0.3">
      <c r="L89" s="67"/>
      <c r="M89" s="66"/>
      <c r="R89" s="66"/>
    </row>
    <row r="90" spans="12:18" ht="14.25" customHeight="1" x14ac:dyDescent="0.3">
      <c r="L90" s="67"/>
      <c r="M90" s="66"/>
      <c r="R90" s="66"/>
    </row>
    <row r="91" spans="12:18" ht="14.25" customHeight="1" x14ac:dyDescent="0.3">
      <c r="L91" s="67"/>
      <c r="M91" s="66"/>
      <c r="R91" s="66"/>
    </row>
    <row r="92" spans="12:18" ht="14.25" customHeight="1" x14ac:dyDescent="0.3">
      <c r="L92" s="67"/>
      <c r="M92" s="66"/>
      <c r="R92" s="66"/>
    </row>
    <row r="93" spans="12:18" ht="14.25" customHeight="1" x14ac:dyDescent="0.3">
      <c r="L93" s="67"/>
      <c r="M93" s="66"/>
      <c r="R93" s="66"/>
    </row>
    <row r="94" spans="12:18" ht="14.25" customHeight="1" x14ac:dyDescent="0.3">
      <c r="L94" s="67"/>
      <c r="M94" s="66"/>
      <c r="R94" s="66"/>
    </row>
    <row r="95" spans="12:18" ht="14.25" customHeight="1" x14ac:dyDescent="0.3">
      <c r="L95" s="67"/>
      <c r="M95" s="66"/>
      <c r="R95" s="66"/>
    </row>
    <row r="96" spans="12:18" ht="14.25" customHeight="1" x14ac:dyDescent="0.3">
      <c r="L96" s="67"/>
      <c r="M96" s="66"/>
      <c r="R96" s="66"/>
    </row>
    <row r="97" spans="12:18" ht="14.25" customHeight="1" x14ac:dyDescent="0.3">
      <c r="L97" s="67"/>
      <c r="M97" s="66"/>
      <c r="R97" s="66"/>
    </row>
    <row r="98" spans="12:18" ht="14.25" customHeight="1" x14ac:dyDescent="0.3">
      <c r="L98" s="67"/>
      <c r="M98" s="66"/>
      <c r="R98" s="66"/>
    </row>
    <row r="99" spans="12:18" ht="14.25" customHeight="1" x14ac:dyDescent="0.3">
      <c r="L99" s="67"/>
      <c r="M99" s="66"/>
      <c r="R99" s="66"/>
    </row>
    <row r="100" spans="12:18" ht="14.25" customHeight="1" x14ac:dyDescent="0.3">
      <c r="L100" s="67"/>
      <c r="M100" s="66"/>
      <c r="R100" s="66"/>
    </row>
    <row r="101" spans="12:18" ht="14.25" customHeight="1" x14ac:dyDescent="0.3">
      <c r="L101" s="67"/>
      <c r="M101" s="66"/>
      <c r="R101" s="66"/>
    </row>
    <row r="102" spans="12:18" ht="14.25" customHeight="1" x14ac:dyDescent="0.3">
      <c r="L102" s="67"/>
      <c r="M102" s="66"/>
      <c r="R102" s="66"/>
    </row>
    <row r="103" spans="12:18" ht="14.25" customHeight="1" x14ac:dyDescent="0.3">
      <c r="L103" s="67"/>
      <c r="M103" s="66"/>
      <c r="R103" s="66"/>
    </row>
    <row r="104" spans="12:18" ht="14.25" customHeight="1" x14ac:dyDescent="0.3">
      <c r="L104" s="67"/>
      <c r="M104" s="66"/>
      <c r="R104" s="66"/>
    </row>
    <row r="105" spans="12:18" ht="14.25" customHeight="1" x14ac:dyDescent="0.3">
      <c r="L105" s="67"/>
      <c r="M105" s="66"/>
      <c r="R105" s="66"/>
    </row>
    <row r="106" spans="12:18" ht="14.25" customHeight="1" x14ac:dyDescent="0.3">
      <c r="L106" s="67"/>
      <c r="M106" s="66"/>
      <c r="R106" s="66"/>
    </row>
    <row r="107" spans="12:18" ht="14.25" customHeight="1" x14ac:dyDescent="0.3">
      <c r="L107" s="67"/>
      <c r="M107" s="66"/>
      <c r="R107" s="66"/>
    </row>
    <row r="108" spans="12:18" ht="14.25" customHeight="1" x14ac:dyDescent="0.3">
      <c r="L108" s="67"/>
      <c r="M108" s="66"/>
      <c r="R108" s="66"/>
    </row>
    <row r="109" spans="12:18" ht="14.25" customHeight="1" x14ac:dyDescent="0.3">
      <c r="L109" s="67"/>
      <c r="M109" s="66"/>
      <c r="R109" s="66"/>
    </row>
    <row r="110" spans="12:18" ht="14.25" customHeight="1" x14ac:dyDescent="0.3">
      <c r="L110" s="67"/>
      <c r="M110" s="66"/>
      <c r="R110" s="66"/>
    </row>
    <row r="111" spans="12:18" ht="14.25" customHeight="1" x14ac:dyDescent="0.3">
      <c r="L111" s="67"/>
      <c r="M111" s="66"/>
      <c r="R111" s="66"/>
    </row>
    <row r="112" spans="12:18" ht="14.25" customHeight="1" x14ac:dyDescent="0.3">
      <c r="L112" s="67"/>
      <c r="M112" s="66"/>
      <c r="R112" s="66"/>
    </row>
    <row r="113" spans="12:18" ht="14.25" customHeight="1" x14ac:dyDescent="0.3">
      <c r="L113" s="67"/>
      <c r="M113" s="66"/>
      <c r="R113" s="66"/>
    </row>
    <row r="114" spans="12:18" ht="14.25" customHeight="1" x14ac:dyDescent="0.3">
      <c r="L114" s="67"/>
      <c r="M114" s="66"/>
      <c r="R114" s="66"/>
    </row>
    <row r="115" spans="12:18" ht="14.25" customHeight="1" x14ac:dyDescent="0.3">
      <c r="L115" s="67"/>
      <c r="M115" s="66"/>
      <c r="R115" s="66"/>
    </row>
    <row r="116" spans="12:18" ht="14.25" customHeight="1" x14ac:dyDescent="0.3">
      <c r="L116" s="67"/>
      <c r="M116" s="66"/>
      <c r="R116" s="66"/>
    </row>
    <row r="117" spans="12:18" ht="14.25" customHeight="1" x14ac:dyDescent="0.3">
      <c r="L117" s="67"/>
      <c r="M117" s="66"/>
      <c r="R117" s="66"/>
    </row>
    <row r="118" spans="12:18" ht="14.25" customHeight="1" x14ac:dyDescent="0.3">
      <c r="L118" s="67"/>
      <c r="M118" s="66"/>
      <c r="R118" s="66"/>
    </row>
    <row r="119" spans="12:18" ht="14.25" customHeight="1" x14ac:dyDescent="0.3">
      <c r="L119" s="67"/>
      <c r="M119" s="66"/>
      <c r="R119" s="66"/>
    </row>
    <row r="120" spans="12:18" ht="14.25" customHeight="1" x14ac:dyDescent="0.3">
      <c r="L120" s="67"/>
      <c r="M120" s="66"/>
      <c r="R120" s="66"/>
    </row>
    <row r="121" spans="12:18" ht="14.25" customHeight="1" x14ac:dyDescent="0.3">
      <c r="L121" s="67"/>
      <c r="M121" s="66"/>
      <c r="R121" s="66"/>
    </row>
    <row r="122" spans="12:18" ht="14.25" customHeight="1" x14ac:dyDescent="0.3">
      <c r="L122" s="67"/>
      <c r="M122" s="66"/>
      <c r="R122" s="66"/>
    </row>
    <row r="123" spans="12:18" ht="14.25" customHeight="1" x14ac:dyDescent="0.3">
      <c r="L123" s="67"/>
      <c r="M123" s="66"/>
      <c r="R123" s="66"/>
    </row>
    <row r="124" spans="12:18" ht="14.25" customHeight="1" x14ac:dyDescent="0.3">
      <c r="L124" s="67"/>
      <c r="M124" s="66"/>
      <c r="R124" s="66"/>
    </row>
    <row r="125" spans="12:18" ht="14.25" customHeight="1" x14ac:dyDescent="0.3">
      <c r="L125" s="67"/>
      <c r="M125" s="66"/>
      <c r="R125" s="66"/>
    </row>
    <row r="126" spans="12:18" ht="14.25" customHeight="1" x14ac:dyDescent="0.3">
      <c r="L126" s="67"/>
      <c r="M126" s="66"/>
      <c r="R126" s="66"/>
    </row>
    <row r="127" spans="12:18" ht="14.25" customHeight="1" x14ac:dyDescent="0.3">
      <c r="L127" s="67"/>
      <c r="M127" s="66"/>
      <c r="R127" s="66"/>
    </row>
    <row r="128" spans="12:18" ht="14.25" customHeight="1" x14ac:dyDescent="0.3">
      <c r="L128" s="67"/>
      <c r="M128" s="66"/>
      <c r="R128" s="66"/>
    </row>
    <row r="129" spans="12:18" ht="14.25" customHeight="1" x14ac:dyDescent="0.3">
      <c r="L129" s="67"/>
      <c r="M129" s="66"/>
      <c r="R129" s="66"/>
    </row>
    <row r="130" spans="12:18" ht="14.25" customHeight="1" x14ac:dyDescent="0.3">
      <c r="L130" s="67"/>
      <c r="M130" s="66"/>
      <c r="R130" s="66"/>
    </row>
    <row r="131" spans="12:18" ht="14.25" customHeight="1" x14ac:dyDescent="0.3">
      <c r="L131" s="67"/>
      <c r="M131" s="66"/>
      <c r="R131" s="66"/>
    </row>
    <row r="132" spans="12:18" ht="14.25" customHeight="1" x14ac:dyDescent="0.3">
      <c r="L132" s="67"/>
      <c r="M132" s="66"/>
      <c r="R132" s="66"/>
    </row>
    <row r="133" spans="12:18" ht="14.25" customHeight="1" x14ac:dyDescent="0.3">
      <c r="L133" s="67"/>
      <c r="M133" s="66"/>
      <c r="R133" s="66"/>
    </row>
    <row r="134" spans="12:18" ht="14.25" customHeight="1" x14ac:dyDescent="0.3">
      <c r="L134" s="67"/>
      <c r="M134" s="66"/>
      <c r="R134" s="66"/>
    </row>
    <row r="135" spans="12:18" ht="14.25" customHeight="1" x14ac:dyDescent="0.3">
      <c r="L135" s="67"/>
      <c r="M135" s="66"/>
      <c r="R135" s="66"/>
    </row>
    <row r="136" spans="12:18" ht="14.25" customHeight="1" x14ac:dyDescent="0.3">
      <c r="L136" s="67"/>
      <c r="M136" s="66"/>
      <c r="R136" s="66"/>
    </row>
    <row r="137" spans="12:18" ht="14.25" customHeight="1" x14ac:dyDescent="0.3">
      <c r="L137" s="67"/>
      <c r="M137" s="66"/>
      <c r="R137" s="66"/>
    </row>
    <row r="138" spans="12:18" ht="14.25" customHeight="1" x14ac:dyDescent="0.3">
      <c r="L138" s="67"/>
      <c r="M138" s="66"/>
      <c r="R138" s="66"/>
    </row>
    <row r="139" spans="12:18" ht="14.25" customHeight="1" x14ac:dyDescent="0.3">
      <c r="L139" s="67"/>
      <c r="M139" s="66"/>
      <c r="R139" s="66"/>
    </row>
    <row r="140" spans="12:18" ht="14.25" customHeight="1" x14ac:dyDescent="0.3">
      <c r="L140" s="67"/>
      <c r="M140" s="66"/>
      <c r="R140" s="66"/>
    </row>
    <row r="141" spans="12:18" ht="14.25" customHeight="1" x14ac:dyDescent="0.3">
      <c r="L141" s="67"/>
      <c r="M141" s="66"/>
      <c r="R141" s="66"/>
    </row>
    <row r="142" spans="12:18" ht="14.25" customHeight="1" x14ac:dyDescent="0.3">
      <c r="L142" s="67"/>
      <c r="M142" s="66"/>
      <c r="R142" s="66"/>
    </row>
    <row r="143" spans="12:18" ht="14.25" customHeight="1" x14ac:dyDescent="0.3">
      <c r="L143" s="67"/>
      <c r="M143" s="66"/>
      <c r="R143" s="66"/>
    </row>
    <row r="144" spans="12:18" ht="14.25" customHeight="1" x14ac:dyDescent="0.3">
      <c r="L144" s="67"/>
      <c r="M144" s="66"/>
      <c r="R144" s="66"/>
    </row>
    <row r="145" spans="12:18" ht="14.25" customHeight="1" x14ac:dyDescent="0.3">
      <c r="L145" s="67"/>
      <c r="M145" s="66"/>
      <c r="R145" s="66"/>
    </row>
    <row r="146" spans="12:18" ht="14.25" customHeight="1" x14ac:dyDescent="0.3">
      <c r="L146" s="67"/>
      <c r="M146" s="66"/>
      <c r="R146" s="66"/>
    </row>
    <row r="147" spans="12:18" ht="14.25" customHeight="1" x14ac:dyDescent="0.3">
      <c r="L147" s="67"/>
      <c r="M147" s="66"/>
      <c r="R147" s="66"/>
    </row>
    <row r="148" spans="12:18" ht="14.25" customHeight="1" x14ac:dyDescent="0.3">
      <c r="L148" s="67"/>
      <c r="M148" s="66"/>
      <c r="R148" s="66"/>
    </row>
    <row r="149" spans="12:18" ht="14.25" customHeight="1" x14ac:dyDescent="0.3">
      <c r="L149" s="67"/>
      <c r="M149" s="66"/>
      <c r="R149" s="66"/>
    </row>
    <row r="150" spans="12:18" ht="14.25" customHeight="1" x14ac:dyDescent="0.3">
      <c r="L150" s="67"/>
      <c r="M150" s="66"/>
      <c r="R150" s="66"/>
    </row>
    <row r="151" spans="12:18" ht="14.25" customHeight="1" x14ac:dyDescent="0.3">
      <c r="L151" s="67"/>
      <c r="M151" s="66"/>
      <c r="R151" s="66"/>
    </row>
    <row r="152" spans="12:18" ht="14.25" customHeight="1" x14ac:dyDescent="0.3">
      <c r="L152" s="67"/>
      <c r="M152" s="66"/>
      <c r="R152" s="66"/>
    </row>
    <row r="153" spans="12:18" ht="14.25" customHeight="1" x14ac:dyDescent="0.3">
      <c r="L153" s="67"/>
      <c r="M153" s="66"/>
      <c r="R153" s="66"/>
    </row>
    <row r="154" spans="12:18" ht="14.25" customHeight="1" x14ac:dyDescent="0.3">
      <c r="L154" s="67"/>
      <c r="M154" s="66"/>
      <c r="R154" s="66"/>
    </row>
    <row r="155" spans="12:18" ht="14.25" customHeight="1" x14ac:dyDescent="0.3">
      <c r="L155" s="67"/>
      <c r="M155" s="66"/>
      <c r="R155" s="66"/>
    </row>
    <row r="156" spans="12:18" ht="14.25" customHeight="1" x14ac:dyDescent="0.3">
      <c r="L156" s="67"/>
      <c r="M156" s="66"/>
      <c r="R156" s="66"/>
    </row>
    <row r="157" spans="12:18" ht="14.25" customHeight="1" x14ac:dyDescent="0.3">
      <c r="L157" s="67"/>
      <c r="M157" s="66"/>
      <c r="R157" s="66"/>
    </row>
    <row r="158" spans="12:18" ht="14.25" customHeight="1" x14ac:dyDescent="0.3">
      <c r="L158" s="67"/>
      <c r="M158" s="66"/>
      <c r="R158" s="66"/>
    </row>
    <row r="159" spans="12:18" ht="14.25" customHeight="1" x14ac:dyDescent="0.3">
      <c r="L159" s="67"/>
      <c r="M159" s="66"/>
      <c r="R159" s="66"/>
    </row>
    <row r="160" spans="12:18" ht="14.25" customHeight="1" x14ac:dyDescent="0.3">
      <c r="L160" s="67"/>
      <c r="M160" s="66"/>
      <c r="R160" s="66"/>
    </row>
    <row r="161" spans="12:18" ht="14.25" customHeight="1" x14ac:dyDescent="0.3">
      <c r="L161" s="67"/>
      <c r="M161" s="66"/>
      <c r="R161" s="66"/>
    </row>
    <row r="162" spans="12:18" ht="14.25" customHeight="1" x14ac:dyDescent="0.3">
      <c r="L162" s="67"/>
      <c r="M162" s="66"/>
      <c r="R162" s="66"/>
    </row>
    <row r="163" spans="12:18" ht="14.25" customHeight="1" x14ac:dyDescent="0.3">
      <c r="L163" s="67"/>
      <c r="M163" s="66"/>
      <c r="R163" s="66"/>
    </row>
    <row r="164" spans="12:18" ht="14.25" customHeight="1" x14ac:dyDescent="0.3">
      <c r="L164" s="67"/>
      <c r="M164" s="66"/>
      <c r="R164" s="66"/>
    </row>
    <row r="165" spans="12:18" ht="14.25" customHeight="1" x14ac:dyDescent="0.3">
      <c r="L165" s="67"/>
      <c r="M165" s="66"/>
      <c r="R165" s="66"/>
    </row>
    <row r="166" spans="12:18" ht="14.25" customHeight="1" x14ac:dyDescent="0.3">
      <c r="L166" s="67"/>
      <c r="M166" s="66"/>
      <c r="R166" s="66"/>
    </row>
    <row r="167" spans="12:18" ht="14.25" customHeight="1" x14ac:dyDescent="0.3">
      <c r="L167" s="67"/>
      <c r="M167" s="66"/>
      <c r="R167" s="66"/>
    </row>
    <row r="168" spans="12:18" ht="14.25" customHeight="1" x14ac:dyDescent="0.3">
      <c r="L168" s="67"/>
      <c r="M168" s="66"/>
      <c r="R168" s="66"/>
    </row>
    <row r="169" spans="12:18" ht="14.25" customHeight="1" x14ac:dyDescent="0.3">
      <c r="L169" s="67"/>
      <c r="M169" s="66"/>
      <c r="R169" s="66"/>
    </row>
    <row r="170" spans="12:18" ht="14.25" customHeight="1" x14ac:dyDescent="0.3">
      <c r="L170" s="67"/>
      <c r="M170" s="66"/>
      <c r="R170" s="66"/>
    </row>
    <row r="171" spans="12:18" ht="14.25" customHeight="1" x14ac:dyDescent="0.3">
      <c r="L171" s="67"/>
      <c r="M171" s="66"/>
      <c r="R171" s="66"/>
    </row>
    <row r="172" spans="12:18" ht="14.25" customHeight="1" x14ac:dyDescent="0.3">
      <c r="L172" s="67"/>
      <c r="M172" s="66"/>
      <c r="R172" s="66"/>
    </row>
    <row r="173" spans="12:18" ht="14.25" customHeight="1" x14ac:dyDescent="0.3">
      <c r="L173" s="67"/>
      <c r="M173" s="66"/>
      <c r="R173" s="66"/>
    </row>
    <row r="174" spans="12:18" ht="14.25" customHeight="1" x14ac:dyDescent="0.3">
      <c r="L174" s="67"/>
      <c r="M174" s="66"/>
      <c r="R174" s="66"/>
    </row>
    <row r="175" spans="12:18" ht="14.25" customHeight="1" x14ac:dyDescent="0.3">
      <c r="L175" s="67"/>
      <c r="M175" s="66"/>
      <c r="R175" s="66"/>
    </row>
    <row r="176" spans="12:18" ht="14.25" customHeight="1" x14ac:dyDescent="0.3">
      <c r="L176" s="67"/>
      <c r="M176" s="66"/>
      <c r="R176" s="66"/>
    </row>
    <row r="177" spans="12:18" ht="14.25" customHeight="1" x14ac:dyDescent="0.3">
      <c r="L177" s="67"/>
      <c r="M177" s="66"/>
      <c r="R177" s="66"/>
    </row>
    <row r="178" spans="12:18" ht="14.25" customHeight="1" x14ac:dyDescent="0.3">
      <c r="L178" s="67"/>
      <c r="M178" s="66"/>
      <c r="R178" s="66"/>
    </row>
    <row r="179" spans="12:18" ht="14.25" customHeight="1" x14ac:dyDescent="0.3">
      <c r="L179" s="67"/>
      <c r="M179" s="66"/>
      <c r="R179" s="66"/>
    </row>
    <row r="180" spans="12:18" ht="14.25" customHeight="1" x14ac:dyDescent="0.3">
      <c r="L180" s="67"/>
      <c r="M180" s="66"/>
      <c r="R180" s="66"/>
    </row>
    <row r="181" spans="12:18" ht="14.25" customHeight="1" x14ac:dyDescent="0.3">
      <c r="L181" s="67"/>
      <c r="M181" s="66"/>
      <c r="R181" s="66"/>
    </row>
    <row r="182" spans="12:18" ht="14.25" customHeight="1" x14ac:dyDescent="0.3">
      <c r="L182" s="67"/>
      <c r="M182" s="66"/>
      <c r="R182" s="66"/>
    </row>
    <row r="183" spans="12:18" ht="14.25" customHeight="1" x14ac:dyDescent="0.3">
      <c r="L183" s="67"/>
      <c r="M183" s="66"/>
      <c r="R183" s="66"/>
    </row>
    <row r="184" spans="12:18" ht="14.25" customHeight="1" x14ac:dyDescent="0.3">
      <c r="L184" s="67"/>
      <c r="M184" s="66"/>
      <c r="R184" s="66"/>
    </row>
    <row r="185" spans="12:18" ht="14.25" customHeight="1" x14ac:dyDescent="0.3">
      <c r="L185" s="67"/>
      <c r="M185" s="66"/>
      <c r="R185" s="66"/>
    </row>
    <row r="186" spans="12:18" ht="14.25" customHeight="1" x14ac:dyDescent="0.3">
      <c r="L186" s="67"/>
      <c r="M186" s="66"/>
      <c r="R186" s="66"/>
    </row>
    <row r="187" spans="12:18" ht="14.25" customHeight="1" x14ac:dyDescent="0.3">
      <c r="L187" s="67"/>
      <c r="M187" s="66"/>
      <c r="R187" s="66"/>
    </row>
    <row r="188" spans="12:18" ht="14.25" customHeight="1" x14ac:dyDescent="0.3">
      <c r="L188" s="67"/>
      <c r="M188" s="66"/>
      <c r="R188" s="66"/>
    </row>
    <row r="189" spans="12:18" ht="14.25" customHeight="1" x14ac:dyDescent="0.3">
      <c r="L189" s="67"/>
      <c r="M189" s="66"/>
      <c r="R189" s="66"/>
    </row>
    <row r="190" spans="12:18" ht="14.25" customHeight="1" x14ac:dyDescent="0.3">
      <c r="L190" s="67"/>
      <c r="M190" s="66"/>
      <c r="R190" s="66"/>
    </row>
    <row r="191" spans="12:18" ht="14.25" customHeight="1" x14ac:dyDescent="0.3">
      <c r="L191" s="67"/>
      <c r="M191" s="66"/>
      <c r="R191" s="66"/>
    </row>
    <row r="192" spans="12:18" ht="14.25" customHeight="1" x14ac:dyDescent="0.3">
      <c r="L192" s="67"/>
      <c r="M192" s="66"/>
      <c r="R192" s="66"/>
    </row>
    <row r="193" spans="12:18" ht="14.25" customHeight="1" x14ac:dyDescent="0.3">
      <c r="L193" s="67"/>
      <c r="M193" s="66"/>
      <c r="R193" s="66"/>
    </row>
    <row r="194" spans="12:18" ht="14.25" customHeight="1" x14ac:dyDescent="0.3">
      <c r="L194" s="67"/>
      <c r="M194" s="66"/>
      <c r="R194" s="66"/>
    </row>
    <row r="195" spans="12:18" ht="14.25" customHeight="1" x14ac:dyDescent="0.3">
      <c r="L195" s="67"/>
      <c r="M195" s="66"/>
      <c r="R195" s="66"/>
    </row>
    <row r="196" spans="12:18" ht="14.25" customHeight="1" x14ac:dyDescent="0.3">
      <c r="L196" s="67"/>
      <c r="M196" s="66"/>
      <c r="R196" s="66"/>
    </row>
    <row r="197" spans="12:18" ht="14.25" customHeight="1" x14ac:dyDescent="0.3">
      <c r="L197" s="67"/>
      <c r="M197" s="66"/>
      <c r="R197" s="66"/>
    </row>
    <row r="198" spans="12:18" ht="14.25" customHeight="1" x14ac:dyDescent="0.3">
      <c r="L198" s="67"/>
      <c r="M198" s="66"/>
      <c r="R198" s="66"/>
    </row>
    <row r="199" spans="12:18" ht="14.25" customHeight="1" x14ac:dyDescent="0.3">
      <c r="L199" s="67"/>
      <c r="M199" s="66"/>
      <c r="R199" s="66"/>
    </row>
    <row r="200" spans="12:18" ht="14.25" customHeight="1" x14ac:dyDescent="0.3">
      <c r="L200" s="67"/>
      <c r="M200" s="66"/>
      <c r="R200" s="66"/>
    </row>
    <row r="201" spans="12:18" ht="14.25" customHeight="1" x14ac:dyDescent="0.3">
      <c r="L201" s="67"/>
      <c r="M201" s="66"/>
      <c r="R201" s="66"/>
    </row>
    <row r="202" spans="12:18" ht="14.25" customHeight="1" x14ac:dyDescent="0.3">
      <c r="L202" s="67"/>
      <c r="M202" s="66"/>
      <c r="R202" s="66"/>
    </row>
    <row r="203" spans="12:18" ht="14.25" customHeight="1" x14ac:dyDescent="0.3">
      <c r="L203" s="67"/>
      <c r="M203" s="66"/>
      <c r="R203" s="66"/>
    </row>
    <row r="204" spans="12:18" ht="14.25" customHeight="1" x14ac:dyDescent="0.3">
      <c r="L204" s="67"/>
      <c r="M204" s="66"/>
      <c r="R204" s="66"/>
    </row>
    <row r="205" spans="12:18" ht="14.25" customHeight="1" x14ac:dyDescent="0.3">
      <c r="L205" s="67"/>
      <c r="M205" s="66"/>
      <c r="R205" s="66"/>
    </row>
    <row r="206" spans="12:18" ht="14.25" customHeight="1" x14ac:dyDescent="0.3">
      <c r="L206" s="67"/>
      <c r="M206" s="66"/>
      <c r="R206" s="66"/>
    </row>
    <row r="207" spans="12:18" ht="14.25" customHeight="1" x14ac:dyDescent="0.3">
      <c r="L207" s="67"/>
      <c r="M207" s="66"/>
      <c r="R207" s="66"/>
    </row>
    <row r="208" spans="12:18" ht="14.25" customHeight="1" x14ac:dyDescent="0.3">
      <c r="L208" s="67"/>
      <c r="M208" s="66"/>
      <c r="R208" s="66"/>
    </row>
    <row r="209" spans="12:18" ht="14.25" customHeight="1" x14ac:dyDescent="0.3">
      <c r="L209" s="67"/>
      <c r="M209" s="66"/>
      <c r="R209" s="66"/>
    </row>
    <row r="210" spans="12:18" ht="14.25" customHeight="1" x14ac:dyDescent="0.3">
      <c r="L210" s="67"/>
      <c r="M210" s="66"/>
      <c r="R210" s="66"/>
    </row>
    <row r="211" spans="12:18" ht="14.25" customHeight="1" x14ac:dyDescent="0.3">
      <c r="L211" s="67"/>
      <c r="M211" s="66"/>
      <c r="R211" s="66"/>
    </row>
    <row r="212" spans="12:18" ht="14.25" customHeight="1" x14ac:dyDescent="0.3">
      <c r="L212" s="67"/>
      <c r="M212" s="66"/>
      <c r="R212" s="66"/>
    </row>
    <row r="213" spans="12:18" ht="14.25" customHeight="1" x14ac:dyDescent="0.3">
      <c r="L213" s="67"/>
      <c r="M213" s="66"/>
      <c r="R213" s="66"/>
    </row>
    <row r="214" spans="12:18" ht="14.25" customHeight="1" x14ac:dyDescent="0.3">
      <c r="L214" s="67"/>
      <c r="M214" s="66"/>
      <c r="R214" s="66"/>
    </row>
    <row r="215" spans="12:18" ht="14.25" customHeight="1" x14ac:dyDescent="0.3">
      <c r="L215" s="67"/>
      <c r="M215" s="66"/>
      <c r="R215" s="66"/>
    </row>
    <row r="216" spans="12:18" ht="14.25" customHeight="1" x14ac:dyDescent="0.3">
      <c r="L216" s="67"/>
      <c r="M216" s="66"/>
      <c r="R216" s="66"/>
    </row>
    <row r="217" spans="12:18" ht="14.25" customHeight="1" x14ac:dyDescent="0.3">
      <c r="L217" s="67"/>
      <c r="M217" s="66"/>
      <c r="R217" s="66"/>
    </row>
    <row r="218" spans="12:18" ht="14.25" customHeight="1" x14ac:dyDescent="0.3">
      <c r="L218" s="67"/>
      <c r="M218" s="66"/>
      <c r="R218" s="66"/>
    </row>
    <row r="219" spans="12:18" ht="14.25" customHeight="1" x14ac:dyDescent="0.3">
      <c r="L219" s="67"/>
      <c r="M219" s="66"/>
      <c r="R219" s="66"/>
    </row>
    <row r="220" spans="12:18" ht="14.25" customHeight="1" x14ac:dyDescent="0.3">
      <c r="L220" s="67"/>
      <c r="M220" s="66"/>
      <c r="R220" s="66"/>
    </row>
    <row r="221" spans="12:18" ht="14.25" customHeight="1" x14ac:dyDescent="0.3">
      <c r="L221" s="67"/>
      <c r="M221" s="66"/>
      <c r="R221" s="66"/>
    </row>
    <row r="222" spans="12:18" ht="14.25" customHeight="1" x14ac:dyDescent="0.3">
      <c r="L222" s="67"/>
      <c r="M222" s="66"/>
      <c r="R222" s="66"/>
    </row>
    <row r="223" spans="12:18" ht="14.25" customHeight="1" x14ac:dyDescent="0.3">
      <c r="L223" s="67"/>
      <c r="M223" s="66"/>
      <c r="R223" s="66"/>
    </row>
    <row r="224" spans="12:18" ht="14.25" customHeight="1" x14ac:dyDescent="0.3">
      <c r="L224" s="67"/>
      <c r="M224" s="66"/>
      <c r="R224" s="66"/>
    </row>
    <row r="225" spans="12:18" ht="14.25" customHeight="1" x14ac:dyDescent="0.3">
      <c r="L225" s="67"/>
      <c r="M225" s="66"/>
      <c r="R225" s="66"/>
    </row>
    <row r="226" spans="12:18" ht="14.25" customHeight="1" x14ac:dyDescent="0.3">
      <c r="L226" s="67"/>
      <c r="M226" s="66"/>
      <c r="R226" s="66"/>
    </row>
    <row r="227" spans="12:18" ht="14.25" customHeight="1" x14ac:dyDescent="0.3">
      <c r="L227" s="67"/>
      <c r="M227" s="66"/>
      <c r="R227" s="66"/>
    </row>
    <row r="228" spans="12:18" ht="14.25" customHeight="1" x14ac:dyDescent="0.3">
      <c r="L228" s="67"/>
      <c r="M228" s="66"/>
      <c r="R228" s="66"/>
    </row>
    <row r="229" spans="12:18" ht="14.25" customHeight="1" x14ac:dyDescent="0.3">
      <c r="L229" s="67"/>
      <c r="M229" s="66"/>
      <c r="R229" s="66"/>
    </row>
    <row r="230" spans="12:18" ht="14.25" customHeight="1" x14ac:dyDescent="0.3">
      <c r="L230" s="67"/>
      <c r="M230" s="66"/>
      <c r="R230" s="66"/>
    </row>
    <row r="231" spans="12:18" ht="14.25" customHeight="1" x14ac:dyDescent="0.3">
      <c r="L231" s="67"/>
      <c r="M231" s="66"/>
      <c r="R231" s="66"/>
    </row>
    <row r="232" spans="12:18" ht="14.25" customHeight="1" x14ac:dyDescent="0.3">
      <c r="L232" s="67"/>
      <c r="M232" s="66"/>
      <c r="R232" s="66"/>
    </row>
    <row r="233" spans="12:18" ht="14.25" customHeight="1" x14ac:dyDescent="0.3">
      <c r="L233" s="67"/>
      <c r="M233" s="66"/>
      <c r="R233" s="66"/>
    </row>
    <row r="234" spans="12:18" ht="14.25" customHeight="1" x14ac:dyDescent="0.3">
      <c r="L234" s="67"/>
      <c r="M234" s="66"/>
      <c r="R234" s="66"/>
    </row>
    <row r="235" spans="12:18" ht="14.25" customHeight="1" x14ac:dyDescent="0.3">
      <c r="L235" s="67"/>
      <c r="M235" s="66"/>
      <c r="R235" s="66"/>
    </row>
    <row r="236" spans="12:18" ht="14.25" customHeight="1" x14ac:dyDescent="0.3">
      <c r="L236" s="67"/>
      <c r="M236" s="66"/>
      <c r="R236" s="66"/>
    </row>
    <row r="237" spans="12:18" ht="14.25" customHeight="1" x14ac:dyDescent="0.3">
      <c r="L237" s="67"/>
      <c r="M237" s="66"/>
      <c r="R237" s="66"/>
    </row>
    <row r="238" spans="12:18" ht="14.25" customHeight="1" x14ac:dyDescent="0.3">
      <c r="L238" s="67"/>
      <c r="M238" s="66"/>
      <c r="R238" s="66"/>
    </row>
    <row r="239" spans="12:18" ht="14.25" customHeight="1" x14ac:dyDescent="0.3">
      <c r="L239" s="67"/>
      <c r="M239" s="66"/>
      <c r="R239" s="66"/>
    </row>
    <row r="240" spans="12:18" ht="14.25" customHeight="1" x14ac:dyDescent="0.3">
      <c r="L240" s="67"/>
      <c r="M240" s="66"/>
      <c r="R240" s="66"/>
    </row>
    <row r="241" spans="12:18" ht="14.25" customHeight="1" x14ac:dyDescent="0.3">
      <c r="L241" s="67"/>
      <c r="M241" s="66"/>
      <c r="R241" s="66"/>
    </row>
    <row r="242" spans="12:18" ht="14.25" customHeight="1" x14ac:dyDescent="0.3">
      <c r="L242" s="67"/>
      <c r="M242" s="66"/>
      <c r="R242" s="66"/>
    </row>
    <row r="243" spans="12:18" ht="14.25" customHeight="1" x14ac:dyDescent="0.3">
      <c r="L243" s="67"/>
      <c r="M243" s="66"/>
      <c r="R243" s="66"/>
    </row>
    <row r="244" spans="12:18" ht="14.25" customHeight="1" x14ac:dyDescent="0.3">
      <c r="L244" s="67"/>
      <c r="M244" s="66"/>
      <c r="R244" s="66"/>
    </row>
    <row r="245" spans="12:18" ht="14.25" customHeight="1" x14ac:dyDescent="0.3">
      <c r="L245" s="67"/>
      <c r="M245" s="66"/>
      <c r="R245" s="66"/>
    </row>
    <row r="246" spans="12:18" ht="14.25" customHeight="1" x14ac:dyDescent="0.3">
      <c r="L246" s="67"/>
      <c r="M246" s="66"/>
      <c r="R246" s="66"/>
    </row>
    <row r="247" spans="12:18" ht="14.25" customHeight="1" x14ac:dyDescent="0.3">
      <c r="L247" s="67"/>
      <c r="M247" s="66"/>
      <c r="R247" s="66"/>
    </row>
    <row r="248" spans="12:18" ht="14.25" customHeight="1" x14ac:dyDescent="0.3">
      <c r="L248" s="67"/>
      <c r="M248" s="66"/>
      <c r="R248" s="66"/>
    </row>
    <row r="249" spans="12:18" ht="14.25" customHeight="1" x14ac:dyDescent="0.3">
      <c r="L249" s="67"/>
      <c r="M249" s="66"/>
      <c r="R249" s="66"/>
    </row>
    <row r="250" spans="12:18" ht="14.25" customHeight="1" x14ac:dyDescent="0.3">
      <c r="L250" s="67"/>
      <c r="M250" s="66"/>
      <c r="R250" s="66"/>
    </row>
    <row r="251" spans="12:18" ht="14.25" customHeight="1" x14ac:dyDescent="0.3">
      <c r="L251" s="67"/>
      <c r="M251" s="66"/>
      <c r="R251" s="66"/>
    </row>
    <row r="252" spans="12:18" ht="14.25" customHeight="1" x14ac:dyDescent="0.3">
      <c r="L252" s="67"/>
      <c r="M252" s="66"/>
      <c r="R252" s="66"/>
    </row>
    <row r="253" spans="12:18" ht="14.25" customHeight="1" x14ac:dyDescent="0.3">
      <c r="L253" s="67"/>
      <c r="M253" s="66"/>
      <c r="R253" s="66"/>
    </row>
    <row r="254" spans="12:18" ht="14.25" customHeight="1" x14ac:dyDescent="0.3">
      <c r="L254" s="67"/>
      <c r="M254" s="66"/>
      <c r="R254" s="66"/>
    </row>
    <row r="255" spans="12:18" ht="14.25" customHeight="1" x14ac:dyDescent="0.3">
      <c r="L255" s="67"/>
      <c r="M255" s="66"/>
      <c r="R255" s="66"/>
    </row>
    <row r="256" spans="12:18" ht="14.25" customHeight="1" x14ac:dyDescent="0.3">
      <c r="L256" s="67"/>
      <c r="M256" s="66"/>
      <c r="R256" s="66"/>
    </row>
    <row r="257" spans="12:18" ht="14.25" customHeight="1" x14ac:dyDescent="0.3">
      <c r="L257" s="67"/>
      <c r="M257" s="66"/>
      <c r="R257" s="66"/>
    </row>
    <row r="258" spans="12:18" ht="14.25" customHeight="1" x14ac:dyDescent="0.3">
      <c r="L258" s="67"/>
      <c r="M258" s="66"/>
      <c r="R258" s="66"/>
    </row>
    <row r="259" spans="12:18" ht="14.25" customHeight="1" x14ac:dyDescent="0.3">
      <c r="L259" s="67"/>
      <c r="M259" s="66"/>
      <c r="R259" s="66"/>
    </row>
    <row r="260" spans="12:18" ht="14.25" customHeight="1" x14ac:dyDescent="0.3">
      <c r="L260" s="67"/>
      <c r="M260" s="66"/>
      <c r="R260" s="66"/>
    </row>
    <row r="261" spans="12:18" ht="14.25" customHeight="1" x14ac:dyDescent="0.3">
      <c r="L261" s="67"/>
      <c r="M261" s="66"/>
      <c r="R261" s="66"/>
    </row>
    <row r="262" spans="12:18" ht="14.25" customHeight="1" x14ac:dyDescent="0.3">
      <c r="L262" s="67"/>
      <c r="M262" s="66"/>
      <c r="R262" s="66"/>
    </row>
    <row r="263" spans="12:18" ht="14.25" customHeight="1" x14ac:dyDescent="0.3">
      <c r="L263" s="67"/>
      <c r="M263" s="66"/>
      <c r="R263" s="66"/>
    </row>
    <row r="264" spans="12:18" ht="14.25" customHeight="1" x14ac:dyDescent="0.3">
      <c r="L264" s="67"/>
      <c r="M264" s="66"/>
      <c r="R264" s="66"/>
    </row>
    <row r="265" spans="12:18" ht="14.25" customHeight="1" x14ac:dyDescent="0.3">
      <c r="L265" s="67"/>
      <c r="M265" s="66"/>
      <c r="R265" s="66"/>
    </row>
    <row r="266" spans="12:18" ht="14.25" customHeight="1" x14ac:dyDescent="0.3">
      <c r="L266" s="67"/>
      <c r="M266" s="66"/>
      <c r="R266" s="66"/>
    </row>
    <row r="267" spans="12:18" ht="14.25" customHeight="1" x14ac:dyDescent="0.3">
      <c r="L267" s="67"/>
      <c r="M267" s="66"/>
      <c r="R267" s="66"/>
    </row>
    <row r="268" spans="12:18" ht="14.25" customHeight="1" x14ac:dyDescent="0.3">
      <c r="L268" s="67"/>
      <c r="M268" s="66"/>
      <c r="R268" s="66"/>
    </row>
    <row r="269" spans="12:18" ht="14.25" customHeight="1" x14ac:dyDescent="0.3">
      <c r="L269" s="67"/>
      <c r="M269" s="66"/>
      <c r="R269" s="66"/>
    </row>
    <row r="270" spans="12:18" ht="14.25" customHeight="1" x14ac:dyDescent="0.3">
      <c r="L270" s="67"/>
      <c r="M270" s="66"/>
      <c r="R270" s="66"/>
    </row>
    <row r="271" spans="12:18" ht="14.25" customHeight="1" x14ac:dyDescent="0.3">
      <c r="L271" s="67"/>
      <c r="M271" s="66"/>
      <c r="R271" s="66"/>
    </row>
    <row r="272" spans="12:18" ht="14.25" customHeight="1" x14ac:dyDescent="0.3">
      <c r="L272" s="67"/>
      <c r="M272" s="66"/>
      <c r="R272" s="66"/>
    </row>
    <row r="273" spans="12:18" ht="14.25" customHeight="1" x14ac:dyDescent="0.3">
      <c r="L273" s="67"/>
      <c r="M273" s="66"/>
      <c r="R273" s="66"/>
    </row>
    <row r="274" spans="12:18" ht="14.25" customHeight="1" x14ac:dyDescent="0.3">
      <c r="L274" s="67"/>
      <c r="M274" s="66"/>
      <c r="R274" s="66"/>
    </row>
    <row r="275" spans="12:18" ht="14.25" customHeight="1" x14ac:dyDescent="0.3">
      <c r="L275" s="67"/>
      <c r="M275" s="66"/>
      <c r="R275" s="66"/>
    </row>
    <row r="276" spans="12:18" ht="14.25" customHeight="1" x14ac:dyDescent="0.3">
      <c r="L276" s="67"/>
      <c r="M276" s="66"/>
      <c r="R276" s="66"/>
    </row>
    <row r="277" spans="12:18" ht="14.25" customHeight="1" x14ac:dyDescent="0.3">
      <c r="L277" s="67"/>
      <c r="M277" s="66"/>
      <c r="R277" s="66"/>
    </row>
    <row r="278" spans="12:18" ht="14.25" customHeight="1" x14ac:dyDescent="0.3">
      <c r="L278" s="67"/>
      <c r="M278" s="66"/>
      <c r="R278" s="66"/>
    </row>
    <row r="279" spans="12:18" ht="14.25" customHeight="1" x14ac:dyDescent="0.3">
      <c r="L279" s="67"/>
      <c r="M279" s="66"/>
      <c r="R279" s="66"/>
    </row>
    <row r="280" spans="12:18" ht="14.25" customHeight="1" x14ac:dyDescent="0.3">
      <c r="L280" s="67"/>
      <c r="M280" s="66"/>
      <c r="R280" s="66"/>
    </row>
    <row r="281" spans="12:18" ht="14.25" customHeight="1" x14ac:dyDescent="0.3">
      <c r="L281" s="67"/>
      <c r="M281" s="66"/>
      <c r="R281" s="66"/>
    </row>
    <row r="282" spans="12:18" ht="14.25" customHeight="1" x14ac:dyDescent="0.3">
      <c r="L282" s="67"/>
      <c r="M282" s="66"/>
      <c r="R282" s="66"/>
    </row>
    <row r="283" spans="12:18" ht="14.25" customHeight="1" x14ac:dyDescent="0.3">
      <c r="L283" s="67"/>
      <c r="M283" s="66"/>
      <c r="R283" s="66"/>
    </row>
    <row r="284" spans="12:18" ht="14.25" customHeight="1" x14ac:dyDescent="0.3">
      <c r="L284" s="67"/>
      <c r="M284" s="66"/>
      <c r="R284" s="66"/>
    </row>
    <row r="285" spans="12:18" ht="14.25" customHeight="1" x14ac:dyDescent="0.3">
      <c r="L285" s="67"/>
      <c r="M285" s="66"/>
      <c r="R285" s="66"/>
    </row>
    <row r="286" spans="12:18" ht="14.25" customHeight="1" x14ac:dyDescent="0.3">
      <c r="L286" s="67"/>
      <c r="M286" s="66"/>
      <c r="R286" s="66"/>
    </row>
    <row r="287" spans="12:18" ht="14.25" customHeight="1" x14ac:dyDescent="0.3">
      <c r="L287" s="67"/>
      <c r="M287" s="66"/>
      <c r="R287" s="66"/>
    </row>
    <row r="288" spans="12:18" ht="14.25" customHeight="1" x14ac:dyDescent="0.3">
      <c r="L288" s="67"/>
      <c r="M288" s="66"/>
      <c r="R288" s="66"/>
    </row>
    <row r="289" spans="12:18" ht="14.25" customHeight="1" x14ac:dyDescent="0.3">
      <c r="L289" s="67"/>
      <c r="M289" s="66"/>
      <c r="R289" s="66"/>
    </row>
    <row r="290" spans="12:18" ht="14.25" customHeight="1" x14ac:dyDescent="0.3">
      <c r="L290" s="67"/>
      <c r="M290" s="66"/>
      <c r="R290" s="66"/>
    </row>
    <row r="291" spans="12:18" ht="14.25" customHeight="1" x14ac:dyDescent="0.3">
      <c r="L291" s="67"/>
      <c r="M291" s="66"/>
      <c r="R291" s="66"/>
    </row>
    <row r="292" spans="12:18" ht="14.25" customHeight="1" x14ac:dyDescent="0.3">
      <c r="L292" s="67"/>
      <c r="M292" s="66"/>
      <c r="R292" s="66"/>
    </row>
    <row r="293" spans="12:18" ht="14.25" customHeight="1" x14ac:dyDescent="0.3">
      <c r="L293" s="67"/>
      <c r="M293" s="66"/>
      <c r="R293" s="66"/>
    </row>
    <row r="294" spans="12:18" ht="14.25" customHeight="1" x14ac:dyDescent="0.3">
      <c r="L294" s="67"/>
      <c r="M294" s="66"/>
      <c r="R294" s="66"/>
    </row>
    <row r="295" spans="12:18" ht="14.25" customHeight="1" x14ac:dyDescent="0.3">
      <c r="L295" s="67"/>
      <c r="M295" s="66"/>
      <c r="R295" s="66"/>
    </row>
    <row r="296" spans="12:18" ht="14.25" customHeight="1" x14ac:dyDescent="0.3">
      <c r="L296" s="67"/>
      <c r="M296" s="66"/>
      <c r="R296" s="66"/>
    </row>
    <row r="297" spans="12:18" ht="14.25" customHeight="1" x14ac:dyDescent="0.3">
      <c r="L297" s="67"/>
      <c r="M297" s="66"/>
      <c r="R297" s="66"/>
    </row>
    <row r="298" spans="12:18" ht="14.25" customHeight="1" x14ac:dyDescent="0.3">
      <c r="L298" s="67"/>
      <c r="M298" s="66"/>
      <c r="R298" s="66"/>
    </row>
    <row r="299" spans="12:18" ht="14.25" customHeight="1" x14ac:dyDescent="0.3">
      <c r="L299" s="67"/>
      <c r="M299" s="66"/>
      <c r="R299" s="66"/>
    </row>
    <row r="300" spans="12:18" ht="14.25" customHeight="1" x14ac:dyDescent="0.3">
      <c r="L300" s="67"/>
      <c r="M300" s="66"/>
      <c r="R300" s="66"/>
    </row>
    <row r="301" spans="12:18" ht="14.25" customHeight="1" x14ac:dyDescent="0.3">
      <c r="L301" s="67"/>
      <c r="M301" s="66"/>
      <c r="R301" s="66"/>
    </row>
    <row r="302" spans="12:18" ht="14.25" customHeight="1" x14ac:dyDescent="0.3">
      <c r="L302" s="67"/>
      <c r="M302" s="66"/>
      <c r="R302" s="66"/>
    </row>
    <row r="303" spans="12:18" ht="14.25" customHeight="1" x14ac:dyDescent="0.3">
      <c r="L303" s="67"/>
      <c r="M303" s="66"/>
      <c r="R303" s="66"/>
    </row>
    <row r="304" spans="12:18" ht="14.25" customHeight="1" x14ac:dyDescent="0.3">
      <c r="L304" s="67"/>
      <c r="M304" s="66"/>
      <c r="R304" s="66"/>
    </row>
    <row r="305" spans="12:18" ht="14.25" customHeight="1" x14ac:dyDescent="0.3">
      <c r="L305" s="67"/>
      <c r="M305" s="66"/>
      <c r="R305" s="66"/>
    </row>
    <row r="306" spans="12:18" ht="14.25" customHeight="1" x14ac:dyDescent="0.3">
      <c r="L306" s="67"/>
      <c r="M306" s="66"/>
      <c r="R306" s="66"/>
    </row>
    <row r="307" spans="12:18" ht="14.25" customHeight="1" x14ac:dyDescent="0.3">
      <c r="L307" s="67"/>
      <c r="M307" s="66"/>
      <c r="R307" s="66"/>
    </row>
    <row r="308" spans="12:18" ht="14.25" customHeight="1" x14ac:dyDescent="0.3">
      <c r="L308" s="67"/>
      <c r="M308" s="66"/>
      <c r="R308" s="66"/>
    </row>
    <row r="309" spans="12:18" ht="14.25" customHeight="1" x14ac:dyDescent="0.3">
      <c r="L309" s="67"/>
      <c r="M309" s="66"/>
      <c r="R309" s="66"/>
    </row>
    <row r="310" spans="12:18" ht="14.25" customHeight="1" x14ac:dyDescent="0.3">
      <c r="L310" s="67"/>
      <c r="M310" s="66"/>
      <c r="R310" s="66"/>
    </row>
    <row r="311" spans="12:18" ht="14.25" customHeight="1" x14ac:dyDescent="0.3">
      <c r="L311" s="67"/>
      <c r="M311" s="66"/>
      <c r="R311" s="66"/>
    </row>
    <row r="312" spans="12:18" ht="14.25" customHeight="1" x14ac:dyDescent="0.3">
      <c r="L312" s="67"/>
      <c r="M312" s="66"/>
      <c r="R312" s="66"/>
    </row>
    <row r="313" spans="12:18" ht="14.25" customHeight="1" x14ac:dyDescent="0.3">
      <c r="L313" s="67"/>
      <c r="M313" s="66"/>
      <c r="R313" s="66"/>
    </row>
    <row r="314" spans="12:18" ht="14.25" customHeight="1" x14ac:dyDescent="0.3">
      <c r="L314" s="67"/>
      <c r="M314" s="66"/>
      <c r="R314" s="66"/>
    </row>
    <row r="315" spans="12:18" ht="14.25" customHeight="1" x14ac:dyDescent="0.3">
      <c r="L315" s="67"/>
      <c r="M315" s="66"/>
      <c r="R315" s="66"/>
    </row>
    <row r="316" spans="12:18" ht="14.25" customHeight="1" x14ac:dyDescent="0.3">
      <c r="L316" s="67"/>
      <c r="M316" s="66"/>
      <c r="R316" s="66"/>
    </row>
    <row r="317" spans="12:18" ht="14.25" customHeight="1" x14ac:dyDescent="0.3">
      <c r="L317" s="67"/>
      <c r="M317" s="66"/>
      <c r="R317" s="66"/>
    </row>
    <row r="318" spans="12:18" ht="14.25" customHeight="1" x14ac:dyDescent="0.3">
      <c r="L318" s="67"/>
      <c r="M318" s="66"/>
      <c r="R318" s="66"/>
    </row>
    <row r="319" spans="12:18" ht="14.25" customHeight="1" x14ac:dyDescent="0.3">
      <c r="L319" s="67"/>
      <c r="M319" s="66"/>
      <c r="R319" s="66"/>
    </row>
    <row r="320" spans="12:18" ht="14.25" customHeight="1" x14ac:dyDescent="0.3">
      <c r="L320" s="67"/>
      <c r="M320" s="66"/>
      <c r="R320" s="66"/>
    </row>
    <row r="321" spans="12:18" ht="14.25" customHeight="1" x14ac:dyDescent="0.3">
      <c r="L321" s="67"/>
      <c r="M321" s="66"/>
      <c r="R321" s="66"/>
    </row>
    <row r="322" spans="12:18" ht="14.25" customHeight="1" x14ac:dyDescent="0.3">
      <c r="L322" s="67"/>
      <c r="M322" s="66"/>
      <c r="R322" s="66"/>
    </row>
    <row r="323" spans="12:18" ht="14.25" customHeight="1" x14ac:dyDescent="0.3">
      <c r="L323" s="67"/>
      <c r="M323" s="66"/>
      <c r="R323" s="66"/>
    </row>
    <row r="324" spans="12:18" ht="14.25" customHeight="1" x14ac:dyDescent="0.3">
      <c r="L324" s="67"/>
      <c r="M324" s="66"/>
      <c r="R324" s="66"/>
    </row>
    <row r="325" spans="12:18" ht="14.25" customHeight="1" x14ac:dyDescent="0.3">
      <c r="L325" s="67"/>
      <c r="M325" s="66"/>
      <c r="R325" s="66"/>
    </row>
    <row r="326" spans="12:18" ht="14.25" customHeight="1" x14ac:dyDescent="0.3">
      <c r="L326" s="67"/>
      <c r="M326" s="66"/>
      <c r="R326" s="66"/>
    </row>
    <row r="327" spans="12:18" ht="14.25" customHeight="1" x14ac:dyDescent="0.3">
      <c r="L327" s="67"/>
      <c r="M327" s="66"/>
      <c r="R327" s="66"/>
    </row>
    <row r="328" spans="12:18" ht="14.25" customHeight="1" x14ac:dyDescent="0.3">
      <c r="L328" s="67"/>
      <c r="M328" s="66"/>
      <c r="R328" s="66"/>
    </row>
    <row r="329" spans="12:18" ht="14.25" customHeight="1" x14ac:dyDescent="0.3">
      <c r="L329" s="67"/>
      <c r="M329" s="66"/>
      <c r="R329" s="66"/>
    </row>
    <row r="330" spans="12:18" ht="14.25" customHeight="1" x14ac:dyDescent="0.3">
      <c r="L330" s="67"/>
      <c r="M330" s="66"/>
      <c r="R330" s="66"/>
    </row>
    <row r="331" spans="12:18" ht="14.25" customHeight="1" x14ac:dyDescent="0.3">
      <c r="L331" s="67"/>
      <c r="M331" s="66"/>
      <c r="R331" s="66"/>
    </row>
    <row r="332" spans="12:18" ht="14.25" customHeight="1" x14ac:dyDescent="0.3">
      <c r="L332" s="67"/>
      <c r="M332" s="66"/>
      <c r="R332" s="66"/>
    </row>
    <row r="333" spans="12:18" ht="14.25" customHeight="1" x14ac:dyDescent="0.3">
      <c r="L333" s="67"/>
      <c r="M333" s="66"/>
      <c r="R333" s="66"/>
    </row>
    <row r="334" spans="12:18" ht="14.25" customHeight="1" x14ac:dyDescent="0.3">
      <c r="L334" s="67"/>
      <c r="M334" s="66"/>
      <c r="R334" s="66"/>
    </row>
    <row r="335" spans="12:18" ht="14.25" customHeight="1" x14ac:dyDescent="0.3">
      <c r="L335" s="67"/>
      <c r="M335" s="66"/>
      <c r="R335" s="66"/>
    </row>
    <row r="336" spans="12:18" ht="14.25" customHeight="1" x14ac:dyDescent="0.3">
      <c r="L336" s="67"/>
      <c r="M336" s="66"/>
      <c r="R336" s="66"/>
    </row>
    <row r="337" spans="12:18" ht="14.25" customHeight="1" x14ac:dyDescent="0.3">
      <c r="L337" s="67"/>
      <c r="M337" s="66"/>
      <c r="R337" s="66"/>
    </row>
    <row r="338" spans="12:18" ht="14.25" customHeight="1" x14ac:dyDescent="0.3">
      <c r="L338" s="67"/>
      <c r="M338" s="66"/>
      <c r="R338" s="66"/>
    </row>
    <row r="339" spans="12:18" ht="14.25" customHeight="1" x14ac:dyDescent="0.3">
      <c r="L339" s="67"/>
      <c r="M339" s="66"/>
      <c r="R339" s="66"/>
    </row>
    <row r="340" spans="12:18" ht="14.25" customHeight="1" x14ac:dyDescent="0.3">
      <c r="L340" s="67"/>
      <c r="M340" s="66"/>
      <c r="R340" s="66"/>
    </row>
    <row r="341" spans="12:18" ht="14.25" customHeight="1" x14ac:dyDescent="0.3">
      <c r="L341" s="67"/>
      <c r="M341" s="66"/>
      <c r="R341" s="66"/>
    </row>
    <row r="342" spans="12:18" ht="14.25" customHeight="1" x14ac:dyDescent="0.3">
      <c r="L342" s="67"/>
      <c r="M342" s="66"/>
      <c r="R342" s="66"/>
    </row>
    <row r="343" spans="12:18" ht="14.25" customHeight="1" x14ac:dyDescent="0.3">
      <c r="L343" s="67"/>
      <c r="M343" s="66"/>
      <c r="R343" s="66"/>
    </row>
    <row r="344" spans="12:18" ht="14.25" customHeight="1" x14ac:dyDescent="0.3">
      <c r="L344" s="67"/>
      <c r="M344" s="66"/>
      <c r="R344" s="66"/>
    </row>
    <row r="345" spans="12:18" ht="14.25" customHeight="1" x14ac:dyDescent="0.3">
      <c r="L345" s="67"/>
      <c r="M345" s="66"/>
      <c r="R345" s="66"/>
    </row>
    <row r="346" spans="12:18" ht="14.25" customHeight="1" x14ac:dyDescent="0.3">
      <c r="L346" s="67"/>
      <c r="M346" s="66"/>
      <c r="R346" s="66"/>
    </row>
    <row r="347" spans="12:18" ht="14.25" customHeight="1" x14ac:dyDescent="0.3">
      <c r="L347" s="67"/>
      <c r="M347" s="66"/>
      <c r="R347" s="66"/>
    </row>
    <row r="348" spans="12:18" ht="14.25" customHeight="1" x14ac:dyDescent="0.3">
      <c r="L348" s="67"/>
      <c r="M348" s="66"/>
      <c r="R348" s="66"/>
    </row>
    <row r="349" spans="12:18" ht="14.25" customHeight="1" x14ac:dyDescent="0.3">
      <c r="L349" s="67"/>
      <c r="M349" s="66"/>
      <c r="R349" s="66"/>
    </row>
    <row r="350" spans="12:18" ht="14.25" customHeight="1" x14ac:dyDescent="0.3">
      <c r="L350" s="67"/>
      <c r="M350" s="66"/>
      <c r="R350" s="66"/>
    </row>
    <row r="351" spans="12:18" ht="14.25" customHeight="1" x14ac:dyDescent="0.3">
      <c r="L351" s="67"/>
      <c r="M351" s="66"/>
      <c r="R351" s="66"/>
    </row>
    <row r="352" spans="12:18" ht="14.25" customHeight="1" x14ac:dyDescent="0.3">
      <c r="L352" s="67"/>
      <c r="M352" s="66"/>
      <c r="R352" s="66"/>
    </row>
    <row r="353" spans="12:18" ht="14.25" customHeight="1" x14ac:dyDescent="0.3">
      <c r="L353" s="67"/>
      <c r="M353" s="66"/>
      <c r="R353" s="66"/>
    </row>
    <row r="354" spans="12:18" ht="14.25" customHeight="1" x14ac:dyDescent="0.3">
      <c r="L354" s="67"/>
      <c r="M354" s="66"/>
      <c r="R354" s="66"/>
    </row>
    <row r="355" spans="12:18" ht="14.25" customHeight="1" x14ac:dyDescent="0.3">
      <c r="L355" s="67"/>
      <c r="M355" s="66"/>
      <c r="R355" s="66"/>
    </row>
    <row r="356" spans="12:18" ht="14.25" customHeight="1" x14ac:dyDescent="0.3">
      <c r="L356" s="67"/>
      <c r="M356" s="66"/>
      <c r="R356" s="66"/>
    </row>
    <row r="357" spans="12:18" ht="14.25" customHeight="1" x14ac:dyDescent="0.3">
      <c r="L357" s="67"/>
      <c r="M357" s="66"/>
      <c r="R357" s="66"/>
    </row>
    <row r="358" spans="12:18" ht="14.25" customHeight="1" x14ac:dyDescent="0.3">
      <c r="L358" s="67"/>
      <c r="M358" s="66"/>
      <c r="R358" s="66"/>
    </row>
    <row r="359" spans="12:18" ht="14.25" customHeight="1" x14ac:dyDescent="0.3">
      <c r="L359" s="67"/>
      <c r="M359" s="66"/>
      <c r="R359" s="66"/>
    </row>
    <row r="360" spans="12:18" ht="14.25" customHeight="1" x14ac:dyDescent="0.3">
      <c r="L360" s="67"/>
      <c r="M360" s="66"/>
      <c r="R360" s="66"/>
    </row>
    <row r="361" spans="12:18" ht="14.25" customHeight="1" x14ac:dyDescent="0.3">
      <c r="L361" s="67"/>
      <c r="M361" s="66"/>
      <c r="R361" s="66"/>
    </row>
    <row r="362" spans="12:18" ht="14.25" customHeight="1" x14ac:dyDescent="0.3">
      <c r="L362" s="67"/>
      <c r="M362" s="66"/>
      <c r="R362" s="66"/>
    </row>
    <row r="363" spans="12:18" ht="14.25" customHeight="1" x14ac:dyDescent="0.3">
      <c r="L363" s="67"/>
      <c r="M363" s="66"/>
      <c r="R363" s="66"/>
    </row>
    <row r="364" spans="12:18" ht="14.25" customHeight="1" x14ac:dyDescent="0.3">
      <c r="L364" s="67"/>
      <c r="M364" s="66"/>
      <c r="R364" s="66"/>
    </row>
    <row r="365" spans="12:18" ht="14.25" customHeight="1" x14ac:dyDescent="0.3">
      <c r="L365" s="67"/>
      <c r="M365" s="66"/>
      <c r="R365" s="66"/>
    </row>
    <row r="366" spans="12:18" ht="14.25" customHeight="1" x14ac:dyDescent="0.3">
      <c r="L366" s="67"/>
      <c r="M366" s="66"/>
      <c r="R366" s="66"/>
    </row>
    <row r="367" spans="12:18" ht="14.25" customHeight="1" x14ac:dyDescent="0.3">
      <c r="L367" s="67"/>
      <c r="M367" s="66"/>
      <c r="R367" s="66"/>
    </row>
    <row r="368" spans="12:18" ht="14.25" customHeight="1" x14ac:dyDescent="0.3">
      <c r="L368" s="67"/>
      <c r="M368" s="66"/>
      <c r="R368" s="66"/>
    </row>
    <row r="369" spans="12:18" ht="14.25" customHeight="1" x14ac:dyDescent="0.3">
      <c r="L369" s="67"/>
      <c r="M369" s="66"/>
      <c r="R369" s="66"/>
    </row>
    <row r="370" spans="12:18" ht="14.25" customHeight="1" x14ac:dyDescent="0.3">
      <c r="L370" s="67"/>
      <c r="M370" s="66"/>
      <c r="R370" s="66"/>
    </row>
    <row r="371" spans="12:18" ht="14.25" customHeight="1" x14ac:dyDescent="0.3">
      <c r="L371" s="67"/>
      <c r="M371" s="66"/>
      <c r="R371" s="66"/>
    </row>
    <row r="372" spans="12:18" ht="14.25" customHeight="1" x14ac:dyDescent="0.3">
      <c r="L372" s="67"/>
      <c r="M372" s="66"/>
      <c r="R372" s="66"/>
    </row>
    <row r="373" spans="12:18" ht="14.25" customHeight="1" x14ac:dyDescent="0.3">
      <c r="L373" s="67"/>
      <c r="M373" s="66"/>
      <c r="R373" s="66"/>
    </row>
    <row r="374" spans="12:18" ht="14.25" customHeight="1" x14ac:dyDescent="0.3">
      <c r="L374" s="67"/>
      <c r="M374" s="66"/>
      <c r="R374" s="66"/>
    </row>
    <row r="375" spans="12:18" ht="14.25" customHeight="1" x14ac:dyDescent="0.3">
      <c r="L375" s="67"/>
      <c r="M375" s="66"/>
      <c r="R375" s="66"/>
    </row>
    <row r="376" spans="12:18" ht="14.25" customHeight="1" x14ac:dyDescent="0.3">
      <c r="L376" s="67"/>
      <c r="M376" s="66"/>
      <c r="R376" s="66"/>
    </row>
    <row r="377" spans="12:18" ht="14.25" customHeight="1" x14ac:dyDescent="0.3">
      <c r="L377" s="67"/>
      <c r="M377" s="66"/>
      <c r="R377" s="66"/>
    </row>
    <row r="378" spans="12:18" ht="14.25" customHeight="1" x14ac:dyDescent="0.3">
      <c r="L378" s="67"/>
      <c r="M378" s="66"/>
      <c r="R378" s="66"/>
    </row>
    <row r="379" spans="12:18" ht="14.25" customHeight="1" x14ac:dyDescent="0.3">
      <c r="L379" s="67"/>
      <c r="M379" s="66"/>
      <c r="R379" s="66"/>
    </row>
    <row r="380" spans="12:18" ht="14.25" customHeight="1" x14ac:dyDescent="0.3">
      <c r="L380" s="67"/>
      <c r="M380" s="66"/>
      <c r="R380" s="66"/>
    </row>
    <row r="381" spans="12:18" ht="14.25" customHeight="1" x14ac:dyDescent="0.3">
      <c r="L381" s="67"/>
      <c r="M381" s="66"/>
      <c r="R381" s="66"/>
    </row>
    <row r="382" spans="12:18" ht="14.25" customHeight="1" x14ac:dyDescent="0.3">
      <c r="L382" s="67"/>
      <c r="M382" s="66"/>
      <c r="R382" s="66"/>
    </row>
    <row r="383" spans="12:18" ht="14.25" customHeight="1" x14ac:dyDescent="0.3">
      <c r="L383" s="67"/>
      <c r="M383" s="66"/>
      <c r="R383" s="66"/>
    </row>
    <row r="384" spans="12:18" ht="14.25" customHeight="1" x14ac:dyDescent="0.3">
      <c r="L384" s="67"/>
      <c r="M384" s="66"/>
      <c r="R384" s="66"/>
    </row>
    <row r="385" spans="12:18" ht="14.25" customHeight="1" x14ac:dyDescent="0.3">
      <c r="L385" s="67"/>
      <c r="M385" s="66"/>
      <c r="R385" s="66"/>
    </row>
    <row r="386" spans="12:18" ht="14.25" customHeight="1" x14ac:dyDescent="0.3">
      <c r="L386" s="67"/>
      <c r="M386" s="66"/>
      <c r="R386" s="66"/>
    </row>
    <row r="387" spans="12:18" ht="14.25" customHeight="1" x14ac:dyDescent="0.3">
      <c r="L387" s="67"/>
      <c r="M387" s="66"/>
      <c r="R387" s="66"/>
    </row>
    <row r="388" spans="12:18" ht="14.25" customHeight="1" x14ac:dyDescent="0.3">
      <c r="L388" s="67"/>
      <c r="M388" s="66"/>
      <c r="R388" s="66"/>
    </row>
    <row r="389" spans="12:18" ht="14.25" customHeight="1" x14ac:dyDescent="0.3">
      <c r="L389" s="67"/>
      <c r="M389" s="66"/>
      <c r="R389" s="66"/>
    </row>
    <row r="390" spans="12:18" ht="14.25" customHeight="1" x14ac:dyDescent="0.3">
      <c r="L390" s="67"/>
      <c r="M390" s="66"/>
      <c r="R390" s="66"/>
    </row>
    <row r="391" spans="12:18" ht="14.25" customHeight="1" x14ac:dyDescent="0.3">
      <c r="L391" s="67"/>
      <c r="M391" s="66"/>
      <c r="R391" s="66"/>
    </row>
    <row r="392" spans="12:18" ht="14.25" customHeight="1" x14ac:dyDescent="0.3">
      <c r="L392" s="67"/>
      <c r="M392" s="66"/>
      <c r="R392" s="66"/>
    </row>
    <row r="393" spans="12:18" ht="14.25" customHeight="1" x14ac:dyDescent="0.3">
      <c r="L393" s="67"/>
      <c r="M393" s="66"/>
      <c r="R393" s="66"/>
    </row>
    <row r="394" spans="12:18" ht="14.25" customHeight="1" x14ac:dyDescent="0.3">
      <c r="L394" s="67"/>
      <c r="M394" s="66"/>
      <c r="R394" s="66"/>
    </row>
    <row r="395" spans="12:18" ht="14.25" customHeight="1" x14ac:dyDescent="0.3">
      <c r="L395" s="67"/>
      <c r="M395" s="66"/>
      <c r="R395" s="66"/>
    </row>
    <row r="396" spans="12:18" ht="14.25" customHeight="1" x14ac:dyDescent="0.3">
      <c r="L396" s="67"/>
      <c r="M396" s="66"/>
      <c r="R396" s="66"/>
    </row>
    <row r="397" spans="12:18" ht="14.25" customHeight="1" x14ac:dyDescent="0.3">
      <c r="L397" s="67"/>
      <c r="M397" s="66"/>
      <c r="R397" s="66"/>
    </row>
    <row r="398" spans="12:18" ht="14.25" customHeight="1" x14ac:dyDescent="0.3">
      <c r="L398" s="67"/>
      <c r="M398" s="66"/>
      <c r="R398" s="66"/>
    </row>
    <row r="399" spans="12:18" ht="14.25" customHeight="1" x14ac:dyDescent="0.3">
      <c r="L399" s="67"/>
      <c r="M399" s="66"/>
      <c r="R399" s="66"/>
    </row>
    <row r="400" spans="12:18" ht="14.25" customHeight="1" x14ac:dyDescent="0.3">
      <c r="L400" s="67"/>
      <c r="M400" s="66"/>
      <c r="R400" s="66"/>
    </row>
    <row r="401" spans="12:18" ht="14.25" customHeight="1" x14ac:dyDescent="0.3">
      <c r="L401" s="67"/>
      <c r="M401" s="66"/>
      <c r="R401" s="66"/>
    </row>
    <row r="402" spans="12:18" ht="14.25" customHeight="1" x14ac:dyDescent="0.3">
      <c r="L402" s="67"/>
      <c r="M402" s="66"/>
      <c r="R402" s="66"/>
    </row>
    <row r="403" spans="12:18" ht="14.25" customHeight="1" x14ac:dyDescent="0.3">
      <c r="L403" s="67"/>
      <c r="M403" s="66"/>
      <c r="R403" s="66"/>
    </row>
    <row r="404" spans="12:18" ht="14.25" customHeight="1" x14ac:dyDescent="0.3">
      <c r="L404" s="67"/>
      <c r="M404" s="66"/>
      <c r="R404" s="66"/>
    </row>
    <row r="405" spans="12:18" ht="14.25" customHeight="1" x14ac:dyDescent="0.3">
      <c r="L405" s="67"/>
      <c r="M405" s="66"/>
      <c r="R405" s="66"/>
    </row>
    <row r="406" spans="12:18" ht="14.25" customHeight="1" x14ac:dyDescent="0.3">
      <c r="L406" s="67"/>
      <c r="M406" s="66"/>
      <c r="R406" s="66"/>
    </row>
    <row r="407" spans="12:18" ht="14.25" customHeight="1" x14ac:dyDescent="0.3">
      <c r="L407" s="67"/>
      <c r="M407" s="66"/>
      <c r="R407" s="66"/>
    </row>
    <row r="408" spans="12:18" ht="14.25" customHeight="1" x14ac:dyDescent="0.3">
      <c r="L408" s="67"/>
      <c r="M408" s="66"/>
      <c r="R408" s="66"/>
    </row>
    <row r="409" spans="12:18" ht="14.25" customHeight="1" x14ac:dyDescent="0.3">
      <c r="L409" s="67"/>
      <c r="M409" s="66"/>
      <c r="R409" s="66"/>
    </row>
    <row r="410" spans="12:18" ht="14.25" customHeight="1" x14ac:dyDescent="0.3">
      <c r="L410" s="67"/>
      <c r="M410" s="66"/>
      <c r="R410" s="66"/>
    </row>
    <row r="411" spans="12:18" ht="14.25" customHeight="1" x14ac:dyDescent="0.3">
      <c r="L411" s="67"/>
      <c r="M411" s="66"/>
      <c r="R411" s="66"/>
    </row>
    <row r="412" spans="12:18" ht="14.25" customHeight="1" x14ac:dyDescent="0.3">
      <c r="L412" s="67"/>
      <c r="M412" s="66"/>
      <c r="R412" s="66"/>
    </row>
    <row r="413" spans="12:18" ht="14.25" customHeight="1" x14ac:dyDescent="0.3">
      <c r="L413" s="67"/>
      <c r="M413" s="66"/>
      <c r="R413" s="66"/>
    </row>
    <row r="414" spans="12:18" ht="14.25" customHeight="1" x14ac:dyDescent="0.3">
      <c r="L414" s="67"/>
      <c r="M414" s="66"/>
      <c r="R414" s="66"/>
    </row>
    <row r="415" spans="12:18" ht="14.25" customHeight="1" x14ac:dyDescent="0.3">
      <c r="L415" s="67"/>
      <c r="M415" s="66"/>
      <c r="R415" s="66"/>
    </row>
    <row r="416" spans="12:18" ht="14.25" customHeight="1" x14ac:dyDescent="0.3">
      <c r="L416" s="67"/>
      <c r="M416" s="66"/>
      <c r="R416" s="66"/>
    </row>
    <row r="417" spans="12:18" ht="14.25" customHeight="1" x14ac:dyDescent="0.3">
      <c r="L417" s="67"/>
      <c r="M417" s="66"/>
      <c r="R417" s="66"/>
    </row>
    <row r="418" spans="12:18" ht="14.25" customHeight="1" x14ac:dyDescent="0.3">
      <c r="L418" s="67"/>
      <c r="M418" s="66"/>
      <c r="R418" s="66"/>
    </row>
    <row r="419" spans="12:18" ht="14.25" customHeight="1" x14ac:dyDescent="0.3">
      <c r="L419" s="67"/>
      <c r="M419" s="66"/>
      <c r="R419" s="66"/>
    </row>
    <row r="420" spans="12:18" ht="14.25" customHeight="1" x14ac:dyDescent="0.3">
      <c r="L420" s="67"/>
      <c r="M420" s="66"/>
      <c r="R420" s="66"/>
    </row>
    <row r="421" spans="12:18" ht="14.25" customHeight="1" x14ac:dyDescent="0.3">
      <c r="L421" s="67"/>
      <c r="M421" s="66"/>
      <c r="R421" s="66"/>
    </row>
    <row r="422" spans="12:18" ht="14.25" customHeight="1" x14ac:dyDescent="0.3">
      <c r="L422" s="67"/>
      <c r="M422" s="66"/>
      <c r="R422" s="66"/>
    </row>
    <row r="423" spans="12:18" ht="14.25" customHeight="1" x14ac:dyDescent="0.3">
      <c r="L423" s="67"/>
      <c r="M423" s="66"/>
      <c r="R423" s="66"/>
    </row>
    <row r="424" spans="12:18" ht="14.25" customHeight="1" x14ac:dyDescent="0.3">
      <c r="L424" s="67"/>
      <c r="M424" s="66"/>
      <c r="R424" s="66"/>
    </row>
    <row r="425" spans="12:18" ht="14.25" customHeight="1" x14ac:dyDescent="0.3">
      <c r="L425" s="67"/>
      <c r="M425" s="66"/>
      <c r="R425" s="66"/>
    </row>
    <row r="426" spans="12:18" ht="14.25" customHeight="1" x14ac:dyDescent="0.3">
      <c r="L426" s="67"/>
      <c r="M426" s="66"/>
      <c r="R426" s="66"/>
    </row>
    <row r="427" spans="12:18" ht="14.25" customHeight="1" x14ac:dyDescent="0.3">
      <c r="L427" s="67"/>
      <c r="M427" s="66"/>
      <c r="R427" s="66"/>
    </row>
    <row r="428" spans="12:18" ht="14.25" customHeight="1" x14ac:dyDescent="0.3">
      <c r="L428" s="67"/>
      <c r="M428" s="66"/>
      <c r="R428" s="66"/>
    </row>
    <row r="429" spans="12:18" ht="14.25" customHeight="1" x14ac:dyDescent="0.3">
      <c r="L429" s="67"/>
      <c r="M429" s="66"/>
      <c r="R429" s="66"/>
    </row>
    <row r="430" spans="12:18" ht="14.25" customHeight="1" x14ac:dyDescent="0.3">
      <c r="L430" s="67"/>
      <c r="M430" s="66"/>
      <c r="R430" s="66"/>
    </row>
    <row r="431" spans="12:18" ht="14.25" customHeight="1" x14ac:dyDescent="0.3">
      <c r="L431" s="67"/>
      <c r="M431" s="66"/>
      <c r="R431" s="66"/>
    </row>
    <row r="432" spans="12:18" ht="14.25" customHeight="1" x14ac:dyDescent="0.3">
      <c r="L432" s="67"/>
      <c r="M432" s="66"/>
      <c r="R432" s="66"/>
    </row>
    <row r="433" spans="12:18" ht="14.25" customHeight="1" x14ac:dyDescent="0.3">
      <c r="L433" s="67"/>
      <c r="M433" s="66"/>
      <c r="R433" s="66"/>
    </row>
    <row r="434" spans="12:18" ht="14.25" customHeight="1" x14ac:dyDescent="0.3">
      <c r="L434" s="67"/>
      <c r="M434" s="66"/>
      <c r="R434" s="66"/>
    </row>
    <row r="435" spans="12:18" ht="14.25" customHeight="1" x14ac:dyDescent="0.3">
      <c r="L435" s="67"/>
      <c r="M435" s="66"/>
      <c r="R435" s="66"/>
    </row>
    <row r="436" spans="12:18" ht="14.25" customHeight="1" x14ac:dyDescent="0.3">
      <c r="L436" s="67"/>
      <c r="M436" s="66"/>
      <c r="R436" s="66"/>
    </row>
    <row r="437" spans="12:18" ht="14.25" customHeight="1" x14ac:dyDescent="0.3">
      <c r="L437" s="67"/>
      <c r="M437" s="66"/>
      <c r="R437" s="66"/>
    </row>
    <row r="438" spans="12:18" ht="14.25" customHeight="1" x14ac:dyDescent="0.3">
      <c r="L438" s="67"/>
      <c r="M438" s="66"/>
      <c r="R438" s="66"/>
    </row>
    <row r="439" spans="12:18" ht="14.25" customHeight="1" x14ac:dyDescent="0.3">
      <c r="L439" s="67"/>
      <c r="M439" s="66"/>
      <c r="R439" s="66"/>
    </row>
    <row r="440" spans="12:18" ht="14.25" customHeight="1" x14ac:dyDescent="0.3">
      <c r="L440" s="67"/>
      <c r="M440" s="66"/>
      <c r="R440" s="66"/>
    </row>
    <row r="441" spans="12:18" ht="14.25" customHeight="1" x14ac:dyDescent="0.3">
      <c r="L441" s="67"/>
      <c r="M441" s="66"/>
      <c r="R441" s="66"/>
    </row>
    <row r="442" spans="12:18" ht="14.25" customHeight="1" x14ac:dyDescent="0.3">
      <c r="L442" s="67"/>
      <c r="M442" s="66"/>
      <c r="R442" s="66"/>
    </row>
    <row r="443" spans="12:18" ht="14.25" customHeight="1" x14ac:dyDescent="0.3">
      <c r="L443" s="67"/>
      <c r="M443" s="66"/>
      <c r="R443" s="66"/>
    </row>
    <row r="444" spans="12:18" ht="14.25" customHeight="1" x14ac:dyDescent="0.3">
      <c r="L444" s="67"/>
      <c r="M444" s="66"/>
      <c r="R444" s="66"/>
    </row>
    <row r="445" spans="12:18" ht="14.25" customHeight="1" x14ac:dyDescent="0.3">
      <c r="L445" s="67"/>
      <c r="M445" s="66"/>
      <c r="R445" s="66"/>
    </row>
    <row r="446" spans="12:18" ht="14.25" customHeight="1" x14ac:dyDescent="0.3">
      <c r="L446" s="67"/>
      <c r="M446" s="66"/>
      <c r="R446" s="66"/>
    </row>
    <row r="447" spans="12:18" ht="14.25" customHeight="1" x14ac:dyDescent="0.3">
      <c r="L447" s="67"/>
      <c r="M447" s="66"/>
      <c r="R447" s="66"/>
    </row>
    <row r="448" spans="12:18" ht="14.25" customHeight="1" x14ac:dyDescent="0.3">
      <c r="L448" s="67"/>
      <c r="M448" s="66"/>
      <c r="R448" s="66"/>
    </row>
    <row r="449" spans="12:18" ht="14.25" customHeight="1" x14ac:dyDescent="0.3">
      <c r="L449" s="67"/>
      <c r="M449" s="66"/>
      <c r="R449" s="66"/>
    </row>
    <row r="450" spans="12:18" ht="14.25" customHeight="1" x14ac:dyDescent="0.3">
      <c r="L450" s="67"/>
      <c r="M450" s="66"/>
      <c r="R450" s="66"/>
    </row>
    <row r="451" spans="12:18" ht="14.25" customHeight="1" x14ac:dyDescent="0.3">
      <c r="L451" s="67"/>
      <c r="M451" s="66"/>
      <c r="R451" s="66"/>
    </row>
    <row r="452" spans="12:18" ht="14.25" customHeight="1" x14ac:dyDescent="0.3">
      <c r="L452" s="67"/>
      <c r="M452" s="66"/>
      <c r="R452" s="66"/>
    </row>
    <row r="453" spans="12:18" ht="14.25" customHeight="1" x14ac:dyDescent="0.3">
      <c r="L453" s="67"/>
      <c r="M453" s="66"/>
      <c r="R453" s="66"/>
    </row>
    <row r="454" spans="12:18" ht="14.25" customHeight="1" x14ac:dyDescent="0.3">
      <c r="L454" s="67"/>
      <c r="M454" s="66"/>
      <c r="R454" s="66"/>
    </row>
    <row r="455" spans="12:18" ht="14.25" customHeight="1" x14ac:dyDescent="0.3">
      <c r="L455" s="67"/>
      <c r="M455" s="66"/>
      <c r="R455" s="66"/>
    </row>
    <row r="456" spans="12:18" ht="14.25" customHeight="1" x14ac:dyDescent="0.3">
      <c r="L456" s="67"/>
      <c r="M456" s="66"/>
      <c r="R456" s="66"/>
    </row>
    <row r="457" spans="12:18" ht="14.25" customHeight="1" x14ac:dyDescent="0.3">
      <c r="L457" s="67"/>
      <c r="M457" s="66"/>
      <c r="R457" s="66"/>
    </row>
    <row r="458" spans="12:18" ht="14.25" customHeight="1" x14ac:dyDescent="0.3">
      <c r="L458" s="67"/>
      <c r="M458" s="66"/>
      <c r="R458" s="66"/>
    </row>
    <row r="459" spans="12:18" ht="14.25" customHeight="1" x14ac:dyDescent="0.3">
      <c r="L459" s="67"/>
      <c r="M459" s="66"/>
      <c r="R459" s="66"/>
    </row>
    <row r="460" spans="12:18" ht="14.25" customHeight="1" x14ac:dyDescent="0.3">
      <c r="L460" s="67"/>
      <c r="M460" s="66"/>
      <c r="R460" s="66"/>
    </row>
    <row r="461" spans="12:18" ht="14.25" customHeight="1" x14ac:dyDescent="0.3">
      <c r="L461" s="67"/>
      <c r="M461" s="66"/>
      <c r="R461" s="66"/>
    </row>
    <row r="462" spans="12:18" ht="14.25" customHeight="1" x14ac:dyDescent="0.3">
      <c r="L462" s="67"/>
      <c r="M462" s="66"/>
      <c r="R462" s="66"/>
    </row>
    <row r="463" spans="12:18" ht="14.25" customHeight="1" x14ac:dyDescent="0.3">
      <c r="L463" s="67"/>
      <c r="M463" s="66"/>
      <c r="R463" s="66"/>
    </row>
    <row r="464" spans="12:18" ht="14.25" customHeight="1" x14ac:dyDescent="0.3">
      <c r="L464" s="67"/>
      <c r="M464" s="66"/>
      <c r="R464" s="66"/>
    </row>
    <row r="465" spans="12:18" ht="14.25" customHeight="1" x14ac:dyDescent="0.3">
      <c r="L465" s="67"/>
      <c r="M465" s="66"/>
      <c r="R465" s="66"/>
    </row>
    <row r="466" spans="12:18" ht="14.25" customHeight="1" x14ac:dyDescent="0.3">
      <c r="L466" s="67"/>
      <c r="M466" s="66"/>
      <c r="R466" s="66"/>
    </row>
    <row r="467" spans="12:18" ht="14.25" customHeight="1" x14ac:dyDescent="0.3">
      <c r="L467" s="67"/>
      <c r="M467" s="66"/>
      <c r="R467" s="66"/>
    </row>
    <row r="468" spans="12:18" ht="14.25" customHeight="1" x14ac:dyDescent="0.3">
      <c r="L468" s="67"/>
      <c r="M468" s="66"/>
      <c r="R468" s="66"/>
    </row>
    <row r="469" spans="12:18" ht="14.25" customHeight="1" x14ac:dyDescent="0.3">
      <c r="L469" s="67"/>
      <c r="M469" s="66"/>
      <c r="R469" s="66"/>
    </row>
    <row r="470" spans="12:18" ht="14.25" customHeight="1" x14ac:dyDescent="0.3">
      <c r="L470" s="67"/>
      <c r="M470" s="66"/>
      <c r="R470" s="66"/>
    </row>
    <row r="471" spans="12:18" ht="14.25" customHeight="1" x14ac:dyDescent="0.3">
      <c r="L471" s="67"/>
      <c r="M471" s="66"/>
      <c r="R471" s="66"/>
    </row>
    <row r="472" spans="12:18" ht="14.25" customHeight="1" x14ac:dyDescent="0.3">
      <c r="L472" s="67"/>
      <c r="M472" s="66"/>
      <c r="R472" s="66"/>
    </row>
    <row r="473" spans="12:18" ht="14.25" customHeight="1" x14ac:dyDescent="0.3">
      <c r="L473" s="67"/>
      <c r="M473" s="66"/>
      <c r="R473" s="66"/>
    </row>
    <row r="474" spans="12:18" ht="14.25" customHeight="1" x14ac:dyDescent="0.3">
      <c r="L474" s="67"/>
      <c r="M474" s="66"/>
      <c r="R474" s="66"/>
    </row>
    <row r="475" spans="12:18" ht="14.25" customHeight="1" x14ac:dyDescent="0.3">
      <c r="L475" s="67"/>
      <c r="M475" s="66"/>
      <c r="R475" s="66"/>
    </row>
    <row r="476" spans="12:18" ht="14.25" customHeight="1" x14ac:dyDescent="0.3">
      <c r="L476" s="67"/>
      <c r="M476" s="66"/>
      <c r="R476" s="66"/>
    </row>
    <row r="477" spans="12:18" ht="14.25" customHeight="1" x14ac:dyDescent="0.3">
      <c r="L477" s="67"/>
      <c r="M477" s="66"/>
      <c r="R477" s="66"/>
    </row>
    <row r="478" spans="12:18" ht="14.25" customHeight="1" x14ac:dyDescent="0.3">
      <c r="L478" s="67"/>
      <c r="M478" s="66"/>
      <c r="R478" s="66"/>
    </row>
    <row r="479" spans="12:18" ht="14.25" customHeight="1" x14ac:dyDescent="0.3">
      <c r="L479" s="67"/>
      <c r="M479" s="66"/>
      <c r="R479" s="66"/>
    </row>
    <row r="480" spans="12:18" ht="14.25" customHeight="1" x14ac:dyDescent="0.3">
      <c r="L480" s="67"/>
      <c r="M480" s="66"/>
      <c r="R480" s="66"/>
    </row>
    <row r="481" spans="12:18" ht="14.25" customHeight="1" x14ac:dyDescent="0.3">
      <c r="L481" s="67"/>
      <c r="M481" s="66"/>
      <c r="R481" s="66"/>
    </row>
    <row r="482" spans="12:18" ht="14.25" customHeight="1" x14ac:dyDescent="0.3">
      <c r="L482" s="67"/>
      <c r="M482" s="66"/>
      <c r="R482" s="66"/>
    </row>
    <row r="483" spans="12:18" ht="14.25" customHeight="1" x14ac:dyDescent="0.3">
      <c r="L483" s="67"/>
      <c r="M483" s="66"/>
      <c r="R483" s="66"/>
    </row>
    <row r="484" spans="12:18" ht="14.25" customHeight="1" x14ac:dyDescent="0.3">
      <c r="L484" s="67"/>
      <c r="M484" s="66"/>
      <c r="R484" s="66"/>
    </row>
    <row r="485" spans="12:18" ht="14.25" customHeight="1" x14ac:dyDescent="0.3">
      <c r="L485" s="67"/>
      <c r="M485" s="66"/>
      <c r="R485" s="66"/>
    </row>
    <row r="486" spans="12:18" ht="14.25" customHeight="1" x14ac:dyDescent="0.3">
      <c r="L486" s="67"/>
      <c r="M486" s="66"/>
      <c r="R486" s="66"/>
    </row>
    <row r="487" spans="12:18" ht="14.25" customHeight="1" x14ac:dyDescent="0.3">
      <c r="L487" s="67"/>
      <c r="M487" s="66"/>
      <c r="R487" s="66"/>
    </row>
    <row r="488" spans="12:18" ht="14.25" customHeight="1" x14ac:dyDescent="0.3">
      <c r="L488" s="67"/>
      <c r="M488" s="66"/>
      <c r="R488" s="66"/>
    </row>
    <row r="489" spans="12:18" ht="14.25" customHeight="1" x14ac:dyDescent="0.3">
      <c r="L489" s="67"/>
      <c r="M489" s="66"/>
      <c r="R489" s="66"/>
    </row>
    <row r="490" spans="12:18" ht="14.25" customHeight="1" x14ac:dyDescent="0.3">
      <c r="L490" s="67"/>
      <c r="M490" s="66"/>
      <c r="R490" s="66"/>
    </row>
    <row r="491" spans="12:18" ht="14.25" customHeight="1" x14ac:dyDescent="0.3">
      <c r="L491" s="67"/>
      <c r="M491" s="66"/>
      <c r="R491" s="66"/>
    </row>
    <row r="492" spans="12:18" ht="14.25" customHeight="1" x14ac:dyDescent="0.3">
      <c r="L492" s="67"/>
      <c r="M492" s="66"/>
      <c r="R492" s="66"/>
    </row>
    <row r="493" spans="12:18" ht="14.25" customHeight="1" x14ac:dyDescent="0.3">
      <c r="L493" s="67"/>
      <c r="M493" s="66"/>
      <c r="R493" s="66"/>
    </row>
    <row r="494" spans="12:18" ht="14.25" customHeight="1" x14ac:dyDescent="0.3">
      <c r="L494" s="67"/>
      <c r="M494" s="66"/>
      <c r="R494" s="66"/>
    </row>
    <row r="495" spans="12:18" ht="14.25" customHeight="1" x14ac:dyDescent="0.3">
      <c r="L495" s="67"/>
      <c r="M495" s="66"/>
      <c r="R495" s="66"/>
    </row>
    <row r="496" spans="12:18" ht="14.25" customHeight="1" x14ac:dyDescent="0.3">
      <c r="L496" s="67"/>
      <c r="M496" s="66"/>
      <c r="R496" s="66"/>
    </row>
    <row r="497" spans="12:18" ht="14.25" customHeight="1" x14ac:dyDescent="0.3">
      <c r="L497" s="67"/>
      <c r="M497" s="66"/>
      <c r="R497" s="66"/>
    </row>
    <row r="498" spans="12:18" ht="14.25" customHeight="1" x14ac:dyDescent="0.3">
      <c r="L498" s="67"/>
      <c r="M498" s="66"/>
      <c r="R498" s="66"/>
    </row>
    <row r="499" spans="12:18" ht="14.25" customHeight="1" x14ac:dyDescent="0.3">
      <c r="L499" s="67"/>
      <c r="M499" s="66"/>
      <c r="R499" s="66"/>
    </row>
    <row r="500" spans="12:18" ht="14.25" customHeight="1" x14ac:dyDescent="0.3">
      <c r="L500" s="67"/>
      <c r="M500" s="66"/>
      <c r="R500" s="66"/>
    </row>
    <row r="501" spans="12:18" ht="14.25" customHeight="1" x14ac:dyDescent="0.3">
      <c r="L501" s="67"/>
      <c r="M501" s="66"/>
      <c r="R501" s="66"/>
    </row>
    <row r="502" spans="12:18" ht="14.25" customHeight="1" x14ac:dyDescent="0.3">
      <c r="L502" s="67"/>
      <c r="M502" s="66"/>
      <c r="R502" s="66"/>
    </row>
    <row r="503" spans="12:18" ht="14.25" customHeight="1" x14ac:dyDescent="0.3">
      <c r="L503" s="67"/>
      <c r="M503" s="66"/>
      <c r="R503" s="66"/>
    </row>
    <row r="504" spans="12:18" ht="14.25" customHeight="1" x14ac:dyDescent="0.3">
      <c r="L504" s="67"/>
      <c r="M504" s="66"/>
      <c r="R504" s="66"/>
    </row>
    <row r="505" spans="12:18" ht="14.25" customHeight="1" x14ac:dyDescent="0.3">
      <c r="L505" s="67"/>
      <c r="M505" s="66"/>
      <c r="R505" s="66"/>
    </row>
    <row r="506" spans="12:18" ht="14.25" customHeight="1" x14ac:dyDescent="0.3">
      <c r="L506" s="67"/>
      <c r="M506" s="66"/>
      <c r="R506" s="66"/>
    </row>
    <row r="507" spans="12:18" ht="14.25" customHeight="1" x14ac:dyDescent="0.3">
      <c r="L507" s="67"/>
      <c r="M507" s="66"/>
      <c r="R507" s="66"/>
    </row>
    <row r="508" spans="12:18" ht="14.25" customHeight="1" x14ac:dyDescent="0.3">
      <c r="L508" s="67"/>
      <c r="M508" s="66"/>
      <c r="R508" s="66"/>
    </row>
    <row r="509" spans="12:18" ht="14.25" customHeight="1" x14ac:dyDescent="0.3">
      <c r="L509" s="67"/>
      <c r="M509" s="66"/>
      <c r="R509" s="66"/>
    </row>
    <row r="510" spans="12:18" ht="14.25" customHeight="1" x14ac:dyDescent="0.3">
      <c r="L510" s="67"/>
      <c r="M510" s="66"/>
      <c r="R510" s="66"/>
    </row>
    <row r="511" spans="12:18" ht="14.25" customHeight="1" x14ac:dyDescent="0.3">
      <c r="L511" s="67"/>
      <c r="M511" s="66"/>
      <c r="R511" s="66"/>
    </row>
    <row r="512" spans="12:18" ht="14.25" customHeight="1" x14ac:dyDescent="0.3">
      <c r="L512" s="67"/>
      <c r="M512" s="66"/>
      <c r="R512" s="66"/>
    </row>
    <row r="513" spans="12:18" ht="14.25" customHeight="1" x14ac:dyDescent="0.3">
      <c r="L513" s="67"/>
      <c r="M513" s="66"/>
      <c r="R513" s="66"/>
    </row>
    <row r="514" spans="12:18" ht="14.25" customHeight="1" x14ac:dyDescent="0.3">
      <c r="L514" s="67"/>
      <c r="M514" s="66"/>
      <c r="R514" s="66"/>
    </row>
    <row r="515" spans="12:18" ht="14.25" customHeight="1" x14ac:dyDescent="0.3">
      <c r="L515" s="67"/>
      <c r="M515" s="66"/>
      <c r="R515" s="66"/>
    </row>
    <row r="516" spans="12:18" ht="14.25" customHeight="1" x14ac:dyDescent="0.3">
      <c r="L516" s="67"/>
      <c r="M516" s="66"/>
      <c r="R516" s="66"/>
    </row>
    <row r="517" spans="12:18" ht="14.25" customHeight="1" x14ac:dyDescent="0.3">
      <c r="L517" s="67"/>
      <c r="M517" s="66"/>
      <c r="R517" s="66"/>
    </row>
    <row r="518" spans="12:18" ht="14.25" customHeight="1" x14ac:dyDescent="0.3">
      <c r="L518" s="67"/>
      <c r="M518" s="66"/>
      <c r="R518" s="66"/>
    </row>
    <row r="519" spans="12:18" ht="14.25" customHeight="1" x14ac:dyDescent="0.3">
      <c r="L519" s="67"/>
      <c r="M519" s="66"/>
      <c r="R519" s="66"/>
    </row>
    <row r="520" spans="12:18" ht="14.25" customHeight="1" x14ac:dyDescent="0.3">
      <c r="L520" s="67"/>
      <c r="M520" s="66"/>
      <c r="R520" s="66"/>
    </row>
    <row r="521" spans="12:18" ht="14.25" customHeight="1" x14ac:dyDescent="0.3">
      <c r="L521" s="67"/>
      <c r="M521" s="66"/>
      <c r="R521" s="66"/>
    </row>
    <row r="522" spans="12:18" ht="14.25" customHeight="1" x14ac:dyDescent="0.3">
      <c r="L522" s="67"/>
      <c r="M522" s="66"/>
      <c r="R522" s="66"/>
    </row>
    <row r="523" spans="12:18" ht="14.25" customHeight="1" x14ac:dyDescent="0.3">
      <c r="L523" s="67"/>
      <c r="M523" s="66"/>
      <c r="R523" s="66"/>
    </row>
    <row r="524" spans="12:18" ht="14.25" customHeight="1" x14ac:dyDescent="0.3">
      <c r="L524" s="67"/>
      <c r="M524" s="66"/>
      <c r="R524" s="66"/>
    </row>
    <row r="525" spans="12:18" ht="14.25" customHeight="1" x14ac:dyDescent="0.3">
      <c r="L525" s="67"/>
      <c r="M525" s="66"/>
      <c r="R525" s="66"/>
    </row>
    <row r="526" spans="12:18" ht="14.25" customHeight="1" x14ac:dyDescent="0.3">
      <c r="L526" s="67"/>
      <c r="M526" s="66"/>
      <c r="R526" s="66"/>
    </row>
    <row r="527" spans="12:18" ht="14.25" customHeight="1" x14ac:dyDescent="0.3">
      <c r="L527" s="67"/>
      <c r="M527" s="66"/>
      <c r="R527" s="66"/>
    </row>
    <row r="528" spans="12:18" ht="14.25" customHeight="1" x14ac:dyDescent="0.3">
      <c r="L528" s="67"/>
      <c r="M528" s="66"/>
      <c r="R528" s="66"/>
    </row>
    <row r="529" spans="12:18" ht="14.25" customHeight="1" x14ac:dyDescent="0.3">
      <c r="L529" s="67"/>
      <c r="M529" s="66"/>
      <c r="R529" s="66"/>
    </row>
    <row r="530" spans="12:18" ht="14.25" customHeight="1" x14ac:dyDescent="0.3">
      <c r="L530" s="67"/>
      <c r="M530" s="66"/>
      <c r="R530" s="66"/>
    </row>
    <row r="531" spans="12:18" ht="14.25" customHeight="1" x14ac:dyDescent="0.3">
      <c r="L531" s="67"/>
      <c r="M531" s="66"/>
      <c r="R531" s="66"/>
    </row>
    <row r="532" spans="12:18" ht="14.25" customHeight="1" x14ac:dyDescent="0.3">
      <c r="L532" s="67"/>
      <c r="M532" s="66"/>
      <c r="R532" s="66"/>
    </row>
    <row r="533" spans="12:18" ht="14.25" customHeight="1" x14ac:dyDescent="0.3">
      <c r="L533" s="67"/>
      <c r="M533" s="66"/>
      <c r="R533" s="66"/>
    </row>
    <row r="534" spans="12:18" ht="14.25" customHeight="1" x14ac:dyDescent="0.3">
      <c r="L534" s="67"/>
      <c r="M534" s="66"/>
      <c r="R534" s="66"/>
    </row>
    <row r="535" spans="12:18" ht="14.25" customHeight="1" x14ac:dyDescent="0.3">
      <c r="L535" s="67"/>
      <c r="M535" s="66"/>
      <c r="R535" s="66"/>
    </row>
    <row r="536" spans="12:18" ht="14.25" customHeight="1" x14ac:dyDescent="0.3">
      <c r="L536" s="67"/>
      <c r="M536" s="66"/>
      <c r="R536" s="66"/>
    </row>
    <row r="537" spans="12:18" ht="14.25" customHeight="1" x14ac:dyDescent="0.3">
      <c r="L537" s="67"/>
      <c r="M537" s="66"/>
      <c r="R537" s="66"/>
    </row>
    <row r="538" spans="12:18" ht="14.25" customHeight="1" x14ac:dyDescent="0.3">
      <c r="L538" s="67"/>
      <c r="M538" s="66"/>
      <c r="R538" s="66"/>
    </row>
    <row r="539" spans="12:18" ht="14.25" customHeight="1" x14ac:dyDescent="0.3">
      <c r="L539" s="67"/>
      <c r="M539" s="66"/>
      <c r="R539" s="66"/>
    </row>
    <row r="540" spans="12:18" ht="14.25" customHeight="1" x14ac:dyDescent="0.3">
      <c r="L540" s="67"/>
      <c r="M540" s="66"/>
      <c r="R540" s="66"/>
    </row>
    <row r="541" spans="12:18" ht="14.25" customHeight="1" x14ac:dyDescent="0.3">
      <c r="L541" s="67"/>
      <c r="M541" s="66"/>
      <c r="R541" s="66"/>
    </row>
    <row r="542" spans="12:18" ht="14.25" customHeight="1" x14ac:dyDescent="0.3">
      <c r="L542" s="67"/>
      <c r="M542" s="66"/>
      <c r="R542" s="66"/>
    </row>
    <row r="543" spans="12:18" ht="14.25" customHeight="1" x14ac:dyDescent="0.3">
      <c r="L543" s="67"/>
      <c r="M543" s="66"/>
      <c r="R543" s="66"/>
    </row>
    <row r="544" spans="12:18" ht="14.25" customHeight="1" x14ac:dyDescent="0.3">
      <c r="L544" s="67"/>
      <c r="M544" s="66"/>
      <c r="R544" s="66"/>
    </row>
    <row r="545" spans="12:18" ht="14.25" customHeight="1" x14ac:dyDescent="0.3">
      <c r="L545" s="67"/>
      <c r="M545" s="66"/>
      <c r="R545" s="66"/>
    </row>
    <row r="546" spans="12:18" ht="14.25" customHeight="1" x14ac:dyDescent="0.3">
      <c r="L546" s="67"/>
      <c r="M546" s="66"/>
      <c r="R546" s="66"/>
    </row>
    <row r="547" spans="12:18" ht="14.25" customHeight="1" x14ac:dyDescent="0.3">
      <c r="L547" s="67"/>
      <c r="M547" s="66"/>
      <c r="R547" s="66"/>
    </row>
    <row r="548" spans="12:18" ht="14.25" customHeight="1" x14ac:dyDescent="0.3">
      <c r="L548" s="67"/>
      <c r="M548" s="66"/>
      <c r="R548" s="66"/>
    </row>
    <row r="549" spans="12:18" ht="14.25" customHeight="1" x14ac:dyDescent="0.3">
      <c r="L549" s="67"/>
      <c r="M549" s="66"/>
      <c r="R549" s="66"/>
    </row>
    <row r="550" spans="12:18" ht="14.25" customHeight="1" x14ac:dyDescent="0.3">
      <c r="L550" s="67"/>
      <c r="M550" s="66"/>
      <c r="R550" s="66"/>
    </row>
    <row r="551" spans="12:18" ht="14.25" customHeight="1" x14ac:dyDescent="0.3">
      <c r="L551" s="67"/>
      <c r="M551" s="66"/>
      <c r="R551" s="66"/>
    </row>
    <row r="552" spans="12:18" ht="14.25" customHeight="1" x14ac:dyDescent="0.3">
      <c r="L552" s="67"/>
      <c r="M552" s="66"/>
      <c r="R552" s="66"/>
    </row>
    <row r="553" spans="12:18" ht="14.25" customHeight="1" x14ac:dyDescent="0.3">
      <c r="L553" s="67"/>
      <c r="M553" s="66"/>
      <c r="R553" s="66"/>
    </row>
    <row r="554" spans="12:18" ht="14.25" customHeight="1" x14ac:dyDescent="0.3">
      <c r="L554" s="67"/>
      <c r="M554" s="66"/>
      <c r="R554" s="66"/>
    </row>
    <row r="555" spans="12:18" ht="14.25" customHeight="1" x14ac:dyDescent="0.3">
      <c r="L555" s="67"/>
      <c r="M555" s="66"/>
      <c r="R555" s="66"/>
    </row>
    <row r="556" spans="12:18" ht="14.25" customHeight="1" x14ac:dyDescent="0.3">
      <c r="L556" s="67"/>
      <c r="M556" s="66"/>
      <c r="R556" s="66"/>
    </row>
    <row r="557" spans="12:18" ht="14.25" customHeight="1" x14ac:dyDescent="0.3">
      <c r="L557" s="67"/>
      <c r="M557" s="66"/>
      <c r="R557" s="66"/>
    </row>
    <row r="558" spans="12:18" ht="14.25" customHeight="1" x14ac:dyDescent="0.3">
      <c r="L558" s="67"/>
      <c r="M558" s="66"/>
      <c r="R558" s="66"/>
    </row>
    <row r="559" spans="12:18" ht="14.25" customHeight="1" x14ac:dyDescent="0.3">
      <c r="L559" s="67"/>
      <c r="M559" s="66"/>
      <c r="R559" s="66"/>
    </row>
    <row r="560" spans="12:18" ht="14.25" customHeight="1" x14ac:dyDescent="0.3">
      <c r="L560" s="67"/>
      <c r="M560" s="66"/>
      <c r="R560" s="66"/>
    </row>
    <row r="561" spans="12:18" ht="14.25" customHeight="1" x14ac:dyDescent="0.3">
      <c r="L561" s="67"/>
      <c r="M561" s="66"/>
      <c r="R561" s="66"/>
    </row>
    <row r="562" spans="12:18" ht="14.25" customHeight="1" x14ac:dyDescent="0.3">
      <c r="L562" s="67"/>
      <c r="M562" s="66"/>
      <c r="R562" s="66"/>
    </row>
    <row r="563" spans="12:18" ht="14.25" customHeight="1" x14ac:dyDescent="0.3">
      <c r="L563" s="67"/>
      <c r="M563" s="66"/>
      <c r="R563" s="66"/>
    </row>
    <row r="564" spans="12:18" ht="14.25" customHeight="1" x14ac:dyDescent="0.3">
      <c r="L564" s="67"/>
      <c r="M564" s="66"/>
      <c r="R564" s="66"/>
    </row>
    <row r="565" spans="12:18" ht="14.25" customHeight="1" x14ac:dyDescent="0.3">
      <c r="L565" s="67"/>
      <c r="M565" s="66"/>
      <c r="R565" s="66"/>
    </row>
    <row r="566" spans="12:18" ht="14.25" customHeight="1" x14ac:dyDescent="0.3">
      <c r="L566" s="67"/>
      <c r="M566" s="66"/>
      <c r="R566" s="66"/>
    </row>
    <row r="567" spans="12:18" ht="14.25" customHeight="1" x14ac:dyDescent="0.3">
      <c r="L567" s="67"/>
      <c r="M567" s="66"/>
      <c r="R567" s="66"/>
    </row>
    <row r="568" spans="12:18" ht="14.25" customHeight="1" x14ac:dyDescent="0.3">
      <c r="L568" s="67"/>
      <c r="M568" s="66"/>
      <c r="R568" s="66"/>
    </row>
    <row r="569" spans="12:18" ht="14.25" customHeight="1" x14ac:dyDescent="0.3">
      <c r="L569" s="67"/>
      <c r="M569" s="66"/>
      <c r="R569" s="66"/>
    </row>
    <row r="570" spans="12:18" ht="14.25" customHeight="1" x14ac:dyDescent="0.3">
      <c r="L570" s="67"/>
      <c r="M570" s="66"/>
      <c r="R570" s="66"/>
    </row>
    <row r="571" spans="12:18" ht="14.25" customHeight="1" x14ac:dyDescent="0.3">
      <c r="L571" s="67"/>
      <c r="M571" s="66"/>
      <c r="R571" s="66"/>
    </row>
    <row r="572" spans="12:18" ht="14.25" customHeight="1" x14ac:dyDescent="0.3">
      <c r="L572" s="67"/>
      <c r="M572" s="66"/>
      <c r="R572" s="66"/>
    </row>
    <row r="573" spans="12:18" ht="14.25" customHeight="1" x14ac:dyDescent="0.3">
      <c r="L573" s="67"/>
      <c r="M573" s="66"/>
      <c r="R573" s="66"/>
    </row>
    <row r="574" spans="12:18" ht="14.25" customHeight="1" x14ac:dyDescent="0.3">
      <c r="L574" s="67"/>
      <c r="M574" s="66"/>
      <c r="R574" s="66"/>
    </row>
    <row r="575" spans="12:18" ht="14.25" customHeight="1" x14ac:dyDescent="0.3">
      <c r="L575" s="67"/>
      <c r="M575" s="66"/>
      <c r="R575" s="66"/>
    </row>
    <row r="576" spans="12:18" ht="14.25" customHeight="1" x14ac:dyDescent="0.3">
      <c r="L576" s="67"/>
      <c r="M576" s="66"/>
      <c r="R576" s="66"/>
    </row>
    <row r="577" spans="12:18" ht="14.25" customHeight="1" x14ac:dyDescent="0.3">
      <c r="L577" s="67"/>
      <c r="M577" s="66"/>
      <c r="R577" s="66"/>
    </row>
    <row r="578" spans="12:18" ht="14.25" customHeight="1" x14ac:dyDescent="0.3">
      <c r="L578" s="67"/>
      <c r="M578" s="66"/>
      <c r="R578" s="66"/>
    </row>
    <row r="579" spans="12:18" ht="14.25" customHeight="1" x14ac:dyDescent="0.3">
      <c r="L579" s="67"/>
      <c r="M579" s="66"/>
      <c r="R579" s="66"/>
    </row>
    <row r="580" spans="12:18" ht="14.25" customHeight="1" x14ac:dyDescent="0.3">
      <c r="L580" s="67"/>
      <c r="M580" s="66"/>
      <c r="R580" s="66"/>
    </row>
    <row r="581" spans="12:18" ht="14.25" customHeight="1" x14ac:dyDescent="0.3">
      <c r="L581" s="67"/>
      <c r="M581" s="66"/>
      <c r="R581" s="66"/>
    </row>
    <row r="582" spans="12:18" ht="14.25" customHeight="1" x14ac:dyDescent="0.3">
      <c r="L582" s="67"/>
      <c r="M582" s="66"/>
      <c r="R582" s="66"/>
    </row>
    <row r="583" spans="12:18" ht="14.25" customHeight="1" x14ac:dyDescent="0.3">
      <c r="L583" s="67"/>
      <c r="M583" s="66"/>
      <c r="R583" s="66"/>
    </row>
    <row r="584" spans="12:18" ht="14.25" customHeight="1" x14ac:dyDescent="0.3">
      <c r="L584" s="67"/>
      <c r="M584" s="66"/>
      <c r="R584" s="66"/>
    </row>
    <row r="585" spans="12:18" ht="14.25" customHeight="1" x14ac:dyDescent="0.3">
      <c r="L585" s="67"/>
      <c r="M585" s="66"/>
      <c r="R585" s="66"/>
    </row>
    <row r="586" spans="12:18" ht="14.25" customHeight="1" x14ac:dyDescent="0.3">
      <c r="L586" s="67"/>
      <c r="M586" s="66"/>
      <c r="R586" s="66"/>
    </row>
    <row r="587" spans="12:18" ht="14.25" customHeight="1" x14ac:dyDescent="0.3">
      <c r="L587" s="67"/>
      <c r="M587" s="66"/>
      <c r="R587" s="66"/>
    </row>
    <row r="588" spans="12:18" ht="14.25" customHeight="1" x14ac:dyDescent="0.3">
      <c r="L588" s="67"/>
      <c r="M588" s="66"/>
      <c r="R588" s="66"/>
    </row>
    <row r="589" spans="12:18" ht="14.25" customHeight="1" x14ac:dyDescent="0.3">
      <c r="L589" s="67"/>
      <c r="M589" s="66"/>
      <c r="R589" s="66"/>
    </row>
    <row r="590" spans="12:18" ht="14.25" customHeight="1" x14ac:dyDescent="0.3">
      <c r="L590" s="67"/>
      <c r="M590" s="66"/>
      <c r="R590" s="66"/>
    </row>
    <row r="591" spans="12:18" ht="14.25" customHeight="1" x14ac:dyDescent="0.3">
      <c r="L591" s="67"/>
      <c r="M591" s="66"/>
      <c r="R591" s="66"/>
    </row>
    <row r="592" spans="12:18" ht="14.25" customHeight="1" x14ac:dyDescent="0.3">
      <c r="L592" s="67"/>
      <c r="M592" s="66"/>
      <c r="R592" s="66"/>
    </row>
    <row r="593" spans="12:18" ht="14.25" customHeight="1" x14ac:dyDescent="0.3">
      <c r="L593" s="67"/>
      <c r="M593" s="66"/>
      <c r="R593" s="66"/>
    </row>
    <row r="594" spans="12:18" ht="14.25" customHeight="1" x14ac:dyDescent="0.3">
      <c r="L594" s="67"/>
      <c r="M594" s="66"/>
      <c r="R594" s="66"/>
    </row>
    <row r="595" spans="12:18" ht="14.25" customHeight="1" x14ac:dyDescent="0.3">
      <c r="L595" s="67"/>
      <c r="M595" s="66"/>
      <c r="R595" s="66"/>
    </row>
    <row r="596" spans="12:18" ht="14.25" customHeight="1" x14ac:dyDescent="0.3">
      <c r="L596" s="67"/>
      <c r="M596" s="66"/>
      <c r="R596" s="66"/>
    </row>
    <row r="597" spans="12:18" ht="14.25" customHeight="1" x14ac:dyDescent="0.3">
      <c r="L597" s="67"/>
      <c r="M597" s="66"/>
      <c r="R597" s="66"/>
    </row>
    <row r="598" spans="12:18" ht="14.25" customHeight="1" x14ac:dyDescent="0.3">
      <c r="L598" s="67"/>
      <c r="M598" s="66"/>
      <c r="R598" s="66"/>
    </row>
    <row r="599" spans="12:18" ht="14.25" customHeight="1" x14ac:dyDescent="0.3">
      <c r="L599" s="67"/>
      <c r="M599" s="66"/>
      <c r="R599" s="66"/>
    </row>
    <row r="600" spans="12:18" ht="14.25" customHeight="1" x14ac:dyDescent="0.3">
      <c r="L600" s="67"/>
      <c r="M600" s="66"/>
      <c r="R600" s="66"/>
    </row>
    <row r="601" spans="12:18" ht="14.25" customHeight="1" x14ac:dyDescent="0.3">
      <c r="L601" s="67"/>
      <c r="M601" s="66"/>
      <c r="R601" s="66"/>
    </row>
    <row r="602" spans="12:18" ht="14.25" customHeight="1" x14ac:dyDescent="0.3">
      <c r="L602" s="67"/>
      <c r="M602" s="66"/>
      <c r="R602" s="66"/>
    </row>
    <row r="603" spans="12:18" ht="14.25" customHeight="1" x14ac:dyDescent="0.3">
      <c r="L603" s="67"/>
      <c r="M603" s="66"/>
      <c r="R603" s="66"/>
    </row>
    <row r="604" spans="12:18" ht="14.25" customHeight="1" x14ac:dyDescent="0.3">
      <c r="L604" s="67"/>
      <c r="M604" s="66"/>
      <c r="R604" s="66"/>
    </row>
    <row r="605" spans="12:18" ht="14.25" customHeight="1" x14ac:dyDescent="0.3">
      <c r="L605" s="67"/>
      <c r="M605" s="66"/>
      <c r="R605" s="66"/>
    </row>
    <row r="606" spans="12:18" ht="14.25" customHeight="1" x14ac:dyDescent="0.3">
      <c r="L606" s="67"/>
      <c r="M606" s="66"/>
      <c r="R606" s="66"/>
    </row>
    <row r="607" spans="12:18" ht="14.25" customHeight="1" x14ac:dyDescent="0.3">
      <c r="L607" s="67"/>
      <c r="M607" s="66"/>
      <c r="R607" s="66"/>
    </row>
    <row r="608" spans="12:18" ht="14.25" customHeight="1" x14ac:dyDescent="0.3">
      <c r="L608" s="67"/>
      <c r="M608" s="66"/>
      <c r="R608" s="66"/>
    </row>
    <row r="609" spans="12:18" ht="14.25" customHeight="1" x14ac:dyDescent="0.3">
      <c r="L609" s="67"/>
      <c r="M609" s="66"/>
      <c r="R609" s="66"/>
    </row>
    <row r="610" spans="12:18" ht="14.25" customHeight="1" x14ac:dyDescent="0.3">
      <c r="L610" s="67"/>
      <c r="M610" s="66"/>
      <c r="R610" s="66"/>
    </row>
    <row r="611" spans="12:18" ht="14.25" customHeight="1" x14ac:dyDescent="0.3">
      <c r="L611" s="67"/>
      <c r="M611" s="66"/>
      <c r="R611" s="66"/>
    </row>
    <row r="612" spans="12:18" ht="14.25" customHeight="1" x14ac:dyDescent="0.3">
      <c r="L612" s="67"/>
      <c r="M612" s="66"/>
      <c r="R612" s="66"/>
    </row>
    <row r="613" spans="12:18" ht="14.25" customHeight="1" x14ac:dyDescent="0.3">
      <c r="L613" s="67"/>
      <c r="M613" s="66"/>
      <c r="R613" s="66"/>
    </row>
    <row r="614" spans="12:18" ht="14.25" customHeight="1" x14ac:dyDescent="0.3">
      <c r="L614" s="67"/>
      <c r="M614" s="66"/>
      <c r="R614" s="66"/>
    </row>
    <row r="615" spans="12:18" ht="14.25" customHeight="1" x14ac:dyDescent="0.3">
      <c r="L615" s="67"/>
      <c r="M615" s="66"/>
      <c r="R615" s="66"/>
    </row>
    <row r="616" spans="12:18" ht="14.25" customHeight="1" x14ac:dyDescent="0.3">
      <c r="L616" s="67"/>
      <c r="M616" s="66"/>
      <c r="R616" s="66"/>
    </row>
    <row r="617" spans="12:18" ht="14.25" customHeight="1" x14ac:dyDescent="0.3">
      <c r="L617" s="67"/>
      <c r="M617" s="66"/>
      <c r="R617" s="66"/>
    </row>
    <row r="618" spans="12:18" ht="14.25" customHeight="1" x14ac:dyDescent="0.3">
      <c r="L618" s="67"/>
      <c r="M618" s="66"/>
      <c r="R618" s="66"/>
    </row>
    <row r="619" spans="12:18" ht="14.25" customHeight="1" x14ac:dyDescent="0.3">
      <c r="L619" s="67"/>
      <c r="M619" s="66"/>
      <c r="R619" s="66"/>
    </row>
    <row r="620" spans="12:18" ht="14.25" customHeight="1" x14ac:dyDescent="0.3">
      <c r="L620" s="67"/>
      <c r="M620" s="66"/>
      <c r="R620" s="66"/>
    </row>
    <row r="621" spans="12:18" ht="14.25" customHeight="1" x14ac:dyDescent="0.3">
      <c r="L621" s="67"/>
      <c r="M621" s="66"/>
      <c r="R621" s="66"/>
    </row>
    <row r="622" spans="12:18" ht="14.25" customHeight="1" x14ac:dyDescent="0.3">
      <c r="L622" s="67"/>
      <c r="M622" s="66"/>
      <c r="R622" s="66"/>
    </row>
    <row r="623" spans="12:18" ht="14.25" customHeight="1" x14ac:dyDescent="0.3">
      <c r="L623" s="67"/>
      <c r="M623" s="66"/>
      <c r="R623" s="66"/>
    </row>
    <row r="624" spans="12:18" ht="14.25" customHeight="1" x14ac:dyDescent="0.3">
      <c r="L624" s="67"/>
      <c r="M624" s="66"/>
      <c r="R624" s="66"/>
    </row>
    <row r="625" spans="12:18" ht="14.25" customHeight="1" x14ac:dyDescent="0.3">
      <c r="L625" s="67"/>
      <c r="M625" s="66"/>
      <c r="R625" s="66"/>
    </row>
    <row r="626" spans="12:18" ht="14.25" customHeight="1" x14ac:dyDescent="0.3">
      <c r="L626" s="67"/>
      <c r="M626" s="66"/>
      <c r="R626" s="66"/>
    </row>
    <row r="627" spans="12:18" ht="14.25" customHeight="1" x14ac:dyDescent="0.3">
      <c r="L627" s="67"/>
      <c r="M627" s="66"/>
      <c r="R627" s="66"/>
    </row>
    <row r="628" spans="12:18" ht="14.25" customHeight="1" x14ac:dyDescent="0.3">
      <c r="L628" s="67"/>
      <c r="M628" s="66"/>
      <c r="R628" s="66"/>
    </row>
    <row r="629" spans="12:18" ht="14.25" customHeight="1" x14ac:dyDescent="0.3">
      <c r="L629" s="67"/>
      <c r="M629" s="66"/>
      <c r="R629" s="66"/>
    </row>
    <row r="630" spans="12:18" ht="14.25" customHeight="1" x14ac:dyDescent="0.3">
      <c r="L630" s="67"/>
      <c r="M630" s="66"/>
      <c r="R630" s="66"/>
    </row>
    <row r="631" spans="12:18" ht="14.25" customHeight="1" x14ac:dyDescent="0.3">
      <c r="L631" s="67"/>
      <c r="M631" s="66"/>
      <c r="R631" s="66"/>
    </row>
    <row r="632" spans="12:18" ht="14.25" customHeight="1" x14ac:dyDescent="0.3">
      <c r="L632" s="67"/>
      <c r="M632" s="66"/>
      <c r="R632" s="66"/>
    </row>
    <row r="633" spans="12:18" ht="14.25" customHeight="1" x14ac:dyDescent="0.3">
      <c r="L633" s="67"/>
      <c r="M633" s="66"/>
      <c r="R633" s="66"/>
    </row>
    <row r="634" spans="12:18" ht="14.25" customHeight="1" x14ac:dyDescent="0.3">
      <c r="L634" s="67"/>
      <c r="M634" s="66"/>
      <c r="R634" s="66"/>
    </row>
    <row r="635" spans="12:18" ht="14.25" customHeight="1" x14ac:dyDescent="0.3">
      <c r="L635" s="67"/>
      <c r="M635" s="66"/>
      <c r="R635" s="66"/>
    </row>
    <row r="636" spans="12:18" ht="14.25" customHeight="1" x14ac:dyDescent="0.3">
      <c r="L636" s="67"/>
      <c r="M636" s="66"/>
      <c r="R636" s="66"/>
    </row>
    <row r="637" spans="12:18" ht="14.25" customHeight="1" x14ac:dyDescent="0.3">
      <c r="L637" s="67"/>
      <c r="M637" s="66"/>
      <c r="R637" s="66"/>
    </row>
    <row r="638" spans="12:18" ht="14.25" customHeight="1" x14ac:dyDescent="0.3">
      <c r="L638" s="67"/>
      <c r="M638" s="66"/>
      <c r="R638" s="66"/>
    </row>
    <row r="639" spans="12:18" ht="14.25" customHeight="1" x14ac:dyDescent="0.3">
      <c r="L639" s="67"/>
      <c r="M639" s="66"/>
      <c r="R639" s="66"/>
    </row>
    <row r="640" spans="12:18" ht="14.25" customHeight="1" x14ac:dyDescent="0.3">
      <c r="L640" s="67"/>
      <c r="M640" s="66"/>
      <c r="R640" s="66"/>
    </row>
    <row r="641" spans="12:18" ht="14.25" customHeight="1" x14ac:dyDescent="0.3">
      <c r="L641" s="67"/>
      <c r="M641" s="66"/>
      <c r="R641" s="66"/>
    </row>
    <row r="642" spans="12:18" ht="14.25" customHeight="1" x14ac:dyDescent="0.3">
      <c r="L642" s="67"/>
      <c r="M642" s="66"/>
      <c r="R642" s="66"/>
    </row>
    <row r="643" spans="12:18" ht="14.25" customHeight="1" x14ac:dyDescent="0.3">
      <c r="L643" s="67"/>
      <c r="M643" s="66"/>
      <c r="R643" s="66"/>
    </row>
    <row r="644" spans="12:18" ht="14.25" customHeight="1" x14ac:dyDescent="0.3">
      <c r="L644" s="67"/>
      <c r="M644" s="66"/>
      <c r="R644" s="66"/>
    </row>
    <row r="645" spans="12:18" ht="14.25" customHeight="1" x14ac:dyDescent="0.3">
      <c r="L645" s="67"/>
      <c r="M645" s="66"/>
      <c r="R645" s="66"/>
    </row>
    <row r="646" spans="12:18" ht="14.25" customHeight="1" x14ac:dyDescent="0.3">
      <c r="L646" s="67"/>
      <c r="M646" s="66"/>
      <c r="R646" s="66"/>
    </row>
    <row r="647" spans="12:18" ht="14.25" customHeight="1" x14ac:dyDescent="0.3">
      <c r="L647" s="67"/>
      <c r="M647" s="66"/>
      <c r="R647" s="66"/>
    </row>
    <row r="648" spans="12:18" ht="14.25" customHeight="1" x14ac:dyDescent="0.3">
      <c r="L648" s="67"/>
      <c r="M648" s="66"/>
      <c r="R648" s="66"/>
    </row>
    <row r="649" spans="12:18" ht="14.25" customHeight="1" x14ac:dyDescent="0.3">
      <c r="L649" s="67"/>
      <c r="M649" s="66"/>
      <c r="R649" s="66"/>
    </row>
    <row r="650" spans="12:18" ht="14.25" customHeight="1" x14ac:dyDescent="0.3">
      <c r="L650" s="67"/>
      <c r="M650" s="66"/>
      <c r="R650" s="66"/>
    </row>
    <row r="651" spans="12:18" ht="14.25" customHeight="1" x14ac:dyDescent="0.3">
      <c r="L651" s="67"/>
      <c r="M651" s="66"/>
      <c r="R651" s="66"/>
    </row>
    <row r="652" spans="12:18" ht="14.25" customHeight="1" x14ac:dyDescent="0.3">
      <c r="L652" s="67"/>
      <c r="M652" s="66"/>
      <c r="R652" s="66"/>
    </row>
    <row r="653" spans="12:18" ht="14.25" customHeight="1" x14ac:dyDescent="0.3">
      <c r="L653" s="67"/>
      <c r="M653" s="66"/>
      <c r="R653" s="66"/>
    </row>
    <row r="654" spans="12:18" ht="14.25" customHeight="1" x14ac:dyDescent="0.3">
      <c r="L654" s="67"/>
      <c r="M654" s="66"/>
      <c r="R654" s="66"/>
    </row>
    <row r="655" spans="12:18" ht="14.25" customHeight="1" x14ac:dyDescent="0.3">
      <c r="L655" s="67"/>
      <c r="M655" s="66"/>
      <c r="R655" s="66"/>
    </row>
    <row r="656" spans="12:18" ht="14.25" customHeight="1" x14ac:dyDescent="0.3">
      <c r="L656" s="67"/>
      <c r="M656" s="66"/>
      <c r="R656" s="66"/>
    </row>
    <row r="657" spans="12:18" ht="14.25" customHeight="1" x14ac:dyDescent="0.3">
      <c r="L657" s="67"/>
      <c r="M657" s="66"/>
      <c r="R657" s="66"/>
    </row>
    <row r="658" spans="12:18" ht="14.25" customHeight="1" x14ac:dyDescent="0.3">
      <c r="L658" s="67"/>
      <c r="M658" s="66"/>
      <c r="R658" s="66"/>
    </row>
    <row r="659" spans="12:18" ht="14.25" customHeight="1" x14ac:dyDescent="0.3">
      <c r="L659" s="67"/>
      <c r="M659" s="66"/>
      <c r="R659" s="66"/>
    </row>
    <row r="660" spans="12:18" ht="14.25" customHeight="1" x14ac:dyDescent="0.3">
      <c r="L660" s="67"/>
      <c r="M660" s="66"/>
      <c r="R660" s="66"/>
    </row>
    <row r="661" spans="12:18" ht="14.25" customHeight="1" x14ac:dyDescent="0.3">
      <c r="L661" s="67"/>
      <c r="M661" s="66"/>
      <c r="R661" s="66"/>
    </row>
    <row r="662" spans="12:18" ht="14.25" customHeight="1" x14ac:dyDescent="0.3">
      <c r="L662" s="67"/>
      <c r="M662" s="66"/>
      <c r="R662" s="66"/>
    </row>
    <row r="663" spans="12:18" ht="14.25" customHeight="1" x14ac:dyDescent="0.3">
      <c r="L663" s="67"/>
      <c r="M663" s="66"/>
      <c r="R663" s="66"/>
    </row>
    <row r="664" spans="12:18" ht="14.25" customHeight="1" x14ac:dyDescent="0.3">
      <c r="L664" s="67"/>
      <c r="M664" s="66"/>
      <c r="R664" s="66"/>
    </row>
    <row r="665" spans="12:18" ht="14.25" customHeight="1" x14ac:dyDescent="0.3">
      <c r="L665" s="67"/>
      <c r="M665" s="66"/>
      <c r="R665" s="66"/>
    </row>
    <row r="666" spans="12:18" ht="14.25" customHeight="1" x14ac:dyDescent="0.3">
      <c r="L666" s="67"/>
      <c r="M666" s="66"/>
      <c r="R666" s="66"/>
    </row>
    <row r="667" spans="12:18" ht="14.25" customHeight="1" x14ac:dyDescent="0.3">
      <c r="L667" s="67"/>
      <c r="M667" s="66"/>
      <c r="R667" s="66"/>
    </row>
    <row r="668" spans="12:18" ht="14.25" customHeight="1" x14ac:dyDescent="0.3">
      <c r="L668" s="67"/>
      <c r="M668" s="66"/>
      <c r="R668" s="66"/>
    </row>
    <row r="669" spans="12:18" ht="14.25" customHeight="1" x14ac:dyDescent="0.3">
      <c r="L669" s="67"/>
      <c r="M669" s="66"/>
      <c r="R669" s="66"/>
    </row>
    <row r="670" spans="12:18" ht="14.25" customHeight="1" x14ac:dyDescent="0.3">
      <c r="L670" s="67"/>
      <c r="M670" s="66"/>
      <c r="R670" s="66"/>
    </row>
    <row r="671" spans="12:18" ht="14.25" customHeight="1" x14ac:dyDescent="0.3">
      <c r="L671" s="67"/>
      <c r="M671" s="66"/>
      <c r="R671" s="66"/>
    </row>
    <row r="672" spans="12:18" ht="14.25" customHeight="1" x14ac:dyDescent="0.3">
      <c r="L672" s="67"/>
      <c r="M672" s="66"/>
      <c r="R672" s="66"/>
    </row>
    <row r="673" spans="12:18" ht="14.25" customHeight="1" x14ac:dyDescent="0.3">
      <c r="L673" s="67"/>
      <c r="M673" s="66"/>
      <c r="R673" s="66"/>
    </row>
    <row r="674" spans="12:18" ht="14.25" customHeight="1" x14ac:dyDescent="0.3">
      <c r="L674" s="67"/>
      <c r="M674" s="66"/>
      <c r="R674" s="66"/>
    </row>
    <row r="675" spans="12:18" ht="14.25" customHeight="1" x14ac:dyDescent="0.3">
      <c r="L675" s="67"/>
      <c r="M675" s="66"/>
      <c r="R675" s="66"/>
    </row>
    <row r="676" spans="12:18" ht="14.25" customHeight="1" x14ac:dyDescent="0.3">
      <c r="L676" s="67"/>
      <c r="M676" s="66"/>
      <c r="R676" s="66"/>
    </row>
    <row r="677" spans="12:18" ht="14.25" customHeight="1" x14ac:dyDescent="0.3">
      <c r="L677" s="67"/>
      <c r="M677" s="66"/>
      <c r="R677" s="66"/>
    </row>
    <row r="678" spans="12:18" ht="14.25" customHeight="1" x14ac:dyDescent="0.3">
      <c r="L678" s="67"/>
      <c r="M678" s="66"/>
      <c r="R678" s="66"/>
    </row>
    <row r="679" spans="12:18" ht="14.25" customHeight="1" x14ac:dyDescent="0.3">
      <c r="L679" s="67"/>
      <c r="M679" s="66"/>
      <c r="R679" s="66"/>
    </row>
    <row r="680" spans="12:18" ht="14.25" customHeight="1" x14ac:dyDescent="0.3">
      <c r="L680" s="67"/>
      <c r="M680" s="66"/>
      <c r="R680" s="66"/>
    </row>
    <row r="681" spans="12:18" ht="14.25" customHeight="1" x14ac:dyDescent="0.3">
      <c r="L681" s="67"/>
      <c r="M681" s="66"/>
      <c r="R681" s="66"/>
    </row>
    <row r="682" spans="12:18" ht="14.25" customHeight="1" x14ac:dyDescent="0.3">
      <c r="L682" s="67"/>
      <c r="M682" s="66"/>
      <c r="R682" s="66"/>
    </row>
    <row r="683" spans="12:18" ht="14.25" customHeight="1" x14ac:dyDescent="0.3">
      <c r="L683" s="67"/>
      <c r="M683" s="66"/>
      <c r="R683" s="66"/>
    </row>
    <row r="684" spans="12:18" ht="14.25" customHeight="1" x14ac:dyDescent="0.3">
      <c r="L684" s="67"/>
      <c r="M684" s="66"/>
      <c r="R684" s="66"/>
    </row>
    <row r="685" spans="12:18" ht="14.25" customHeight="1" x14ac:dyDescent="0.3">
      <c r="L685" s="67"/>
      <c r="M685" s="66"/>
      <c r="R685" s="66"/>
    </row>
    <row r="686" spans="12:18" ht="14.25" customHeight="1" x14ac:dyDescent="0.3">
      <c r="L686" s="67"/>
      <c r="M686" s="66"/>
      <c r="R686" s="66"/>
    </row>
    <row r="687" spans="12:18" ht="14.25" customHeight="1" x14ac:dyDescent="0.3">
      <c r="L687" s="67"/>
      <c r="M687" s="66"/>
      <c r="R687" s="66"/>
    </row>
    <row r="688" spans="12:18" ht="14.25" customHeight="1" x14ac:dyDescent="0.3">
      <c r="L688" s="67"/>
      <c r="M688" s="66"/>
      <c r="R688" s="66"/>
    </row>
    <row r="689" spans="12:18" ht="14.25" customHeight="1" x14ac:dyDescent="0.3">
      <c r="L689" s="67"/>
      <c r="M689" s="66"/>
      <c r="R689" s="66"/>
    </row>
    <row r="690" spans="12:18" ht="14.25" customHeight="1" x14ac:dyDescent="0.3">
      <c r="L690" s="67"/>
      <c r="M690" s="66"/>
      <c r="R690" s="66"/>
    </row>
    <row r="691" spans="12:18" ht="14.25" customHeight="1" x14ac:dyDescent="0.3">
      <c r="L691" s="67"/>
      <c r="M691" s="66"/>
      <c r="R691" s="66"/>
    </row>
    <row r="692" spans="12:18" ht="14.25" customHeight="1" x14ac:dyDescent="0.3">
      <c r="L692" s="67"/>
      <c r="M692" s="66"/>
      <c r="R692" s="66"/>
    </row>
    <row r="693" spans="12:18" ht="14.25" customHeight="1" x14ac:dyDescent="0.3">
      <c r="L693" s="67"/>
      <c r="M693" s="66"/>
      <c r="R693" s="66"/>
    </row>
    <row r="694" spans="12:18" ht="14.25" customHeight="1" x14ac:dyDescent="0.3">
      <c r="L694" s="67"/>
      <c r="M694" s="66"/>
      <c r="R694" s="66"/>
    </row>
    <row r="695" spans="12:18" ht="14.25" customHeight="1" x14ac:dyDescent="0.3">
      <c r="L695" s="67"/>
      <c r="M695" s="66"/>
      <c r="R695" s="66"/>
    </row>
    <row r="696" spans="12:18" ht="14.25" customHeight="1" x14ac:dyDescent="0.3">
      <c r="L696" s="67"/>
      <c r="M696" s="66"/>
      <c r="R696" s="66"/>
    </row>
    <row r="697" spans="12:18" ht="14.25" customHeight="1" x14ac:dyDescent="0.3">
      <c r="L697" s="67"/>
      <c r="M697" s="66"/>
      <c r="R697" s="66"/>
    </row>
    <row r="698" spans="12:18" ht="14.25" customHeight="1" x14ac:dyDescent="0.3">
      <c r="L698" s="67"/>
      <c r="M698" s="66"/>
      <c r="R698" s="66"/>
    </row>
    <row r="699" spans="12:18" ht="14.25" customHeight="1" x14ac:dyDescent="0.3">
      <c r="L699" s="67"/>
      <c r="M699" s="66"/>
      <c r="R699" s="66"/>
    </row>
    <row r="700" spans="12:18" ht="14.25" customHeight="1" x14ac:dyDescent="0.3">
      <c r="L700" s="67"/>
      <c r="M700" s="66"/>
      <c r="R700" s="66"/>
    </row>
    <row r="701" spans="12:18" ht="14.25" customHeight="1" x14ac:dyDescent="0.3">
      <c r="L701" s="67"/>
      <c r="M701" s="66"/>
      <c r="R701" s="66"/>
    </row>
    <row r="702" spans="12:18" ht="14.25" customHeight="1" x14ac:dyDescent="0.3">
      <c r="L702" s="67"/>
      <c r="M702" s="66"/>
      <c r="R702" s="66"/>
    </row>
    <row r="703" spans="12:18" ht="14.25" customHeight="1" x14ac:dyDescent="0.3">
      <c r="L703" s="67"/>
      <c r="M703" s="66"/>
      <c r="R703" s="66"/>
    </row>
    <row r="704" spans="12:18" ht="14.25" customHeight="1" x14ac:dyDescent="0.3">
      <c r="L704" s="67"/>
      <c r="M704" s="66"/>
      <c r="R704" s="66"/>
    </row>
    <row r="705" spans="12:18" ht="14.25" customHeight="1" x14ac:dyDescent="0.3">
      <c r="L705" s="67"/>
      <c r="M705" s="66"/>
      <c r="R705" s="66"/>
    </row>
    <row r="706" spans="12:18" ht="14.25" customHeight="1" x14ac:dyDescent="0.3">
      <c r="L706" s="67"/>
      <c r="M706" s="66"/>
      <c r="R706" s="66"/>
    </row>
    <row r="707" spans="12:18" ht="14.25" customHeight="1" x14ac:dyDescent="0.3">
      <c r="L707" s="67"/>
      <c r="M707" s="66"/>
      <c r="R707" s="66"/>
    </row>
    <row r="708" spans="12:18" ht="14.25" customHeight="1" x14ac:dyDescent="0.3">
      <c r="L708" s="67"/>
      <c r="M708" s="66"/>
      <c r="R708" s="66"/>
    </row>
    <row r="709" spans="12:18" ht="14.25" customHeight="1" x14ac:dyDescent="0.3">
      <c r="L709" s="67"/>
      <c r="M709" s="66"/>
      <c r="R709" s="66"/>
    </row>
    <row r="710" spans="12:18" ht="14.25" customHeight="1" x14ac:dyDescent="0.3">
      <c r="L710" s="67"/>
      <c r="M710" s="66"/>
      <c r="R710" s="66"/>
    </row>
    <row r="711" spans="12:18" ht="14.25" customHeight="1" x14ac:dyDescent="0.3">
      <c r="L711" s="67"/>
      <c r="M711" s="66"/>
      <c r="R711" s="66"/>
    </row>
    <row r="712" spans="12:18" ht="14.25" customHeight="1" x14ac:dyDescent="0.3">
      <c r="L712" s="67"/>
      <c r="M712" s="66"/>
      <c r="R712" s="66"/>
    </row>
    <row r="713" spans="12:18" ht="14.25" customHeight="1" x14ac:dyDescent="0.3">
      <c r="L713" s="67"/>
      <c r="M713" s="66"/>
      <c r="R713" s="66"/>
    </row>
    <row r="714" spans="12:18" ht="14.25" customHeight="1" x14ac:dyDescent="0.3">
      <c r="L714" s="67"/>
      <c r="M714" s="66"/>
      <c r="R714" s="66"/>
    </row>
    <row r="715" spans="12:18" ht="14.25" customHeight="1" x14ac:dyDescent="0.3">
      <c r="L715" s="67"/>
      <c r="M715" s="66"/>
      <c r="R715" s="66"/>
    </row>
    <row r="716" spans="12:18" ht="14.25" customHeight="1" x14ac:dyDescent="0.3">
      <c r="L716" s="67"/>
      <c r="M716" s="66"/>
      <c r="R716" s="66"/>
    </row>
    <row r="717" spans="12:18" ht="14.25" customHeight="1" x14ac:dyDescent="0.3">
      <c r="L717" s="67"/>
      <c r="M717" s="66"/>
      <c r="R717" s="66"/>
    </row>
    <row r="718" spans="12:18" ht="14.25" customHeight="1" x14ac:dyDescent="0.3">
      <c r="L718" s="67"/>
      <c r="M718" s="66"/>
      <c r="R718" s="66"/>
    </row>
    <row r="719" spans="12:18" ht="14.25" customHeight="1" x14ac:dyDescent="0.3">
      <c r="L719" s="67"/>
      <c r="M719" s="66"/>
      <c r="R719" s="66"/>
    </row>
    <row r="720" spans="12:18" ht="14.25" customHeight="1" x14ac:dyDescent="0.3">
      <c r="L720" s="67"/>
      <c r="M720" s="66"/>
      <c r="R720" s="66"/>
    </row>
    <row r="721" spans="12:18" ht="14.25" customHeight="1" x14ac:dyDescent="0.3">
      <c r="L721" s="67"/>
      <c r="M721" s="66"/>
      <c r="R721" s="66"/>
    </row>
    <row r="722" spans="12:18" ht="14.25" customHeight="1" x14ac:dyDescent="0.3">
      <c r="L722" s="67"/>
      <c r="M722" s="66"/>
      <c r="R722" s="66"/>
    </row>
    <row r="723" spans="12:18" ht="14.25" customHeight="1" x14ac:dyDescent="0.3">
      <c r="L723" s="67"/>
      <c r="M723" s="66"/>
      <c r="R723" s="66"/>
    </row>
    <row r="724" spans="12:18" ht="14.25" customHeight="1" x14ac:dyDescent="0.3">
      <c r="L724" s="67"/>
      <c r="M724" s="66"/>
      <c r="R724" s="66"/>
    </row>
    <row r="725" spans="12:18" ht="14.25" customHeight="1" x14ac:dyDescent="0.3">
      <c r="L725" s="67"/>
      <c r="M725" s="66"/>
      <c r="R725" s="66"/>
    </row>
    <row r="726" spans="12:18" ht="14.25" customHeight="1" x14ac:dyDescent="0.3">
      <c r="L726" s="67"/>
      <c r="M726" s="66"/>
      <c r="R726" s="66"/>
    </row>
    <row r="727" spans="12:18" ht="14.25" customHeight="1" x14ac:dyDescent="0.3">
      <c r="L727" s="67"/>
      <c r="M727" s="66"/>
      <c r="R727" s="66"/>
    </row>
    <row r="728" spans="12:18" ht="14.25" customHeight="1" x14ac:dyDescent="0.3">
      <c r="L728" s="67"/>
      <c r="M728" s="66"/>
      <c r="R728" s="66"/>
    </row>
    <row r="729" spans="12:18" ht="14.25" customHeight="1" x14ac:dyDescent="0.3">
      <c r="L729" s="67"/>
      <c r="M729" s="66"/>
      <c r="R729" s="66"/>
    </row>
    <row r="730" spans="12:18" ht="14.25" customHeight="1" x14ac:dyDescent="0.3">
      <c r="L730" s="67"/>
      <c r="M730" s="66"/>
      <c r="R730" s="66"/>
    </row>
    <row r="731" spans="12:18" ht="14.25" customHeight="1" x14ac:dyDescent="0.3">
      <c r="L731" s="67"/>
      <c r="M731" s="66"/>
      <c r="R731" s="66"/>
    </row>
    <row r="732" spans="12:18" ht="14.25" customHeight="1" x14ac:dyDescent="0.3">
      <c r="L732" s="67"/>
      <c r="M732" s="66"/>
      <c r="R732" s="66"/>
    </row>
    <row r="733" spans="12:18" ht="14.25" customHeight="1" x14ac:dyDescent="0.3">
      <c r="L733" s="67"/>
      <c r="M733" s="66"/>
      <c r="R733" s="66"/>
    </row>
    <row r="734" spans="12:18" ht="14.25" customHeight="1" x14ac:dyDescent="0.3">
      <c r="L734" s="67"/>
      <c r="M734" s="66"/>
      <c r="R734" s="66"/>
    </row>
    <row r="735" spans="12:18" ht="14.25" customHeight="1" x14ac:dyDescent="0.3">
      <c r="L735" s="67"/>
      <c r="M735" s="66"/>
      <c r="R735" s="66"/>
    </row>
    <row r="736" spans="12:18" ht="14.25" customHeight="1" x14ac:dyDescent="0.3">
      <c r="L736" s="67"/>
      <c r="M736" s="66"/>
      <c r="R736" s="66"/>
    </row>
    <row r="737" spans="12:18" ht="14.25" customHeight="1" x14ac:dyDescent="0.3">
      <c r="L737" s="67"/>
      <c r="M737" s="66"/>
      <c r="R737" s="66"/>
    </row>
    <row r="738" spans="12:18" ht="14.25" customHeight="1" x14ac:dyDescent="0.3">
      <c r="L738" s="67"/>
      <c r="M738" s="66"/>
      <c r="R738" s="66"/>
    </row>
    <row r="739" spans="12:18" ht="14.25" customHeight="1" x14ac:dyDescent="0.3">
      <c r="L739" s="67"/>
      <c r="M739" s="66"/>
      <c r="R739" s="66"/>
    </row>
    <row r="740" spans="12:18" ht="14.25" customHeight="1" x14ac:dyDescent="0.3">
      <c r="L740" s="67"/>
      <c r="M740" s="66"/>
      <c r="R740" s="66"/>
    </row>
    <row r="741" spans="12:18" ht="14.25" customHeight="1" x14ac:dyDescent="0.3">
      <c r="L741" s="67"/>
      <c r="M741" s="66"/>
      <c r="R741" s="66"/>
    </row>
    <row r="742" spans="12:18" ht="14.25" customHeight="1" x14ac:dyDescent="0.3">
      <c r="L742" s="67"/>
      <c r="M742" s="66"/>
      <c r="R742" s="66"/>
    </row>
    <row r="743" spans="12:18" ht="14.25" customHeight="1" x14ac:dyDescent="0.3">
      <c r="L743" s="67"/>
      <c r="M743" s="66"/>
      <c r="R743" s="66"/>
    </row>
    <row r="744" spans="12:18" ht="14.25" customHeight="1" x14ac:dyDescent="0.3">
      <c r="L744" s="67"/>
      <c r="M744" s="66"/>
      <c r="R744" s="66"/>
    </row>
    <row r="745" spans="12:18" ht="14.25" customHeight="1" x14ac:dyDescent="0.3">
      <c r="L745" s="67"/>
      <c r="M745" s="66"/>
      <c r="R745" s="66"/>
    </row>
    <row r="746" spans="12:18" ht="14.25" customHeight="1" x14ac:dyDescent="0.3">
      <c r="L746" s="67"/>
      <c r="M746" s="66"/>
      <c r="R746" s="66"/>
    </row>
    <row r="747" spans="12:18" ht="14.25" customHeight="1" x14ac:dyDescent="0.3">
      <c r="L747" s="67"/>
      <c r="M747" s="66"/>
      <c r="R747" s="66"/>
    </row>
    <row r="748" spans="12:18" ht="14.25" customHeight="1" x14ac:dyDescent="0.3">
      <c r="L748" s="67"/>
      <c r="M748" s="66"/>
      <c r="R748" s="66"/>
    </row>
    <row r="749" spans="12:18" ht="14.25" customHeight="1" x14ac:dyDescent="0.3">
      <c r="L749" s="67"/>
      <c r="M749" s="66"/>
      <c r="R749" s="66"/>
    </row>
    <row r="750" spans="12:18" ht="14.25" customHeight="1" x14ac:dyDescent="0.3">
      <c r="L750" s="67"/>
      <c r="M750" s="66"/>
      <c r="R750" s="66"/>
    </row>
    <row r="751" spans="12:18" ht="14.25" customHeight="1" x14ac:dyDescent="0.3">
      <c r="L751" s="67"/>
      <c r="M751" s="66"/>
      <c r="R751" s="66"/>
    </row>
    <row r="752" spans="12:18" ht="14.25" customHeight="1" x14ac:dyDescent="0.3">
      <c r="L752" s="67"/>
      <c r="M752" s="66"/>
      <c r="R752" s="66"/>
    </row>
    <row r="753" spans="12:18" ht="14.25" customHeight="1" x14ac:dyDescent="0.3">
      <c r="L753" s="67"/>
      <c r="M753" s="66"/>
      <c r="R753" s="66"/>
    </row>
    <row r="754" spans="12:18" ht="14.25" customHeight="1" x14ac:dyDescent="0.3">
      <c r="L754" s="67"/>
      <c r="M754" s="66"/>
      <c r="R754" s="66"/>
    </row>
    <row r="755" spans="12:18" ht="14.25" customHeight="1" x14ac:dyDescent="0.3">
      <c r="L755" s="67"/>
      <c r="M755" s="66"/>
      <c r="R755" s="66"/>
    </row>
    <row r="756" spans="12:18" ht="14.25" customHeight="1" x14ac:dyDescent="0.3">
      <c r="L756" s="67"/>
      <c r="M756" s="66"/>
      <c r="R756" s="66"/>
    </row>
    <row r="757" spans="12:18" ht="14.25" customHeight="1" x14ac:dyDescent="0.3">
      <c r="L757" s="67"/>
      <c r="M757" s="66"/>
      <c r="R757" s="66"/>
    </row>
    <row r="758" spans="12:18" ht="14.25" customHeight="1" x14ac:dyDescent="0.3">
      <c r="L758" s="67"/>
      <c r="M758" s="66"/>
      <c r="R758" s="66"/>
    </row>
    <row r="759" spans="12:18" ht="14.25" customHeight="1" x14ac:dyDescent="0.3">
      <c r="L759" s="67"/>
      <c r="M759" s="66"/>
      <c r="R759" s="66"/>
    </row>
    <row r="760" spans="12:18" ht="14.25" customHeight="1" x14ac:dyDescent="0.3">
      <c r="L760" s="67"/>
      <c r="M760" s="66"/>
      <c r="R760" s="66"/>
    </row>
    <row r="761" spans="12:18" ht="14.25" customHeight="1" x14ac:dyDescent="0.3">
      <c r="L761" s="67"/>
      <c r="M761" s="66"/>
      <c r="R761" s="66"/>
    </row>
    <row r="762" spans="12:18" ht="14.25" customHeight="1" x14ac:dyDescent="0.3">
      <c r="L762" s="67"/>
      <c r="M762" s="66"/>
      <c r="R762" s="66"/>
    </row>
    <row r="763" spans="12:18" ht="14.25" customHeight="1" x14ac:dyDescent="0.3">
      <c r="L763" s="67"/>
      <c r="M763" s="66"/>
      <c r="R763" s="66"/>
    </row>
    <row r="764" spans="12:18" ht="14.25" customHeight="1" x14ac:dyDescent="0.3">
      <c r="L764" s="67"/>
      <c r="M764" s="66"/>
      <c r="R764" s="66"/>
    </row>
    <row r="765" spans="12:18" ht="14.25" customHeight="1" x14ac:dyDescent="0.3">
      <c r="L765" s="67"/>
      <c r="M765" s="66"/>
      <c r="R765" s="66"/>
    </row>
    <row r="766" spans="12:18" ht="14.25" customHeight="1" x14ac:dyDescent="0.3">
      <c r="L766" s="67"/>
      <c r="M766" s="66"/>
      <c r="R766" s="66"/>
    </row>
    <row r="767" spans="12:18" ht="14.25" customHeight="1" x14ac:dyDescent="0.3">
      <c r="L767" s="67"/>
      <c r="M767" s="66"/>
      <c r="R767" s="66"/>
    </row>
    <row r="768" spans="12:18" ht="14.25" customHeight="1" x14ac:dyDescent="0.3">
      <c r="L768" s="67"/>
      <c r="M768" s="66"/>
      <c r="R768" s="66"/>
    </row>
    <row r="769" spans="12:18" ht="14.25" customHeight="1" x14ac:dyDescent="0.3">
      <c r="L769" s="67"/>
      <c r="M769" s="66"/>
      <c r="R769" s="66"/>
    </row>
    <row r="770" spans="12:18" ht="14.25" customHeight="1" x14ac:dyDescent="0.3">
      <c r="L770" s="67"/>
      <c r="M770" s="66"/>
      <c r="R770" s="66"/>
    </row>
    <row r="771" spans="12:18" ht="14.25" customHeight="1" x14ac:dyDescent="0.3">
      <c r="L771" s="67"/>
      <c r="M771" s="66"/>
      <c r="R771" s="66"/>
    </row>
    <row r="772" spans="12:18" ht="14.25" customHeight="1" x14ac:dyDescent="0.3">
      <c r="L772" s="67"/>
      <c r="M772" s="66"/>
      <c r="R772" s="66"/>
    </row>
    <row r="773" spans="12:18" ht="14.25" customHeight="1" x14ac:dyDescent="0.3">
      <c r="L773" s="67"/>
      <c r="M773" s="66"/>
      <c r="R773" s="66"/>
    </row>
    <row r="774" spans="12:18" ht="14.25" customHeight="1" x14ac:dyDescent="0.3">
      <c r="L774" s="67"/>
      <c r="M774" s="66"/>
      <c r="R774" s="66"/>
    </row>
    <row r="775" spans="12:18" ht="14.25" customHeight="1" x14ac:dyDescent="0.3">
      <c r="L775" s="67"/>
      <c r="M775" s="66"/>
      <c r="R775" s="66"/>
    </row>
    <row r="776" spans="12:18" ht="14.25" customHeight="1" x14ac:dyDescent="0.3">
      <c r="L776" s="67"/>
      <c r="M776" s="66"/>
      <c r="R776" s="66"/>
    </row>
    <row r="777" spans="12:18" ht="14.25" customHeight="1" x14ac:dyDescent="0.3">
      <c r="L777" s="67"/>
      <c r="M777" s="66"/>
      <c r="R777" s="66"/>
    </row>
    <row r="778" spans="12:18" ht="14.25" customHeight="1" x14ac:dyDescent="0.3">
      <c r="L778" s="67"/>
      <c r="M778" s="66"/>
      <c r="R778" s="66"/>
    </row>
    <row r="779" spans="12:18" ht="14.25" customHeight="1" x14ac:dyDescent="0.3">
      <c r="L779" s="67"/>
      <c r="M779" s="66"/>
      <c r="R779" s="66"/>
    </row>
    <row r="780" spans="12:18" ht="14.25" customHeight="1" x14ac:dyDescent="0.3">
      <c r="L780" s="67"/>
      <c r="M780" s="66"/>
      <c r="R780" s="66"/>
    </row>
    <row r="781" spans="12:18" ht="14.25" customHeight="1" x14ac:dyDescent="0.3">
      <c r="L781" s="67"/>
      <c r="M781" s="66"/>
      <c r="R781" s="66"/>
    </row>
    <row r="782" spans="12:18" ht="14.25" customHeight="1" x14ac:dyDescent="0.3">
      <c r="L782" s="67"/>
      <c r="M782" s="66"/>
      <c r="R782" s="66"/>
    </row>
    <row r="783" spans="12:18" ht="14.25" customHeight="1" x14ac:dyDescent="0.3">
      <c r="L783" s="67"/>
      <c r="M783" s="66"/>
      <c r="R783" s="66"/>
    </row>
    <row r="784" spans="12:18" ht="14.25" customHeight="1" x14ac:dyDescent="0.3">
      <c r="L784" s="67"/>
      <c r="M784" s="66"/>
      <c r="R784" s="66"/>
    </row>
    <row r="785" spans="12:18" ht="14.25" customHeight="1" x14ac:dyDescent="0.3">
      <c r="L785" s="67"/>
      <c r="M785" s="66"/>
      <c r="R785" s="66"/>
    </row>
    <row r="786" spans="12:18" ht="14.25" customHeight="1" x14ac:dyDescent="0.3">
      <c r="L786" s="67"/>
      <c r="M786" s="66"/>
      <c r="R786" s="66"/>
    </row>
    <row r="787" spans="12:18" ht="14.25" customHeight="1" x14ac:dyDescent="0.3">
      <c r="L787" s="67"/>
      <c r="M787" s="66"/>
      <c r="R787" s="66"/>
    </row>
    <row r="788" spans="12:18" ht="14.25" customHeight="1" x14ac:dyDescent="0.3">
      <c r="L788" s="67"/>
      <c r="M788" s="66"/>
      <c r="R788" s="66"/>
    </row>
    <row r="789" spans="12:18" ht="14.25" customHeight="1" x14ac:dyDescent="0.3">
      <c r="L789" s="67"/>
      <c r="M789" s="66"/>
      <c r="R789" s="66"/>
    </row>
    <row r="790" spans="12:18" ht="14.25" customHeight="1" x14ac:dyDescent="0.3">
      <c r="L790" s="67"/>
      <c r="M790" s="66"/>
      <c r="R790" s="66"/>
    </row>
    <row r="791" spans="12:18" ht="14.25" customHeight="1" x14ac:dyDescent="0.3">
      <c r="L791" s="67"/>
      <c r="M791" s="66"/>
      <c r="R791" s="66"/>
    </row>
    <row r="792" spans="12:18" ht="14.25" customHeight="1" x14ac:dyDescent="0.3">
      <c r="L792" s="67"/>
      <c r="M792" s="66"/>
      <c r="R792" s="66"/>
    </row>
    <row r="793" spans="12:18" ht="14.25" customHeight="1" x14ac:dyDescent="0.3">
      <c r="L793" s="67"/>
      <c r="M793" s="66"/>
      <c r="R793" s="66"/>
    </row>
    <row r="794" spans="12:18" ht="14.25" customHeight="1" x14ac:dyDescent="0.3">
      <c r="L794" s="67"/>
      <c r="M794" s="66"/>
      <c r="R794" s="66"/>
    </row>
    <row r="795" spans="12:18" ht="14.25" customHeight="1" x14ac:dyDescent="0.3">
      <c r="L795" s="67"/>
      <c r="M795" s="66"/>
      <c r="R795" s="66"/>
    </row>
    <row r="796" spans="12:18" ht="14.25" customHeight="1" x14ac:dyDescent="0.3">
      <c r="L796" s="67"/>
      <c r="M796" s="66"/>
      <c r="R796" s="66"/>
    </row>
    <row r="797" spans="12:18" ht="14.25" customHeight="1" x14ac:dyDescent="0.3">
      <c r="L797" s="67"/>
      <c r="M797" s="66"/>
      <c r="R797" s="66"/>
    </row>
    <row r="798" spans="12:18" ht="14.25" customHeight="1" x14ac:dyDescent="0.3">
      <c r="L798" s="67"/>
      <c r="M798" s="66"/>
      <c r="R798" s="66"/>
    </row>
    <row r="799" spans="12:18" ht="14.25" customHeight="1" x14ac:dyDescent="0.3">
      <c r="L799" s="67"/>
      <c r="M799" s="66"/>
      <c r="R799" s="66"/>
    </row>
    <row r="800" spans="12:18" ht="14.25" customHeight="1" x14ac:dyDescent="0.3">
      <c r="L800" s="67"/>
      <c r="M800" s="66"/>
      <c r="R800" s="66"/>
    </row>
    <row r="801" spans="12:18" ht="14.25" customHeight="1" x14ac:dyDescent="0.3">
      <c r="L801" s="67"/>
      <c r="M801" s="66"/>
      <c r="R801" s="66"/>
    </row>
    <row r="802" spans="12:18" ht="14.25" customHeight="1" x14ac:dyDescent="0.3">
      <c r="L802" s="67"/>
      <c r="M802" s="66"/>
      <c r="R802" s="66"/>
    </row>
    <row r="803" spans="12:18" ht="14.25" customHeight="1" x14ac:dyDescent="0.3">
      <c r="L803" s="67"/>
      <c r="M803" s="66"/>
      <c r="R803" s="66"/>
    </row>
    <row r="804" spans="12:18" ht="14.25" customHeight="1" x14ac:dyDescent="0.3">
      <c r="L804" s="67"/>
      <c r="M804" s="66"/>
      <c r="R804" s="66"/>
    </row>
    <row r="805" spans="12:18" ht="14.25" customHeight="1" x14ac:dyDescent="0.3">
      <c r="L805" s="67"/>
      <c r="M805" s="66"/>
      <c r="R805" s="66"/>
    </row>
    <row r="806" spans="12:18" ht="14.25" customHeight="1" x14ac:dyDescent="0.3">
      <c r="L806" s="67"/>
      <c r="M806" s="66"/>
      <c r="R806" s="66"/>
    </row>
    <row r="807" spans="12:18" ht="14.25" customHeight="1" x14ac:dyDescent="0.3">
      <c r="L807" s="67"/>
      <c r="M807" s="66"/>
      <c r="R807" s="66"/>
    </row>
    <row r="808" spans="12:18" ht="14.25" customHeight="1" x14ac:dyDescent="0.3">
      <c r="L808" s="67"/>
      <c r="M808" s="66"/>
      <c r="R808" s="66"/>
    </row>
    <row r="809" spans="12:18" ht="14.25" customHeight="1" x14ac:dyDescent="0.3">
      <c r="L809" s="67"/>
      <c r="M809" s="66"/>
      <c r="R809" s="66"/>
    </row>
    <row r="810" spans="12:18" ht="14.25" customHeight="1" x14ac:dyDescent="0.3">
      <c r="L810" s="67"/>
      <c r="M810" s="66"/>
      <c r="R810" s="66"/>
    </row>
    <row r="811" spans="12:18" ht="14.25" customHeight="1" x14ac:dyDescent="0.3">
      <c r="L811" s="67"/>
      <c r="M811" s="66"/>
      <c r="R811" s="66"/>
    </row>
    <row r="812" spans="12:18" ht="14.25" customHeight="1" x14ac:dyDescent="0.3">
      <c r="L812" s="67"/>
      <c r="M812" s="66"/>
      <c r="R812" s="66"/>
    </row>
    <row r="813" spans="12:18" ht="14.25" customHeight="1" x14ac:dyDescent="0.3">
      <c r="L813" s="67"/>
      <c r="M813" s="66"/>
      <c r="R813" s="66"/>
    </row>
    <row r="814" spans="12:18" ht="14.25" customHeight="1" x14ac:dyDescent="0.3">
      <c r="L814" s="67"/>
      <c r="M814" s="66"/>
      <c r="R814" s="66"/>
    </row>
    <row r="815" spans="12:18" ht="14.25" customHeight="1" x14ac:dyDescent="0.3">
      <c r="L815" s="67"/>
      <c r="M815" s="66"/>
      <c r="R815" s="66"/>
    </row>
    <row r="816" spans="12:18" ht="14.25" customHeight="1" x14ac:dyDescent="0.3">
      <c r="L816" s="67"/>
      <c r="M816" s="66"/>
      <c r="R816" s="66"/>
    </row>
    <row r="817" spans="12:18" ht="14.25" customHeight="1" x14ac:dyDescent="0.3">
      <c r="L817" s="67"/>
      <c r="M817" s="66"/>
      <c r="R817" s="66"/>
    </row>
    <row r="818" spans="12:18" ht="14.25" customHeight="1" x14ac:dyDescent="0.3">
      <c r="L818" s="67"/>
      <c r="M818" s="66"/>
      <c r="R818" s="66"/>
    </row>
    <row r="819" spans="12:18" ht="14.25" customHeight="1" x14ac:dyDescent="0.3">
      <c r="L819" s="67"/>
      <c r="M819" s="66"/>
      <c r="R819" s="66"/>
    </row>
    <row r="820" spans="12:18" ht="14.25" customHeight="1" x14ac:dyDescent="0.3">
      <c r="L820" s="67"/>
      <c r="M820" s="66"/>
      <c r="R820" s="66"/>
    </row>
    <row r="821" spans="12:18" ht="14.25" customHeight="1" x14ac:dyDescent="0.3">
      <c r="L821" s="67"/>
      <c r="M821" s="66"/>
      <c r="R821" s="66"/>
    </row>
    <row r="822" spans="12:18" ht="14.25" customHeight="1" x14ac:dyDescent="0.3">
      <c r="L822" s="67"/>
      <c r="M822" s="66"/>
      <c r="R822" s="66"/>
    </row>
    <row r="823" spans="12:18" ht="14.25" customHeight="1" x14ac:dyDescent="0.3">
      <c r="L823" s="67"/>
      <c r="M823" s="66"/>
      <c r="R823" s="66"/>
    </row>
    <row r="824" spans="12:18" ht="14.25" customHeight="1" x14ac:dyDescent="0.3">
      <c r="L824" s="67"/>
      <c r="M824" s="66"/>
      <c r="R824" s="66"/>
    </row>
    <row r="825" spans="12:18" ht="14.25" customHeight="1" x14ac:dyDescent="0.3">
      <c r="L825" s="67"/>
      <c r="M825" s="66"/>
      <c r="R825" s="66"/>
    </row>
    <row r="826" spans="12:18" ht="14.25" customHeight="1" x14ac:dyDescent="0.3">
      <c r="L826" s="67"/>
      <c r="M826" s="66"/>
      <c r="R826" s="66"/>
    </row>
    <row r="827" spans="12:18" ht="14.25" customHeight="1" x14ac:dyDescent="0.3">
      <c r="L827" s="67"/>
      <c r="M827" s="66"/>
      <c r="R827" s="66"/>
    </row>
    <row r="828" spans="12:18" ht="14.25" customHeight="1" x14ac:dyDescent="0.3">
      <c r="L828" s="67"/>
      <c r="M828" s="66"/>
      <c r="R828" s="66"/>
    </row>
    <row r="829" spans="12:18" ht="14.25" customHeight="1" x14ac:dyDescent="0.3">
      <c r="L829" s="67"/>
      <c r="M829" s="66"/>
      <c r="R829" s="66"/>
    </row>
    <row r="830" spans="12:18" ht="14.25" customHeight="1" x14ac:dyDescent="0.3">
      <c r="L830" s="67"/>
      <c r="M830" s="66"/>
      <c r="R830" s="66"/>
    </row>
    <row r="831" spans="12:18" ht="14.25" customHeight="1" x14ac:dyDescent="0.3">
      <c r="L831" s="67"/>
      <c r="M831" s="66"/>
      <c r="R831" s="66"/>
    </row>
    <row r="832" spans="12:18" ht="14.25" customHeight="1" x14ac:dyDescent="0.3">
      <c r="L832" s="67"/>
      <c r="M832" s="66"/>
      <c r="R832" s="66"/>
    </row>
    <row r="833" spans="12:18" ht="14.25" customHeight="1" x14ac:dyDescent="0.3">
      <c r="L833" s="67"/>
      <c r="M833" s="66"/>
      <c r="R833" s="66"/>
    </row>
    <row r="834" spans="12:18" ht="14.25" customHeight="1" x14ac:dyDescent="0.3">
      <c r="L834" s="67"/>
      <c r="M834" s="66"/>
      <c r="R834" s="66"/>
    </row>
    <row r="835" spans="12:18" ht="14.25" customHeight="1" x14ac:dyDescent="0.3">
      <c r="L835" s="67"/>
      <c r="M835" s="66"/>
      <c r="R835" s="66"/>
    </row>
    <row r="836" spans="12:18" ht="14.25" customHeight="1" x14ac:dyDescent="0.3">
      <c r="L836" s="67"/>
      <c r="M836" s="66"/>
      <c r="R836" s="66"/>
    </row>
    <row r="837" spans="12:18" ht="14.25" customHeight="1" x14ac:dyDescent="0.3">
      <c r="L837" s="67"/>
      <c r="M837" s="66"/>
      <c r="R837" s="66"/>
    </row>
    <row r="838" spans="12:18" ht="14.25" customHeight="1" x14ac:dyDescent="0.3">
      <c r="L838" s="67"/>
      <c r="M838" s="66"/>
      <c r="R838" s="66"/>
    </row>
    <row r="839" spans="12:18" ht="14.25" customHeight="1" x14ac:dyDescent="0.3">
      <c r="L839" s="67"/>
      <c r="M839" s="66"/>
      <c r="R839" s="66"/>
    </row>
    <row r="840" spans="12:18" ht="14.25" customHeight="1" x14ac:dyDescent="0.3">
      <c r="L840" s="67"/>
      <c r="M840" s="66"/>
      <c r="R840" s="66"/>
    </row>
    <row r="841" spans="12:18" ht="14.25" customHeight="1" x14ac:dyDescent="0.3">
      <c r="L841" s="67"/>
      <c r="M841" s="66"/>
      <c r="R841" s="66"/>
    </row>
    <row r="842" spans="12:18" ht="14.25" customHeight="1" x14ac:dyDescent="0.3">
      <c r="L842" s="67"/>
      <c r="M842" s="66"/>
      <c r="R842" s="66"/>
    </row>
    <row r="843" spans="12:18" ht="14.25" customHeight="1" x14ac:dyDescent="0.3">
      <c r="L843" s="67"/>
      <c r="M843" s="66"/>
      <c r="R843" s="66"/>
    </row>
    <row r="844" spans="12:18" ht="14.25" customHeight="1" x14ac:dyDescent="0.3">
      <c r="L844" s="67"/>
      <c r="M844" s="66"/>
      <c r="R844" s="66"/>
    </row>
    <row r="845" spans="12:18" ht="14.25" customHeight="1" x14ac:dyDescent="0.3">
      <c r="L845" s="67"/>
      <c r="M845" s="66"/>
      <c r="R845" s="66"/>
    </row>
    <row r="846" spans="12:18" ht="14.25" customHeight="1" x14ac:dyDescent="0.3">
      <c r="L846" s="67"/>
      <c r="M846" s="66"/>
      <c r="R846" s="66"/>
    </row>
    <row r="847" spans="12:18" ht="14.25" customHeight="1" x14ac:dyDescent="0.3">
      <c r="L847" s="67"/>
      <c r="M847" s="66"/>
      <c r="R847" s="66"/>
    </row>
    <row r="848" spans="12:18" ht="14.25" customHeight="1" x14ac:dyDescent="0.3">
      <c r="L848" s="67"/>
      <c r="M848" s="66"/>
      <c r="R848" s="66"/>
    </row>
    <row r="849" spans="12:18" ht="14.25" customHeight="1" x14ac:dyDescent="0.3">
      <c r="L849" s="67"/>
      <c r="M849" s="66"/>
      <c r="R849" s="66"/>
    </row>
    <row r="850" spans="12:18" ht="14.25" customHeight="1" x14ac:dyDescent="0.3">
      <c r="L850" s="67"/>
      <c r="M850" s="66"/>
      <c r="R850" s="66"/>
    </row>
    <row r="851" spans="12:18" ht="14.25" customHeight="1" x14ac:dyDescent="0.3">
      <c r="L851" s="67"/>
      <c r="M851" s="66"/>
      <c r="R851" s="66"/>
    </row>
    <row r="852" spans="12:18" ht="14.25" customHeight="1" x14ac:dyDescent="0.3">
      <c r="L852" s="67"/>
      <c r="M852" s="66"/>
      <c r="R852" s="66"/>
    </row>
    <row r="853" spans="12:18" ht="14.25" customHeight="1" x14ac:dyDescent="0.3">
      <c r="L853" s="67"/>
      <c r="M853" s="66"/>
      <c r="R853" s="66"/>
    </row>
    <row r="854" spans="12:18" ht="14.25" customHeight="1" x14ac:dyDescent="0.3">
      <c r="L854" s="67"/>
      <c r="M854" s="66"/>
      <c r="R854" s="66"/>
    </row>
    <row r="855" spans="12:18" ht="14.25" customHeight="1" x14ac:dyDescent="0.3">
      <c r="L855" s="67"/>
      <c r="M855" s="66"/>
      <c r="R855" s="66"/>
    </row>
    <row r="856" spans="12:18" ht="14.25" customHeight="1" x14ac:dyDescent="0.3">
      <c r="L856" s="67"/>
      <c r="M856" s="66"/>
      <c r="R856" s="66"/>
    </row>
    <row r="857" spans="12:18" ht="14.25" customHeight="1" x14ac:dyDescent="0.3">
      <c r="L857" s="67"/>
      <c r="M857" s="66"/>
      <c r="R857" s="66"/>
    </row>
    <row r="858" spans="12:18" ht="14.25" customHeight="1" x14ac:dyDescent="0.3">
      <c r="L858" s="67"/>
      <c r="M858" s="66"/>
      <c r="R858" s="66"/>
    </row>
    <row r="859" spans="12:18" ht="14.25" customHeight="1" x14ac:dyDescent="0.3">
      <c r="L859" s="67"/>
      <c r="M859" s="66"/>
      <c r="R859" s="66"/>
    </row>
    <row r="860" spans="12:18" ht="14.25" customHeight="1" x14ac:dyDescent="0.3">
      <c r="L860" s="67"/>
      <c r="M860" s="66"/>
      <c r="R860" s="66"/>
    </row>
    <row r="861" spans="12:18" ht="14.25" customHeight="1" x14ac:dyDescent="0.3">
      <c r="L861" s="67"/>
      <c r="M861" s="66"/>
      <c r="R861" s="66"/>
    </row>
    <row r="862" spans="12:18" ht="14.25" customHeight="1" x14ac:dyDescent="0.3">
      <c r="L862" s="67"/>
      <c r="M862" s="66"/>
      <c r="R862" s="66"/>
    </row>
    <row r="863" spans="12:18" ht="14.25" customHeight="1" x14ac:dyDescent="0.3">
      <c r="L863" s="67"/>
      <c r="M863" s="66"/>
      <c r="R863" s="66"/>
    </row>
    <row r="864" spans="12:18" ht="14.25" customHeight="1" x14ac:dyDescent="0.3">
      <c r="L864" s="67"/>
      <c r="M864" s="66"/>
      <c r="R864" s="66"/>
    </row>
    <row r="865" spans="12:18" ht="14.25" customHeight="1" x14ac:dyDescent="0.3">
      <c r="L865" s="67"/>
      <c r="M865" s="66"/>
      <c r="R865" s="66"/>
    </row>
    <row r="866" spans="12:18" ht="14.25" customHeight="1" x14ac:dyDescent="0.3">
      <c r="L866" s="67"/>
      <c r="M866" s="66"/>
      <c r="R866" s="66"/>
    </row>
    <row r="867" spans="12:18" ht="14.25" customHeight="1" x14ac:dyDescent="0.3">
      <c r="L867" s="67"/>
      <c r="M867" s="66"/>
      <c r="R867" s="66"/>
    </row>
    <row r="868" spans="12:18" ht="14.25" customHeight="1" x14ac:dyDescent="0.3">
      <c r="L868" s="67"/>
      <c r="M868" s="66"/>
      <c r="R868" s="66"/>
    </row>
    <row r="869" spans="12:18" ht="14.25" customHeight="1" x14ac:dyDescent="0.3">
      <c r="L869" s="67"/>
      <c r="M869" s="66"/>
      <c r="R869" s="66"/>
    </row>
    <row r="870" spans="12:18" ht="14.25" customHeight="1" x14ac:dyDescent="0.3">
      <c r="L870" s="67"/>
      <c r="M870" s="66"/>
      <c r="R870" s="66"/>
    </row>
    <row r="871" spans="12:18" ht="14.25" customHeight="1" x14ac:dyDescent="0.3">
      <c r="L871" s="67"/>
      <c r="M871" s="66"/>
      <c r="R871" s="66"/>
    </row>
    <row r="872" spans="12:18" ht="14.25" customHeight="1" x14ac:dyDescent="0.3">
      <c r="L872" s="67"/>
      <c r="M872" s="66"/>
      <c r="R872" s="66"/>
    </row>
    <row r="873" spans="12:18" ht="14.25" customHeight="1" x14ac:dyDescent="0.3">
      <c r="L873" s="67"/>
      <c r="M873" s="66"/>
      <c r="R873" s="66"/>
    </row>
    <row r="874" spans="12:18" ht="14.25" customHeight="1" x14ac:dyDescent="0.3">
      <c r="L874" s="67"/>
      <c r="M874" s="66"/>
      <c r="R874" s="66"/>
    </row>
    <row r="875" spans="12:18" ht="14.25" customHeight="1" x14ac:dyDescent="0.3">
      <c r="L875" s="67"/>
      <c r="M875" s="66"/>
      <c r="R875" s="66"/>
    </row>
    <row r="876" spans="12:18" ht="14.25" customHeight="1" x14ac:dyDescent="0.3">
      <c r="L876" s="67"/>
      <c r="M876" s="66"/>
      <c r="R876" s="66"/>
    </row>
    <row r="877" spans="12:18" ht="14.25" customHeight="1" x14ac:dyDescent="0.3">
      <c r="L877" s="67"/>
      <c r="M877" s="66"/>
      <c r="R877" s="66"/>
    </row>
    <row r="878" spans="12:18" ht="14.25" customHeight="1" x14ac:dyDescent="0.3">
      <c r="L878" s="67"/>
      <c r="M878" s="66"/>
      <c r="R878" s="66"/>
    </row>
    <row r="879" spans="12:18" ht="14.25" customHeight="1" x14ac:dyDescent="0.3">
      <c r="L879" s="67"/>
      <c r="M879" s="66"/>
      <c r="R879" s="66"/>
    </row>
    <row r="880" spans="12:18" ht="14.25" customHeight="1" x14ac:dyDescent="0.3">
      <c r="L880" s="67"/>
      <c r="M880" s="66"/>
      <c r="R880" s="66"/>
    </row>
    <row r="881" spans="12:18" ht="14.25" customHeight="1" x14ac:dyDescent="0.3">
      <c r="L881" s="67"/>
      <c r="M881" s="66"/>
      <c r="R881" s="66"/>
    </row>
    <row r="882" spans="12:18" ht="14.25" customHeight="1" x14ac:dyDescent="0.3">
      <c r="L882" s="67"/>
      <c r="M882" s="66"/>
      <c r="R882" s="66"/>
    </row>
    <row r="883" spans="12:18" ht="14.25" customHeight="1" x14ac:dyDescent="0.3">
      <c r="L883" s="67"/>
      <c r="M883" s="66"/>
      <c r="R883" s="66"/>
    </row>
    <row r="884" spans="12:18" ht="14.25" customHeight="1" x14ac:dyDescent="0.3">
      <c r="L884" s="67"/>
      <c r="M884" s="66"/>
      <c r="R884" s="66"/>
    </row>
    <row r="885" spans="12:18" ht="14.25" customHeight="1" x14ac:dyDescent="0.3">
      <c r="L885" s="67"/>
      <c r="M885" s="66"/>
      <c r="R885" s="66"/>
    </row>
    <row r="886" spans="12:18" ht="14.25" customHeight="1" x14ac:dyDescent="0.3">
      <c r="L886" s="67"/>
      <c r="M886" s="66"/>
      <c r="R886" s="66"/>
    </row>
    <row r="887" spans="12:18" ht="14.25" customHeight="1" x14ac:dyDescent="0.3">
      <c r="L887" s="67"/>
      <c r="M887" s="66"/>
      <c r="R887" s="66"/>
    </row>
    <row r="888" spans="12:18" ht="14.25" customHeight="1" x14ac:dyDescent="0.3">
      <c r="L888" s="67"/>
      <c r="M888" s="66"/>
      <c r="R888" s="66"/>
    </row>
    <row r="889" spans="12:18" ht="14.25" customHeight="1" x14ac:dyDescent="0.3">
      <c r="L889" s="67"/>
      <c r="M889" s="66"/>
      <c r="R889" s="66"/>
    </row>
    <row r="890" spans="12:18" ht="14.25" customHeight="1" x14ac:dyDescent="0.3">
      <c r="L890" s="67"/>
      <c r="M890" s="66"/>
      <c r="R890" s="66"/>
    </row>
    <row r="891" spans="12:18" ht="14.25" customHeight="1" x14ac:dyDescent="0.3">
      <c r="L891" s="67"/>
      <c r="M891" s="66"/>
      <c r="R891" s="66"/>
    </row>
    <row r="892" spans="12:18" ht="14.25" customHeight="1" x14ac:dyDescent="0.3">
      <c r="L892" s="67"/>
      <c r="M892" s="66"/>
      <c r="R892" s="66"/>
    </row>
    <row r="893" spans="12:18" ht="14.25" customHeight="1" x14ac:dyDescent="0.3">
      <c r="L893" s="67"/>
      <c r="M893" s="66"/>
      <c r="R893" s="66"/>
    </row>
    <row r="894" spans="12:18" ht="14.25" customHeight="1" x14ac:dyDescent="0.3">
      <c r="L894" s="67"/>
      <c r="M894" s="66"/>
      <c r="R894" s="66"/>
    </row>
    <row r="895" spans="12:18" ht="14.25" customHeight="1" x14ac:dyDescent="0.3">
      <c r="L895" s="67"/>
      <c r="M895" s="66"/>
      <c r="R895" s="66"/>
    </row>
    <row r="896" spans="12:18" ht="14.25" customHeight="1" x14ac:dyDescent="0.3">
      <c r="L896" s="67"/>
      <c r="M896" s="66"/>
      <c r="R896" s="66"/>
    </row>
    <row r="897" spans="12:18" ht="14.25" customHeight="1" x14ac:dyDescent="0.3">
      <c r="L897" s="67"/>
      <c r="M897" s="66"/>
      <c r="R897" s="66"/>
    </row>
    <row r="898" spans="12:18" ht="14.25" customHeight="1" x14ac:dyDescent="0.3">
      <c r="L898" s="67"/>
      <c r="M898" s="66"/>
      <c r="R898" s="66"/>
    </row>
    <row r="899" spans="12:18" ht="14.25" customHeight="1" x14ac:dyDescent="0.3">
      <c r="L899" s="67"/>
      <c r="M899" s="66"/>
      <c r="R899" s="66"/>
    </row>
    <row r="900" spans="12:18" ht="14.25" customHeight="1" x14ac:dyDescent="0.3">
      <c r="L900" s="67"/>
      <c r="M900" s="66"/>
      <c r="R900" s="66"/>
    </row>
    <row r="901" spans="12:18" ht="14.25" customHeight="1" x14ac:dyDescent="0.3">
      <c r="L901" s="67"/>
      <c r="M901" s="66"/>
      <c r="R901" s="66"/>
    </row>
    <row r="902" spans="12:18" ht="14.25" customHeight="1" x14ac:dyDescent="0.3">
      <c r="L902" s="67"/>
      <c r="M902" s="66"/>
      <c r="R902" s="66"/>
    </row>
    <row r="903" spans="12:18" ht="14.25" customHeight="1" x14ac:dyDescent="0.3">
      <c r="L903" s="67"/>
      <c r="M903" s="66"/>
      <c r="R903" s="66"/>
    </row>
    <row r="904" spans="12:18" ht="14.25" customHeight="1" x14ac:dyDescent="0.3">
      <c r="L904" s="67"/>
      <c r="M904" s="66"/>
      <c r="R904" s="66"/>
    </row>
    <row r="905" spans="12:18" ht="14.25" customHeight="1" x14ac:dyDescent="0.3">
      <c r="L905" s="67"/>
      <c r="M905" s="66"/>
      <c r="R905" s="66"/>
    </row>
    <row r="906" spans="12:18" ht="14.25" customHeight="1" x14ac:dyDescent="0.3">
      <c r="L906" s="67"/>
      <c r="M906" s="66"/>
      <c r="R906" s="66"/>
    </row>
    <row r="907" spans="12:18" ht="14.25" customHeight="1" x14ac:dyDescent="0.3">
      <c r="L907" s="67"/>
      <c r="M907" s="66"/>
      <c r="R907" s="66"/>
    </row>
    <row r="908" spans="12:18" ht="14.25" customHeight="1" x14ac:dyDescent="0.3">
      <c r="L908" s="67"/>
      <c r="M908" s="66"/>
      <c r="R908" s="66"/>
    </row>
    <row r="909" spans="12:18" ht="14.25" customHeight="1" x14ac:dyDescent="0.3">
      <c r="L909" s="67"/>
      <c r="M909" s="66"/>
      <c r="R909" s="66"/>
    </row>
    <row r="910" spans="12:18" ht="14.25" customHeight="1" x14ac:dyDescent="0.3">
      <c r="L910" s="67"/>
      <c r="M910" s="66"/>
      <c r="R910" s="66"/>
    </row>
    <row r="911" spans="12:18" ht="14.25" customHeight="1" x14ac:dyDescent="0.3">
      <c r="L911" s="67"/>
      <c r="M911" s="66"/>
      <c r="R911" s="66"/>
    </row>
    <row r="912" spans="12:18" ht="14.25" customHeight="1" x14ac:dyDescent="0.3">
      <c r="L912" s="67"/>
      <c r="M912" s="66"/>
      <c r="R912" s="66"/>
    </row>
    <row r="913" spans="12:18" ht="14.25" customHeight="1" x14ac:dyDescent="0.3">
      <c r="L913" s="67"/>
      <c r="M913" s="66"/>
      <c r="R913" s="66"/>
    </row>
    <row r="914" spans="12:18" ht="14.25" customHeight="1" x14ac:dyDescent="0.3">
      <c r="L914" s="67"/>
      <c r="M914" s="66"/>
      <c r="R914" s="66"/>
    </row>
    <row r="915" spans="12:18" ht="14.25" customHeight="1" x14ac:dyDescent="0.3">
      <c r="L915" s="67"/>
      <c r="M915" s="66"/>
      <c r="R915" s="66"/>
    </row>
    <row r="916" spans="12:18" ht="14.25" customHeight="1" x14ac:dyDescent="0.3">
      <c r="L916" s="67"/>
      <c r="M916" s="66"/>
      <c r="R916" s="66"/>
    </row>
    <row r="917" spans="12:18" ht="14.25" customHeight="1" x14ac:dyDescent="0.3">
      <c r="L917" s="67"/>
      <c r="M917" s="66"/>
      <c r="R917" s="66"/>
    </row>
    <row r="918" spans="12:18" ht="14.25" customHeight="1" x14ac:dyDescent="0.3">
      <c r="L918" s="67"/>
      <c r="M918" s="66"/>
      <c r="R918" s="66"/>
    </row>
    <row r="919" spans="12:18" ht="14.25" customHeight="1" x14ac:dyDescent="0.3">
      <c r="L919" s="67"/>
      <c r="M919" s="66"/>
      <c r="R919" s="66"/>
    </row>
    <row r="920" spans="12:18" ht="14.25" customHeight="1" x14ac:dyDescent="0.3">
      <c r="L920" s="67"/>
      <c r="M920" s="66"/>
      <c r="R920" s="66"/>
    </row>
    <row r="921" spans="12:18" ht="14.25" customHeight="1" x14ac:dyDescent="0.3">
      <c r="L921" s="67"/>
      <c r="M921" s="66"/>
      <c r="R921" s="66"/>
    </row>
    <row r="922" spans="12:18" ht="14.25" customHeight="1" x14ac:dyDescent="0.3">
      <c r="L922" s="67"/>
      <c r="M922" s="66"/>
      <c r="R922" s="66"/>
    </row>
    <row r="923" spans="12:18" ht="14.25" customHeight="1" x14ac:dyDescent="0.3">
      <c r="L923" s="67"/>
      <c r="M923" s="66"/>
      <c r="R923" s="66"/>
    </row>
    <row r="924" spans="12:18" ht="14.25" customHeight="1" x14ac:dyDescent="0.3">
      <c r="L924" s="67"/>
      <c r="M924" s="66"/>
      <c r="R924" s="66"/>
    </row>
    <row r="925" spans="12:18" ht="14.25" customHeight="1" x14ac:dyDescent="0.3">
      <c r="L925" s="67"/>
      <c r="M925" s="66"/>
      <c r="R925" s="66"/>
    </row>
    <row r="926" spans="12:18" ht="14.25" customHeight="1" x14ac:dyDescent="0.3">
      <c r="L926" s="67"/>
      <c r="M926" s="66"/>
      <c r="R926" s="66"/>
    </row>
    <row r="927" spans="12:18" ht="14.25" customHeight="1" x14ac:dyDescent="0.3">
      <c r="L927" s="67"/>
      <c r="M927" s="66"/>
      <c r="R927" s="66"/>
    </row>
    <row r="928" spans="12:18" ht="14.25" customHeight="1" x14ac:dyDescent="0.3">
      <c r="L928" s="67"/>
      <c r="M928" s="66"/>
      <c r="R928" s="66"/>
    </row>
    <row r="929" spans="12:18" ht="14.25" customHeight="1" x14ac:dyDescent="0.3">
      <c r="L929" s="67"/>
      <c r="M929" s="66"/>
      <c r="R929" s="66"/>
    </row>
    <row r="930" spans="12:18" ht="14.25" customHeight="1" x14ac:dyDescent="0.3">
      <c r="L930" s="67"/>
      <c r="M930" s="66"/>
      <c r="R930" s="66"/>
    </row>
    <row r="931" spans="12:18" ht="14.25" customHeight="1" x14ac:dyDescent="0.3">
      <c r="L931" s="67"/>
      <c r="M931" s="66"/>
      <c r="R931" s="66"/>
    </row>
    <row r="932" spans="12:18" ht="14.25" customHeight="1" x14ac:dyDescent="0.3">
      <c r="L932" s="67"/>
      <c r="M932" s="66"/>
      <c r="R932" s="66"/>
    </row>
    <row r="933" spans="12:18" ht="14.25" customHeight="1" x14ac:dyDescent="0.3">
      <c r="L933" s="67"/>
      <c r="M933" s="66"/>
      <c r="R933" s="66"/>
    </row>
    <row r="934" spans="12:18" ht="14.25" customHeight="1" x14ac:dyDescent="0.3">
      <c r="L934" s="67"/>
      <c r="M934" s="66"/>
      <c r="R934" s="66"/>
    </row>
    <row r="935" spans="12:18" ht="14.25" customHeight="1" x14ac:dyDescent="0.3">
      <c r="L935" s="67"/>
      <c r="M935" s="66"/>
      <c r="R935" s="66"/>
    </row>
    <row r="936" spans="12:18" ht="14.25" customHeight="1" x14ac:dyDescent="0.3">
      <c r="L936" s="67"/>
      <c r="M936" s="66"/>
      <c r="R936" s="66"/>
    </row>
    <row r="937" spans="12:18" ht="14.25" customHeight="1" x14ac:dyDescent="0.3">
      <c r="L937" s="67"/>
      <c r="M937" s="66"/>
      <c r="R937" s="66"/>
    </row>
    <row r="938" spans="12:18" ht="14.25" customHeight="1" x14ac:dyDescent="0.3">
      <c r="L938" s="67"/>
      <c r="M938" s="66"/>
      <c r="R938" s="66"/>
    </row>
    <row r="939" spans="12:18" ht="14.25" customHeight="1" x14ac:dyDescent="0.3">
      <c r="L939" s="67"/>
      <c r="M939" s="66"/>
      <c r="R939" s="66"/>
    </row>
    <row r="940" spans="12:18" ht="14.25" customHeight="1" x14ac:dyDescent="0.3">
      <c r="L940" s="67"/>
      <c r="M940" s="66"/>
      <c r="R940" s="66"/>
    </row>
    <row r="941" spans="12:18" ht="14.25" customHeight="1" x14ac:dyDescent="0.3">
      <c r="L941" s="67"/>
      <c r="M941" s="66"/>
      <c r="R941" s="66"/>
    </row>
    <row r="942" spans="12:18" ht="14.25" customHeight="1" x14ac:dyDescent="0.3">
      <c r="L942" s="67"/>
      <c r="M942" s="66"/>
      <c r="R942" s="66"/>
    </row>
    <row r="943" spans="12:18" ht="14.25" customHeight="1" x14ac:dyDescent="0.3">
      <c r="L943" s="67"/>
      <c r="M943" s="66"/>
      <c r="R943" s="66"/>
    </row>
    <row r="944" spans="12:18" ht="14.25" customHeight="1" x14ac:dyDescent="0.3">
      <c r="L944" s="67"/>
      <c r="M944" s="66"/>
      <c r="R944" s="66"/>
    </row>
    <row r="945" spans="12:18" ht="14.25" customHeight="1" x14ac:dyDescent="0.3">
      <c r="L945" s="67"/>
      <c r="M945" s="66"/>
      <c r="R945" s="66"/>
    </row>
    <row r="946" spans="12:18" ht="14.25" customHeight="1" x14ac:dyDescent="0.3">
      <c r="L946" s="67"/>
      <c r="M946" s="66"/>
      <c r="R946" s="66"/>
    </row>
    <row r="947" spans="12:18" ht="14.25" customHeight="1" x14ac:dyDescent="0.3">
      <c r="L947" s="67"/>
      <c r="M947" s="66"/>
      <c r="R947" s="66"/>
    </row>
    <row r="948" spans="12:18" ht="14.25" customHeight="1" x14ac:dyDescent="0.3">
      <c r="L948" s="67"/>
      <c r="M948" s="66"/>
      <c r="R948" s="66"/>
    </row>
    <row r="949" spans="12:18" ht="14.25" customHeight="1" x14ac:dyDescent="0.3">
      <c r="L949" s="67"/>
      <c r="M949" s="66"/>
      <c r="R949" s="66"/>
    </row>
    <row r="950" spans="12:18" ht="14.25" customHeight="1" x14ac:dyDescent="0.3">
      <c r="L950" s="67"/>
      <c r="M950" s="66"/>
      <c r="R950" s="66"/>
    </row>
    <row r="951" spans="12:18" ht="14.25" customHeight="1" x14ac:dyDescent="0.3">
      <c r="L951" s="67"/>
      <c r="M951" s="66"/>
      <c r="R951" s="66"/>
    </row>
    <row r="952" spans="12:18" ht="14.25" customHeight="1" x14ac:dyDescent="0.3">
      <c r="L952" s="67"/>
      <c r="M952" s="66"/>
      <c r="R952" s="66"/>
    </row>
    <row r="953" spans="12:18" ht="14.25" customHeight="1" x14ac:dyDescent="0.3">
      <c r="L953" s="67"/>
      <c r="M953" s="66"/>
      <c r="R953" s="66"/>
    </row>
    <row r="954" spans="12:18" ht="14.25" customHeight="1" x14ac:dyDescent="0.3">
      <c r="L954" s="67"/>
      <c r="M954" s="66"/>
      <c r="R954" s="66"/>
    </row>
    <row r="955" spans="12:18" ht="14.25" customHeight="1" x14ac:dyDescent="0.3">
      <c r="L955" s="67"/>
      <c r="M955" s="66"/>
      <c r="R955" s="66"/>
    </row>
    <row r="956" spans="12:18" ht="14.25" customHeight="1" x14ac:dyDescent="0.3">
      <c r="L956" s="67"/>
      <c r="M956" s="66"/>
      <c r="R956" s="66"/>
    </row>
    <row r="957" spans="12:18" ht="14.25" customHeight="1" x14ac:dyDescent="0.3">
      <c r="L957" s="67"/>
      <c r="M957" s="66"/>
      <c r="R957" s="66"/>
    </row>
    <row r="958" spans="12:18" ht="14.25" customHeight="1" x14ac:dyDescent="0.3">
      <c r="L958" s="67"/>
      <c r="M958" s="66"/>
      <c r="R958" s="66"/>
    </row>
    <row r="959" spans="12:18" ht="14.25" customHeight="1" x14ac:dyDescent="0.3">
      <c r="L959" s="67"/>
      <c r="M959" s="66"/>
      <c r="R959" s="66"/>
    </row>
    <row r="960" spans="12:18" ht="14.25" customHeight="1" x14ac:dyDescent="0.3">
      <c r="L960" s="67"/>
      <c r="M960" s="66"/>
      <c r="R960" s="66"/>
    </row>
    <row r="961" spans="12:18" ht="14.25" customHeight="1" x14ac:dyDescent="0.3">
      <c r="L961" s="67"/>
      <c r="M961" s="66"/>
      <c r="R961" s="66"/>
    </row>
    <row r="962" spans="12:18" ht="14.25" customHeight="1" x14ac:dyDescent="0.3">
      <c r="L962" s="67"/>
      <c r="M962" s="66"/>
      <c r="R962" s="66"/>
    </row>
    <row r="963" spans="12:18" ht="14.25" customHeight="1" x14ac:dyDescent="0.3">
      <c r="L963" s="67"/>
      <c r="M963" s="66"/>
      <c r="R963" s="66"/>
    </row>
    <row r="964" spans="12:18" ht="14.25" customHeight="1" x14ac:dyDescent="0.3">
      <c r="L964" s="67"/>
      <c r="M964" s="66"/>
      <c r="R964" s="66"/>
    </row>
    <row r="965" spans="12:18" ht="14.25" customHeight="1" x14ac:dyDescent="0.3">
      <c r="L965" s="67"/>
      <c r="M965" s="66"/>
      <c r="R965" s="66"/>
    </row>
    <row r="966" spans="12:18" ht="14.25" customHeight="1" x14ac:dyDescent="0.3">
      <c r="L966" s="67"/>
      <c r="M966" s="66"/>
      <c r="R966" s="66"/>
    </row>
    <row r="967" spans="12:18" ht="14.25" customHeight="1" x14ac:dyDescent="0.3">
      <c r="L967" s="67"/>
      <c r="M967" s="66"/>
      <c r="R967" s="66"/>
    </row>
    <row r="968" spans="12:18" ht="14.25" customHeight="1" x14ac:dyDescent="0.3">
      <c r="L968" s="67"/>
      <c r="M968" s="66"/>
      <c r="R968" s="66"/>
    </row>
    <row r="969" spans="12:18" ht="14.25" customHeight="1" x14ac:dyDescent="0.3">
      <c r="L969" s="67"/>
      <c r="M969" s="66"/>
      <c r="R969" s="66"/>
    </row>
    <row r="970" spans="12:18" ht="14.25" customHeight="1" x14ac:dyDescent="0.3">
      <c r="L970" s="67"/>
      <c r="M970" s="66"/>
      <c r="R970" s="66"/>
    </row>
    <row r="971" spans="12:18" ht="14.25" customHeight="1" x14ac:dyDescent="0.3">
      <c r="L971" s="67"/>
      <c r="M971" s="66"/>
      <c r="R971" s="66"/>
    </row>
    <row r="972" spans="12:18" ht="14.25" customHeight="1" x14ac:dyDescent="0.3">
      <c r="L972" s="67"/>
      <c r="M972" s="66"/>
      <c r="R972" s="66"/>
    </row>
    <row r="973" spans="12:18" ht="14.25" customHeight="1" x14ac:dyDescent="0.3">
      <c r="L973" s="67"/>
      <c r="M973" s="66"/>
      <c r="R973" s="66"/>
    </row>
    <row r="974" spans="12:18" ht="14.25" customHeight="1" x14ac:dyDescent="0.3">
      <c r="L974" s="67"/>
      <c r="M974" s="66"/>
      <c r="R974" s="66"/>
    </row>
    <row r="975" spans="12:18" ht="14.25" customHeight="1" x14ac:dyDescent="0.3">
      <c r="L975" s="67"/>
      <c r="M975" s="66"/>
      <c r="R975" s="66"/>
    </row>
    <row r="976" spans="12:18" ht="14.25" customHeight="1" x14ac:dyDescent="0.3">
      <c r="L976" s="67"/>
      <c r="M976" s="66"/>
      <c r="R976" s="66"/>
    </row>
    <row r="977" spans="12:18" ht="14.25" customHeight="1" x14ac:dyDescent="0.3">
      <c r="L977" s="67"/>
      <c r="M977" s="66"/>
      <c r="R977" s="66"/>
    </row>
    <row r="978" spans="12:18" ht="14.25" customHeight="1" x14ac:dyDescent="0.3">
      <c r="L978" s="67"/>
      <c r="M978" s="66"/>
      <c r="R978" s="66"/>
    </row>
    <row r="979" spans="12:18" ht="14.25" customHeight="1" x14ac:dyDescent="0.3">
      <c r="L979" s="67"/>
      <c r="M979" s="66"/>
      <c r="R979" s="66"/>
    </row>
    <row r="980" spans="12:18" ht="14.25" customHeight="1" x14ac:dyDescent="0.3">
      <c r="L980" s="67"/>
      <c r="M980" s="66"/>
      <c r="R980" s="66"/>
    </row>
    <row r="981" spans="12:18" ht="14.25" customHeight="1" x14ac:dyDescent="0.3">
      <c r="L981" s="67"/>
      <c r="M981" s="66"/>
      <c r="R981" s="66"/>
    </row>
    <row r="982" spans="12:18" ht="14.25" customHeight="1" x14ac:dyDescent="0.3">
      <c r="L982" s="67"/>
      <c r="M982" s="66"/>
      <c r="R982" s="66"/>
    </row>
    <row r="983" spans="12:18" ht="14.25" customHeight="1" x14ac:dyDescent="0.3">
      <c r="L983" s="67"/>
      <c r="M983" s="66"/>
      <c r="R983" s="66"/>
    </row>
    <row r="984" spans="12:18" ht="14.25" customHeight="1" x14ac:dyDescent="0.3">
      <c r="L984" s="67"/>
      <c r="M984" s="66"/>
      <c r="R984" s="66"/>
    </row>
    <row r="985" spans="12:18" ht="14.25" customHeight="1" x14ac:dyDescent="0.3">
      <c r="L985" s="67"/>
      <c r="M985" s="66"/>
      <c r="R985" s="66"/>
    </row>
    <row r="986" spans="12:18" ht="14.25" customHeight="1" x14ac:dyDescent="0.3">
      <c r="L986" s="67"/>
      <c r="M986" s="66"/>
      <c r="R986" s="66"/>
    </row>
    <row r="987" spans="12:18" ht="14.25" customHeight="1" x14ac:dyDescent="0.3">
      <c r="L987" s="67"/>
      <c r="M987" s="66"/>
      <c r="R987" s="66"/>
    </row>
    <row r="988" spans="12:18" ht="14.25" customHeight="1" x14ac:dyDescent="0.3">
      <c r="L988" s="67"/>
      <c r="M988" s="66"/>
      <c r="R988" s="66"/>
    </row>
    <row r="989" spans="12:18" ht="14.25" customHeight="1" x14ac:dyDescent="0.3">
      <c r="L989" s="67"/>
      <c r="M989" s="66"/>
      <c r="R989" s="66"/>
    </row>
    <row r="990" spans="12:18" ht="14.25" customHeight="1" x14ac:dyDescent="0.3">
      <c r="L990" s="67"/>
      <c r="M990" s="66"/>
      <c r="R990" s="66"/>
    </row>
    <row r="991" spans="12:18" ht="14.25" customHeight="1" x14ac:dyDescent="0.3">
      <c r="L991" s="67"/>
      <c r="M991" s="66"/>
      <c r="R991" s="66"/>
    </row>
    <row r="992" spans="12:18" ht="14.25" customHeight="1" x14ac:dyDescent="0.3">
      <c r="L992" s="67"/>
      <c r="M992" s="66"/>
      <c r="R992" s="66"/>
    </row>
    <row r="993" spans="12:18" ht="14.25" customHeight="1" x14ac:dyDescent="0.3">
      <c r="L993" s="67"/>
      <c r="M993" s="66"/>
      <c r="R993" s="66"/>
    </row>
    <row r="994" spans="12:18" ht="14.25" customHeight="1" x14ac:dyDescent="0.3">
      <c r="L994" s="67"/>
      <c r="M994" s="66"/>
      <c r="R994" s="66"/>
    </row>
    <row r="995" spans="12:18" ht="14.25" customHeight="1" x14ac:dyDescent="0.3">
      <c r="L995" s="67"/>
      <c r="M995" s="66"/>
      <c r="R995" s="66"/>
    </row>
    <row r="996" spans="12:18" ht="14.25" customHeight="1" x14ac:dyDescent="0.3">
      <c r="L996" s="67"/>
      <c r="M996" s="66"/>
      <c r="R996" s="66"/>
    </row>
    <row r="997" spans="12:18" ht="14.25" customHeight="1" x14ac:dyDescent="0.3">
      <c r="L997" s="67"/>
      <c r="M997" s="66"/>
      <c r="R997" s="66"/>
    </row>
    <row r="998" spans="12:18" ht="14.25" customHeight="1" x14ac:dyDescent="0.3">
      <c r="L998" s="67"/>
      <c r="M998" s="66"/>
      <c r="R998" s="66"/>
    </row>
    <row r="999" spans="12:18" ht="14.25" customHeight="1" x14ac:dyDescent="0.3">
      <c r="L999" s="67"/>
      <c r="M999" s="66"/>
      <c r="R999" s="66"/>
    </row>
    <row r="1000" spans="12:18" ht="14.25" customHeight="1" x14ac:dyDescent="0.3">
      <c r="L1000" s="67"/>
      <c r="M1000" s="66"/>
      <c r="R1000" s="66"/>
    </row>
    <row r="1001" spans="12:18" ht="14.25" customHeight="1" x14ac:dyDescent="0.3">
      <c r="L1001" s="67"/>
      <c r="M1001" s="66"/>
      <c r="R1001" s="66"/>
    </row>
    <row r="1002" spans="12:18" ht="14.25" customHeight="1" x14ac:dyDescent="0.3">
      <c r="L1002" s="67"/>
      <c r="M1002" s="66"/>
      <c r="R1002" s="66"/>
    </row>
    <row r="1003" spans="12:18" ht="14.25" customHeight="1" x14ac:dyDescent="0.3">
      <c r="L1003" s="67"/>
      <c r="M1003" s="66"/>
      <c r="R1003" s="66"/>
    </row>
    <row r="1004" spans="12:18" ht="14.25" customHeight="1" x14ac:dyDescent="0.3">
      <c r="L1004" s="67"/>
      <c r="M1004" s="66"/>
      <c r="R1004" s="66"/>
    </row>
    <row r="1005" spans="12:18" ht="14.25" customHeight="1" x14ac:dyDescent="0.3">
      <c r="L1005" s="67"/>
      <c r="M1005" s="66"/>
      <c r="R1005" s="66"/>
    </row>
    <row r="1006" spans="12:18" ht="14.25" customHeight="1" x14ac:dyDescent="0.3">
      <c r="L1006" s="67"/>
      <c r="M1006" s="66"/>
      <c r="R1006" s="66"/>
    </row>
    <row r="1007" spans="12:18" ht="14.25" customHeight="1" x14ac:dyDescent="0.3">
      <c r="L1007" s="67"/>
      <c r="M1007" s="66"/>
      <c r="R1007" s="66"/>
    </row>
    <row r="1008" spans="12:18" ht="14.25" customHeight="1" x14ac:dyDescent="0.3">
      <c r="L1008" s="67"/>
      <c r="M1008" s="66"/>
      <c r="R1008" s="66"/>
    </row>
    <row r="1009" spans="12:18" ht="14.25" customHeight="1" x14ac:dyDescent="0.3">
      <c r="L1009" s="67"/>
      <c r="M1009" s="66"/>
      <c r="R1009" s="66"/>
    </row>
    <row r="1010" spans="12:18" ht="14.25" customHeight="1" x14ac:dyDescent="0.3">
      <c r="L1010" s="67"/>
      <c r="M1010" s="66"/>
      <c r="R1010" s="66"/>
    </row>
    <row r="1011" spans="12:18" ht="14.25" customHeight="1" x14ac:dyDescent="0.3">
      <c r="L1011" s="67"/>
      <c r="M1011" s="66"/>
      <c r="R1011" s="66"/>
    </row>
  </sheetData>
  <conditionalFormatting sqref="G2:G22">
    <cfRule type="cellIs" dxfId="10" priority="1" operator="equal">
      <formula>"Pagado"</formula>
    </cfRule>
  </conditionalFormatting>
  <conditionalFormatting sqref="G2:G22">
    <cfRule type="cellIs" dxfId="9" priority="2" operator="equal">
      <formula>"Pendiente"</formula>
    </cfRule>
  </conditionalFormatting>
  <dataValidations count="3">
    <dataValidation type="custom" allowBlank="1" showDropDown="1" sqref="A2:A23" xr:uid="{00000000-0002-0000-0400-000000000000}">
      <formula1>OR(NOT(ISERROR(DATEVALUE(A2))), AND(ISNUMBER(A2), LEFT(CELL("format", A2))="D"))</formula1>
    </dataValidation>
    <dataValidation type="custom" allowBlank="1" showDropDown="1" sqref="D2:F23" xr:uid="{00000000-0002-0000-0400-000001000000}">
      <formula1>AND(ISNUMBER(D2),(NOT(OR(NOT(ISERROR(DATEVALUE(D2))), AND(ISNUMBER(D2), LEFT(CELL("format", D2))="D")))))</formula1>
    </dataValidation>
    <dataValidation type="list" allowBlank="1" showErrorMessage="1" sqref="G2:G23" xr:uid="{00000000-0002-0000-0400-000002000000}">
      <formula1>$L$1:$L$3</formula1>
    </dataValidation>
  </dataValidations>
  <pageMargins left="0.75" right="0.75" top="1" bottom="1" header="0" footer="0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CAF50"/>
  </sheetPr>
  <dimension ref="A1:AD1010"/>
  <sheetViews>
    <sheetView topLeftCell="A142" workbookViewId="0">
      <selection activeCell="B2" sqref="B2:B174"/>
    </sheetView>
  </sheetViews>
  <sheetFormatPr baseColWidth="10" defaultColWidth="14.44140625" defaultRowHeight="15" customHeight="1" x14ac:dyDescent="0.3"/>
  <cols>
    <col min="1" max="1" width="11.33203125" customWidth="1"/>
    <col min="2" max="2" width="28" customWidth="1"/>
    <col min="3" max="3" width="10.6640625" customWidth="1"/>
    <col min="4" max="4" width="32.88671875" customWidth="1"/>
    <col min="5" max="5" width="16.33203125" customWidth="1"/>
    <col min="6" max="6" width="16.109375" customWidth="1"/>
    <col min="7" max="7" width="31.6640625" customWidth="1"/>
    <col min="8" max="8" width="5" customWidth="1"/>
    <col min="9" max="9" width="30.33203125" customWidth="1"/>
    <col min="10" max="10" width="11.6640625" customWidth="1"/>
    <col min="11" max="11" width="8.6640625" customWidth="1"/>
    <col min="12" max="12" width="20.33203125" customWidth="1"/>
    <col min="13" max="13" width="10.6640625" customWidth="1"/>
    <col min="14" max="14" width="13.5546875" customWidth="1"/>
    <col min="15" max="15" width="28.6640625" customWidth="1"/>
    <col min="16" max="16" width="13.33203125" customWidth="1"/>
    <col min="17" max="17" width="17.5546875" customWidth="1"/>
    <col min="18" max="30" width="8.6640625" customWidth="1"/>
  </cols>
  <sheetData>
    <row r="1" spans="1:30" ht="14.25" customHeight="1" x14ac:dyDescent="0.3">
      <c r="A1" s="77" t="s">
        <v>422</v>
      </c>
      <c r="B1" s="64" t="s">
        <v>552</v>
      </c>
      <c r="C1" s="78" t="s">
        <v>553</v>
      </c>
      <c r="D1" s="64" t="s">
        <v>498</v>
      </c>
      <c r="E1" s="64" t="s">
        <v>423</v>
      </c>
      <c r="F1" s="64" t="s">
        <v>554</v>
      </c>
      <c r="G1" s="64" t="s">
        <v>196</v>
      </c>
      <c r="H1" s="79"/>
      <c r="I1" s="80" t="s">
        <v>555</v>
      </c>
      <c r="J1" s="81"/>
      <c r="K1" s="80"/>
      <c r="L1" s="80" t="s">
        <v>556</v>
      </c>
      <c r="M1" s="81" t="s">
        <v>86</v>
      </c>
      <c r="N1" s="79"/>
      <c r="O1" s="79"/>
      <c r="P1" s="79" t="s">
        <v>557</v>
      </c>
      <c r="Q1" s="79" t="s">
        <v>558</v>
      </c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</row>
    <row r="2" spans="1:30" ht="14.25" customHeight="1" x14ac:dyDescent="0.3">
      <c r="A2" s="82">
        <v>45992</v>
      </c>
      <c r="B2" s="6" t="s">
        <v>559</v>
      </c>
      <c r="C2" s="51">
        <v>404000</v>
      </c>
      <c r="D2" s="6" t="s">
        <v>560</v>
      </c>
      <c r="E2" s="6" t="s">
        <v>427</v>
      </c>
      <c r="F2" s="6" t="s">
        <v>561</v>
      </c>
      <c r="G2" s="6"/>
      <c r="I2" s="83" t="s">
        <v>559</v>
      </c>
      <c r="J2" s="51">
        <f t="shared" ref="J2:J17" si="0">SUMIF(B:B,I2,C:C)</f>
        <v>6058000</v>
      </c>
      <c r="K2" s="6"/>
      <c r="L2" s="6" t="s">
        <v>562</v>
      </c>
      <c r="M2" s="51">
        <f t="shared" ref="M2:M5" si="1">SUMIF($F$2:$F$1010,L2,$C$2:$C$1010)</f>
        <v>8720295</v>
      </c>
      <c r="O2" s="47"/>
      <c r="P2" s="47" t="s">
        <v>563</v>
      </c>
      <c r="Q2" s="47" t="s">
        <v>564</v>
      </c>
    </row>
    <row r="3" spans="1:30" ht="14.25" customHeight="1" x14ac:dyDescent="0.3">
      <c r="A3" s="82">
        <v>45992</v>
      </c>
      <c r="B3" s="6" t="s">
        <v>559</v>
      </c>
      <c r="C3" s="51">
        <v>404000</v>
      </c>
      <c r="D3" s="6" t="s">
        <v>560</v>
      </c>
      <c r="E3" s="6" t="s">
        <v>427</v>
      </c>
      <c r="F3" s="6" t="s">
        <v>565</v>
      </c>
      <c r="G3" s="6"/>
      <c r="I3" s="83" t="s">
        <v>566</v>
      </c>
      <c r="J3" s="51">
        <f t="shared" si="0"/>
        <v>563450</v>
      </c>
      <c r="K3" s="6"/>
      <c r="L3" s="6" t="s">
        <v>561</v>
      </c>
      <c r="M3" s="51">
        <f t="shared" si="1"/>
        <v>10322128</v>
      </c>
      <c r="N3" s="16">
        <f t="shared" ref="N3:N5" si="2">M3-$M$7</f>
        <v>-62</v>
      </c>
      <c r="O3" s="47"/>
      <c r="P3" s="47" t="s">
        <v>567</v>
      </c>
      <c r="Q3" s="84" t="s">
        <v>568</v>
      </c>
    </row>
    <row r="4" spans="1:30" ht="14.25" customHeight="1" x14ac:dyDescent="0.3">
      <c r="A4" s="82">
        <v>45992</v>
      </c>
      <c r="B4" s="6" t="s">
        <v>559</v>
      </c>
      <c r="C4" s="51">
        <v>404000</v>
      </c>
      <c r="D4" s="6" t="s">
        <v>560</v>
      </c>
      <c r="E4" s="6" t="s">
        <v>427</v>
      </c>
      <c r="F4" s="6" t="s">
        <v>18</v>
      </c>
      <c r="G4" s="6"/>
      <c r="I4" s="83" t="s">
        <v>569</v>
      </c>
      <c r="J4" s="51">
        <f t="shared" si="0"/>
        <v>66000</v>
      </c>
      <c r="K4" s="6"/>
      <c r="L4" s="6" t="s">
        <v>565</v>
      </c>
      <c r="M4" s="51">
        <f t="shared" si="1"/>
        <v>10318527</v>
      </c>
      <c r="N4" s="16">
        <f t="shared" si="2"/>
        <v>-3663</v>
      </c>
      <c r="O4" s="47"/>
      <c r="P4" s="47" t="s">
        <v>570</v>
      </c>
      <c r="Q4" s="47" t="s">
        <v>571</v>
      </c>
    </row>
    <row r="5" spans="1:30" ht="14.25" customHeight="1" x14ac:dyDescent="0.3">
      <c r="A5" s="82">
        <v>45998</v>
      </c>
      <c r="B5" s="6" t="s">
        <v>572</v>
      </c>
      <c r="C5" s="51">
        <v>2000000</v>
      </c>
      <c r="D5" s="6" t="s">
        <v>573</v>
      </c>
      <c r="E5" s="6" t="s">
        <v>427</v>
      </c>
      <c r="F5" s="6" t="s">
        <v>561</v>
      </c>
      <c r="G5" s="6"/>
      <c r="I5" s="83" t="s">
        <v>574</v>
      </c>
      <c r="J5" s="51">
        <f t="shared" si="0"/>
        <v>0</v>
      </c>
      <c r="K5" s="6"/>
      <c r="L5" s="6" t="s">
        <v>18</v>
      </c>
      <c r="M5" s="51">
        <f t="shared" si="1"/>
        <v>10325915</v>
      </c>
      <c r="N5" s="16">
        <f t="shared" si="2"/>
        <v>3725</v>
      </c>
      <c r="O5" s="47"/>
      <c r="P5" s="47" t="s">
        <v>575</v>
      </c>
      <c r="Q5" s="84" t="s">
        <v>576</v>
      </c>
    </row>
    <row r="6" spans="1:30" ht="14.25" customHeight="1" x14ac:dyDescent="0.3">
      <c r="A6" s="82">
        <v>45998</v>
      </c>
      <c r="B6" s="6" t="s">
        <v>572</v>
      </c>
      <c r="C6" s="51">
        <v>2000000</v>
      </c>
      <c r="D6" s="6" t="s">
        <v>573</v>
      </c>
      <c r="E6" s="6" t="s">
        <v>427</v>
      </c>
      <c r="F6" s="6" t="s">
        <v>565</v>
      </c>
      <c r="G6" s="6"/>
      <c r="I6" s="83" t="s">
        <v>577</v>
      </c>
      <c r="J6" s="51">
        <f t="shared" si="0"/>
        <v>0</v>
      </c>
      <c r="M6" s="66">
        <f>SUM(M3:M5)</f>
        <v>30966570</v>
      </c>
      <c r="O6" s="47"/>
      <c r="P6" s="47" t="s">
        <v>578</v>
      </c>
      <c r="Q6" s="84" t="s">
        <v>564</v>
      </c>
    </row>
    <row r="7" spans="1:30" ht="14.25" customHeight="1" x14ac:dyDescent="0.3">
      <c r="A7" s="82">
        <v>45998</v>
      </c>
      <c r="B7" s="6" t="s">
        <v>572</v>
      </c>
      <c r="C7" s="51">
        <v>2000000</v>
      </c>
      <c r="D7" s="6" t="s">
        <v>573</v>
      </c>
      <c r="E7" s="6" t="s">
        <v>427</v>
      </c>
      <c r="F7" s="6" t="s">
        <v>18</v>
      </c>
      <c r="G7" s="6"/>
      <c r="I7" s="83" t="s">
        <v>579</v>
      </c>
      <c r="J7" s="51">
        <f t="shared" si="0"/>
        <v>2768406</v>
      </c>
      <c r="L7" s="28" t="s">
        <v>580</v>
      </c>
      <c r="M7" s="85">
        <f>M6/3</f>
        <v>10322190</v>
      </c>
      <c r="O7" s="9"/>
      <c r="P7" s="9" t="s">
        <v>581</v>
      </c>
      <c r="Q7" s="9" t="s">
        <v>582</v>
      </c>
    </row>
    <row r="8" spans="1:30" ht="14.25" customHeight="1" x14ac:dyDescent="0.3">
      <c r="A8" s="82">
        <v>46007</v>
      </c>
      <c r="B8" s="6" t="s">
        <v>572</v>
      </c>
      <c r="C8" s="51">
        <v>117000</v>
      </c>
      <c r="D8" s="6" t="s">
        <v>583</v>
      </c>
      <c r="E8" s="6" t="s">
        <v>427</v>
      </c>
      <c r="F8" s="6" t="s">
        <v>18</v>
      </c>
      <c r="G8" s="6"/>
      <c r="I8" s="83" t="s">
        <v>584</v>
      </c>
      <c r="J8" s="51">
        <f t="shared" si="0"/>
        <v>1620633</v>
      </c>
      <c r="M8" s="16"/>
    </row>
    <row r="9" spans="1:30" ht="14.25" customHeight="1" x14ac:dyDescent="0.3">
      <c r="A9" s="82">
        <v>46007</v>
      </c>
      <c r="B9" s="6" t="s">
        <v>572</v>
      </c>
      <c r="C9" s="51">
        <v>117000</v>
      </c>
      <c r="D9" s="6" t="s">
        <v>583</v>
      </c>
      <c r="E9" s="6" t="s">
        <v>427</v>
      </c>
      <c r="F9" s="6" t="s">
        <v>565</v>
      </c>
      <c r="G9" s="6"/>
      <c r="I9" s="83" t="s">
        <v>585</v>
      </c>
      <c r="J9" s="51">
        <f t="shared" si="0"/>
        <v>249000</v>
      </c>
      <c r="M9" s="16"/>
    </row>
    <row r="10" spans="1:30" ht="14.25" customHeight="1" x14ac:dyDescent="0.3">
      <c r="A10" s="82">
        <v>46007</v>
      </c>
      <c r="B10" s="6" t="s">
        <v>572</v>
      </c>
      <c r="C10" s="51">
        <v>117000</v>
      </c>
      <c r="D10" s="6" t="s">
        <v>583</v>
      </c>
      <c r="E10" s="6" t="s">
        <v>427</v>
      </c>
      <c r="F10" s="6" t="s">
        <v>561</v>
      </c>
      <c r="G10" s="6"/>
      <c r="I10" s="83" t="s">
        <v>586</v>
      </c>
      <c r="J10" s="51">
        <f t="shared" si="0"/>
        <v>230650</v>
      </c>
      <c r="L10" s="45"/>
      <c r="M10" s="54"/>
      <c r="N10" s="45"/>
    </row>
    <row r="11" spans="1:30" ht="14.25" customHeight="1" x14ac:dyDescent="0.3">
      <c r="A11" s="82">
        <v>46008</v>
      </c>
      <c r="B11" s="6" t="s">
        <v>572</v>
      </c>
      <c r="C11" s="51">
        <v>18000</v>
      </c>
      <c r="D11" s="6" t="s">
        <v>587</v>
      </c>
      <c r="E11" s="6" t="s">
        <v>427</v>
      </c>
      <c r="F11" s="6" t="s">
        <v>18</v>
      </c>
      <c r="G11" s="6"/>
      <c r="I11" s="83" t="s">
        <v>588</v>
      </c>
      <c r="J11" s="51">
        <f t="shared" si="0"/>
        <v>0</v>
      </c>
      <c r="L11" s="28"/>
      <c r="M11" s="85"/>
    </row>
    <row r="12" spans="1:30" ht="14.25" customHeight="1" x14ac:dyDescent="0.3">
      <c r="A12" s="82">
        <v>46008</v>
      </c>
      <c r="B12" s="6" t="s">
        <v>572</v>
      </c>
      <c r="C12" s="51">
        <v>18000</v>
      </c>
      <c r="D12" s="6" t="s">
        <v>587</v>
      </c>
      <c r="E12" s="6" t="s">
        <v>427</v>
      </c>
      <c r="F12" s="6" t="s">
        <v>565</v>
      </c>
      <c r="G12" s="6"/>
      <c r="I12" s="83" t="s">
        <v>589</v>
      </c>
      <c r="J12" s="51">
        <f t="shared" si="0"/>
        <v>484267</v>
      </c>
      <c r="L12" s="28"/>
      <c r="M12" s="86"/>
    </row>
    <row r="13" spans="1:30" ht="14.25" customHeight="1" x14ac:dyDescent="0.3">
      <c r="A13" s="82">
        <v>46008</v>
      </c>
      <c r="B13" s="6" t="s">
        <v>572</v>
      </c>
      <c r="C13" s="51">
        <v>18000</v>
      </c>
      <c r="D13" s="6" t="s">
        <v>587</v>
      </c>
      <c r="E13" s="6" t="s">
        <v>427</v>
      </c>
      <c r="F13" s="6" t="s">
        <v>561</v>
      </c>
      <c r="G13" s="6"/>
      <c r="I13" s="83" t="s">
        <v>572</v>
      </c>
      <c r="J13" s="51">
        <f t="shared" si="0"/>
        <v>10616900</v>
      </c>
      <c r="L13" s="28" t="s">
        <v>590</v>
      </c>
      <c r="M13" s="86"/>
    </row>
    <row r="14" spans="1:30" ht="14.25" customHeight="1" x14ac:dyDescent="0.3">
      <c r="A14" s="82">
        <v>46018</v>
      </c>
      <c r="B14" s="6" t="s">
        <v>572</v>
      </c>
      <c r="C14" s="51">
        <v>500000</v>
      </c>
      <c r="D14" s="6" t="s">
        <v>573</v>
      </c>
      <c r="E14" s="6" t="s">
        <v>427</v>
      </c>
      <c r="F14" s="6" t="s">
        <v>565</v>
      </c>
      <c r="G14" s="6"/>
      <c r="I14" s="83" t="s">
        <v>591</v>
      </c>
      <c r="J14" s="51">
        <f t="shared" si="0"/>
        <v>38500</v>
      </c>
      <c r="L14" s="45" t="s">
        <v>592</v>
      </c>
      <c r="M14" s="85" t="s">
        <v>553</v>
      </c>
      <c r="N14" s="45" t="s">
        <v>593</v>
      </c>
      <c r="O14" s="45" t="s">
        <v>196</v>
      </c>
      <c r="P14" s="45" t="s">
        <v>594</v>
      </c>
    </row>
    <row r="15" spans="1:30" ht="14.25" customHeight="1" x14ac:dyDescent="0.3">
      <c r="A15" s="82">
        <v>46018</v>
      </c>
      <c r="B15" s="6" t="s">
        <v>572</v>
      </c>
      <c r="C15" s="51">
        <v>100000</v>
      </c>
      <c r="D15" s="6" t="s">
        <v>573</v>
      </c>
      <c r="E15" s="6" t="s">
        <v>427</v>
      </c>
      <c r="F15" s="6" t="s">
        <v>18</v>
      </c>
      <c r="G15" s="6"/>
      <c r="I15" s="83" t="s">
        <v>595</v>
      </c>
      <c r="J15" s="51">
        <f t="shared" si="0"/>
        <v>16590724</v>
      </c>
      <c r="L15" s="9" t="s">
        <v>13</v>
      </c>
      <c r="M15" s="16">
        <v>850500</v>
      </c>
      <c r="N15" s="50">
        <v>46149</v>
      </c>
      <c r="O15" s="9" t="s">
        <v>596</v>
      </c>
      <c r="P15" s="16">
        <f t="shared" ref="P15:P19" si="3">M15/3</f>
        <v>283500</v>
      </c>
    </row>
    <row r="16" spans="1:30" ht="14.25" customHeight="1" x14ac:dyDescent="0.3">
      <c r="A16" s="82">
        <v>46023</v>
      </c>
      <c r="B16" s="6" t="s">
        <v>559</v>
      </c>
      <c r="C16" s="51">
        <v>404000</v>
      </c>
      <c r="D16" s="6" t="s">
        <v>597</v>
      </c>
      <c r="E16" s="6" t="s">
        <v>427</v>
      </c>
      <c r="F16" s="87" t="s">
        <v>561</v>
      </c>
      <c r="G16" s="6"/>
      <c r="I16" s="83" t="s">
        <v>598</v>
      </c>
      <c r="J16" s="51">
        <f t="shared" si="0"/>
        <v>297300</v>
      </c>
      <c r="L16" s="25"/>
      <c r="M16" s="29"/>
      <c r="N16" s="50"/>
      <c r="P16" s="16">
        <f t="shared" si="3"/>
        <v>0</v>
      </c>
    </row>
    <row r="17" spans="1:16" ht="14.25" customHeight="1" x14ac:dyDescent="0.3">
      <c r="A17" s="82">
        <v>46023</v>
      </c>
      <c r="B17" s="6" t="s">
        <v>559</v>
      </c>
      <c r="C17" s="51">
        <v>404000</v>
      </c>
      <c r="D17" s="6" t="s">
        <v>597</v>
      </c>
      <c r="E17" s="6" t="s">
        <v>427</v>
      </c>
      <c r="F17" s="6" t="s">
        <v>18</v>
      </c>
      <c r="G17" s="6"/>
      <c r="I17" s="83" t="s">
        <v>599</v>
      </c>
      <c r="J17" s="51">
        <f t="shared" si="0"/>
        <v>103035</v>
      </c>
      <c r="L17" s="25"/>
      <c r="M17" s="29"/>
      <c r="N17" s="50"/>
      <c r="P17" s="16">
        <f t="shared" si="3"/>
        <v>0</v>
      </c>
    </row>
    <row r="18" spans="1:16" ht="14.25" customHeight="1" x14ac:dyDescent="0.3">
      <c r="A18" s="82">
        <v>46023</v>
      </c>
      <c r="B18" s="6" t="s">
        <v>559</v>
      </c>
      <c r="C18" s="51">
        <v>404000</v>
      </c>
      <c r="D18" s="6" t="s">
        <v>597</v>
      </c>
      <c r="E18" s="6" t="s">
        <v>427</v>
      </c>
      <c r="F18" s="6" t="s">
        <v>565</v>
      </c>
      <c r="G18" s="6"/>
      <c r="J18" s="51"/>
      <c r="L18" s="25"/>
      <c r="M18" s="29"/>
      <c r="N18" s="50"/>
      <c r="P18" s="16">
        <f t="shared" si="3"/>
        <v>0</v>
      </c>
    </row>
    <row r="19" spans="1:16" ht="14.25" customHeight="1" x14ac:dyDescent="0.3">
      <c r="A19" s="82">
        <v>46024</v>
      </c>
      <c r="B19" s="6" t="s">
        <v>579</v>
      </c>
      <c r="C19" s="51">
        <v>59682</v>
      </c>
      <c r="D19" s="6" t="s">
        <v>600</v>
      </c>
      <c r="E19" s="6" t="s">
        <v>427</v>
      </c>
      <c r="F19" s="6" t="s">
        <v>18</v>
      </c>
      <c r="G19" s="6"/>
      <c r="I19" s="49" t="s">
        <v>601</v>
      </c>
      <c r="M19" s="16"/>
      <c r="N19" s="50"/>
      <c r="P19" s="16">
        <f t="shared" si="3"/>
        <v>0</v>
      </c>
    </row>
    <row r="20" spans="1:16" ht="14.25" customHeight="1" x14ac:dyDescent="0.3">
      <c r="A20" s="82">
        <v>46024</v>
      </c>
      <c r="B20" s="6" t="s">
        <v>579</v>
      </c>
      <c r="C20" s="51">
        <v>59682</v>
      </c>
      <c r="D20" s="6" t="s">
        <v>600</v>
      </c>
      <c r="E20" s="6" t="s">
        <v>427</v>
      </c>
      <c r="F20" s="6" t="s">
        <v>561</v>
      </c>
      <c r="G20" s="6"/>
      <c r="I20" s="6" t="s">
        <v>602</v>
      </c>
      <c r="J20" s="17">
        <f>SUM(C2:C510)</f>
        <v>39686865</v>
      </c>
      <c r="M20" s="16"/>
    </row>
    <row r="21" spans="1:16" ht="14.25" customHeight="1" x14ac:dyDescent="0.3">
      <c r="A21" s="82">
        <v>46024</v>
      </c>
      <c r="B21" s="6" t="s">
        <v>579</v>
      </c>
      <c r="C21" s="51">
        <v>59682</v>
      </c>
      <c r="D21" s="6" t="s">
        <v>600</v>
      </c>
      <c r="E21" s="6" t="s">
        <v>427</v>
      </c>
      <c r="F21" s="6" t="s">
        <v>565</v>
      </c>
      <c r="G21" s="6"/>
      <c r="J21" s="51"/>
      <c r="L21" s="45" t="s">
        <v>603</v>
      </c>
      <c r="M21" s="16">
        <f>SUM(M15:M19)</f>
        <v>850500</v>
      </c>
    </row>
    <row r="22" spans="1:16" ht="14.25" customHeight="1" x14ac:dyDescent="0.3">
      <c r="A22" s="82">
        <v>46032</v>
      </c>
      <c r="B22" s="6" t="s">
        <v>572</v>
      </c>
      <c r="C22" s="51">
        <v>287000</v>
      </c>
      <c r="D22" s="6" t="s">
        <v>604</v>
      </c>
      <c r="E22" s="6" t="s">
        <v>427</v>
      </c>
      <c r="F22" s="6" t="s">
        <v>18</v>
      </c>
      <c r="G22" s="6"/>
      <c r="J22" s="51"/>
      <c r="L22" s="45" t="s">
        <v>605</v>
      </c>
      <c r="M22" s="16">
        <f>M21/3</f>
        <v>283500</v>
      </c>
    </row>
    <row r="23" spans="1:16" ht="14.25" customHeight="1" x14ac:dyDescent="0.3">
      <c r="A23" s="82">
        <v>46032</v>
      </c>
      <c r="B23" s="6" t="s">
        <v>572</v>
      </c>
      <c r="C23" s="51">
        <v>287000</v>
      </c>
      <c r="D23" s="6" t="s">
        <v>604</v>
      </c>
      <c r="E23" s="6" t="s">
        <v>427</v>
      </c>
      <c r="F23" s="6" t="s">
        <v>561</v>
      </c>
      <c r="G23" s="6"/>
      <c r="J23" s="51"/>
      <c r="M23" s="16"/>
    </row>
    <row r="24" spans="1:16" ht="14.25" customHeight="1" x14ac:dyDescent="0.3">
      <c r="A24" s="82">
        <v>46032</v>
      </c>
      <c r="B24" s="6" t="s">
        <v>572</v>
      </c>
      <c r="C24" s="51">
        <v>287000</v>
      </c>
      <c r="D24" s="6" t="s">
        <v>604</v>
      </c>
      <c r="E24" s="6" t="s">
        <v>427</v>
      </c>
      <c r="F24" s="6" t="s">
        <v>565</v>
      </c>
      <c r="G24" s="6"/>
      <c r="J24" s="51"/>
      <c r="M24" s="16"/>
    </row>
    <row r="25" spans="1:16" ht="14.25" customHeight="1" x14ac:dyDescent="0.3">
      <c r="A25" s="82">
        <v>46037</v>
      </c>
      <c r="B25" s="6" t="s">
        <v>572</v>
      </c>
      <c r="C25" s="51">
        <v>30000</v>
      </c>
      <c r="D25" s="6" t="s">
        <v>606</v>
      </c>
      <c r="E25" s="6" t="s">
        <v>427</v>
      </c>
      <c r="F25" s="6" t="s">
        <v>565</v>
      </c>
      <c r="G25" s="6"/>
      <c r="J25" s="51"/>
      <c r="L25" s="45" t="s">
        <v>607</v>
      </c>
      <c r="M25" s="54"/>
      <c r="N25" s="45"/>
      <c r="O25" s="45"/>
    </row>
    <row r="26" spans="1:16" ht="14.25" customHeight="1" x14ac:dyDescent="0.3">
      <c r="A26" s="82">
        <v>46037</v>
      </c>
      <c r="B26" s="6" t="s">
        <v>572</v>
      </c>
      <c r="C26" s="51">
        <v>30000</v>
      </c>
      <c r="D26" s="6" t="s">
        <v>606</v>
      </c>
      <c r="E26" s="6" t="s">
        <v>427</v>
      </c>
      <c r="F26" s="6" t="s">
        <v>18</v>
      </c>
      <c r="G26" s="6"/>
      <c r="J26" s="51"/>
      <c r="L26" s="45" t="s">
        <v>503</v>
      </c>
      <c r="M26" s="54" t="s">
        <v>553</v>
      </c>
      <c r="N26" s="45" t="s">
        <v>593</v>
      </c>
      <c r="O26" s="45" t="s">
        <v>196</v>
      </c>
    </row>
    <row r="27" spans="1:16" ht="14.25" customHeight="1" x14ac:dyDescent="0.3">
      <c r="A27" s="82">
        <v>46037</v>
      </c>
      <c r="B27" s="6" t="s">
        <v>572</v>
      </c>
      <c r="C27" s="51">
        <v>30000</v>
      </c>
      <c r="D27" s="6" t="s">
        <v>606</v>
      </c>
      <c r="E27" s="6" t="s">
        <v>427</v>
      </c>
      <c r="F27" s="6" t="s">
        <v>561</v>
      </c>
      <c r="G27" s="6"/>
      <c r="J27" s="51"/>
      <c r="M27" s="16"/>
    </row>
    <row r="28" spans="1:16" ht="14.25" customHeight="1" x14ac:dyDescent="0.3">
      <c r="A28" s="82">
        <v>45674</v>
      </c>
      <c r="B28" s="6" t="s">
        <v>572</v>
      </c>
      <c r="C28" s="51">
        <v>220000</v>
      </c>
      <c r="D28" s="6" t="s">
        <v>573</v>
      </c>
      <c r="E28" s="6" t="s">
        <v>427</v>
      </c>
      <c r="F28" s="6" t="s">
        <v>565</v>
      </c>
      <c r="G28" s="6"/>
      <c r="J28" s="51"/>
      <c r="M28" s="16"/>
    </row>
    <row r="29" spans="1:16" ht="14.25" customHeight="1" x14ac:dyDescent="0.3">
      <c r="A29" s="82">
        <v>45674</v>
      </c>
      <c r="B29" s="6" t="s">
        <v>572</v>
      </c>
      <c r="C29" s="51">
        <v>720000</v>
      </c>
      <c r="D29" s="6" t="s">
        <v>573</v>
      </c>
      <c r="E29" s="6" t="s">
        <v>427</v>
      </c>
      <c r="F29" s="6" t="s">
        <v>561</v>
      </c>
      <c r="G29" s="6"/>
      <c r="J29" s="51"/>
      <c r="M29" s="16"/>
    </row>
    <row r="30" spans="1:16" ht="14.25" customHeight="1" x14ac:dyDescent="0.3">
      <c r="A30" s="82">
        <v>45674</v>
      </c>
      <c r="B30" s="6" t="s">
        <v>572</v>
      </c>
      <c r="C30" s="51">
        <v>60000</v>
      </c>
      <c r="D30" s="6" t="s">
        <v>573</v>
      </c>
      <c r="E30" s="6" t="s">
        <v>427</v>
      </c>
      <c r="F30" s="6" t="s">
        <v>18</v>
      </c>
      <c r="G30" s="6"/>
      <c r="J30" s="51"/>
      <c r="M30" s="16"/>
    </row>
    <row r="31" spans="1:16" ht="14.25" customHeight="1" x14ac:dyDescent="0.3">
      <c r="A31" s="82">
        <v>46043</v>
      </c>
      <c r="B31" s="6" t="s">
        <v>572</v>
      </c>
      <c r="C31" s="51">
        <v>6700</v>
      </c>
      <c r="D31" s="6" t="s">
        <v>608</v>
      </c>
      <c r="E31" s="6" t="s">
        <v>427</v>
      </c>
      <c r="F31" s="6" t="s">
        <v>565</v>
      </c>
      <c r="G31" s="6"/>
      <c r="J31" s="51"/>
      <c r="L31" s="45" t="s">
        <v>86</v>
      </c>
      <c r="M31" s="16">
        <f>SUM(M27:M30)</f>
        <v>0</v>
      </c>
    </row>
    <row r="32" spans="1:16" ht="14.25" customHeight="1" x14ac:dyDescent="0.3">
      <c r="A32" s="82">
        <v>46043</v>
      </c>
      <c r="B32" s="6" t="s">
        <v>572</v>
      </c>
      <c r="C32" s="51">
        <v>6700</v>
      </c>
      <c r="D32" s="6" t="s">
        <v>608</v>
      </c>
      <c r="E32" s="6" t="s">
        <v>427</v>
      </c>
      <c r="F32" s="6" t="s">
        <v>561</v>
      </c>
      <c r="G32" s="6"/>
      <c r="J32" s="51"/>
      <c r="L32" s="45" t="s">
        <v>89</v>
      </c>
      <c r="M32" s="16">
        <f>M31/3</f>
        <v>0</v>
      </c>
    </row>
    <row r="33" spans="1:13" ht="14.25" customHeight="1" x14ac:dyDescent="0.3">
      <c r="A33" s="82">
        <v>46043</v>
      </c>
      <c r="B33" s="6" t="s">
        <v>572</v>
      </c>
      <c r="C33" s="51">
        <v>6700</v>
      </c>
      <c r="D33" s="6" t="s">
        <v>608</v>
      </c>
      <c r="E33" s="6" t="s">
        <v>427</v>
      </c>
      <c r="F33" s="6" t="s">
        <v>18</v>
      </c>
      <c r="G33" s="6"/>
      <c r="J33" s="51"/>
    </row>
    <row r="34" spans="1:13" ht="14.25" customHeight="1" x14ac:dyDescent="0.3">
      <c r="A34" s="82">
        <v>46052</v>
      </c>
      <c r="B34" s="6" t="s">
        <v>589</v>
      </c>
      <c r="C34" s="51">
        <v>140000</v>
      </c>
      <c r="D34" s="6" t="s">
        <v>609</v>
      </c>
      <c r="E34" s="6" t="s">
        <v>427</v>
      </c>
      <c r="F34" s="6" t="s">
        <v>18</v>
      </c>
      <c r="G34" s="6"/>
      <c r="J34" s="51"/>
    </row>
    <row r="35" spans="1:13" ht="14.25" customHeight="1" x14ac:dyDescent="0.3">
      <c r="A35" s="82">
        <v>46052</v>
      </c>
      <c r="B35" s="6" t="s">
        <v>589</v>
      </c>
      <c r="C35" s="51">
        <v>140000</v>
      </c>
      <c r="D35" s="6" t="s">
        <v>609</v>
      </c>
      <c r="E35" s="6" t="s">
        <v>427</v>
      </c>
      <c r="F35" s="6" t="s">
        <v>561</v>
      </c>
      <c r="G35" s="6"/>
      <c r="J35" s="51"/>
    </row>
    <row r="36" spans="1:13" ht="14.25" customHeight="1" x14ac:dyDescent="0.3">
      <c r="A36" s="82">
        <v>46052</v>
      </c>
      <c r="B36" s="6" t="s">
        <v>589</v>
      </c>
      <c r="C36" s="51">
        <v>140000</v>
      </c>
      <c r="D36" s="6" t="s">
        <v>609</v>
      </c>
      <c r="E36" s="6" t="s">
        <v>427</v>
      </c>
      <c r="F36" s="6" t="s">
        <v>565</v>
      </c>
      <c r="G36" s="6"/>
      <c r="J36" s="51"/>
      <c r="M36" s="16"/>
    </row>
    <row r="37" spans="1:13" ht="14.25" customHeight="1" x14ac:dyDescent="0.3">
      <c r="A37" s="82">
        <v>46056</v>
      </c>
      <c r="B37" s="6" t="s">
        <v>559</v>
      </c>
      <c r="C37" s="51">
        <v>404000</v>
      </c>
      <c r="D37" s="6" t="s">
        <v>610</v>
      </c>
      <c r="E37" s="6" t="s">
        <v>427</v>
      </c>
      <c r="F37" s="6" t="s">
        <v>18</v>
      </c>
      <c r="G37" s="6"/>
      <c r="J37" s="51"/>
      <c r="M37" s="16"/>
    </row>
    <row r="38" spans="1:13" ht="14.25" customHeight="1" x14ac:dyDescent="0.3">
      <c r="A38" s="82">
        <v>46056</v>
      </c>
      <c r="B38" s="6" t="s">
        <v>559</v>
      </c>
      <c r="C38" s="51">
        <v>404000</v>
      </c>
      <c r="D38" s="6" t="s">
        <v>610</v>
      </c>
      <c r="E38" s="6" t="s">
        <v>427</v>
      </c>
      <c r="F38" s="6" t="s">
        <v>561</v>
      </c>
      <c r="G38" s="6"/>
      <c r="J38" s="51"/>
      <c r="M38" s="16"/>
    </row>
    <row r="39" spans="1:13" ht="14.25" customHeight="1" x14ac:dyDescent="0.3">
      <c r="A39" s="82">
        <v>46056</v>
      </c>
      <c r="B39" s="6" t="s">
        <v>559</v>
      </c>
      <c r="C39" s="51">
        <v>404000</v>
      </c>
      <c r="D39" s="6" t="s">
        <v>610</v>
      </c>
      <c r="E39" s="6" t="s">
        <v>427</v>
      </c>
      <c r="F39" s="6" t="s">
        <v>565</v>
      </c>
      <c r="G39" s="6"/>
      <c r="J39" s="51"/>
      <c r="M39" s="16"/>
    </row>
    <row r="40" spans="1:13" ht="14.25" customHeight="1" x14ac:dyDescent="0.3">
      <c r="A40" s="82">
        <v>46059</v>
      </c>
      <c r="B40" s="6" t="s">
        <v>572</v>
      </c>
      <c r="C40" s="51">
        <v>400000</v>
      </c>
      <c r="D40" s="6" t="s">
        <v>573</v>
      </c>
      <c r="E40" s="6" t="s">
        <v>427</v>
      </c>
      <c r="F40" s="47" t="s">
        <v>18</v>
      </c>
      <c r="G40" s="6"/>
      <c r="J40" s="51"/>
      <c r="M40" s="16"/>
    </row>
    <row r="41" spans="1:13" ht="14.25" customHeight="1" x14ac:dyDescent="0.3">
      <c r="A41" s="82">
        <v>46083</v>
      </c>
      <c r="B41" s="88" t="s">
        <v>595</v>
      </c>
      <c r="C41" s="51">
        <v>890000</v>
      </c>
      <c r="D41" s="47" t="s">
        <v>611</v>
      </c>
      <c r="E41" s="6" t="s">
        <v>427</v>
      </c>
      <c r="F41" s="6" t="s">
        <v>565</v>
      </c>
      <c r="G41" s="47"/>
      <c r="J41" s="51"/>
      <c r="M41" s="16"/>
    </row>
    <row r="42" spans="1:13" ht="14.25" customHeight="1" x14ac:dyDescent="0.3">
      <c r="A42" s="82">
        <v>46083</v>
      </c>
      <c r="B42" s="6" t="s">
        <v>595</v>
      </c>
      <c r="C42" s="51">
        <v>890000</v>
      </c>
      <c r="D42" s="47" t="s">
        <v>611</v>
      </c>
      <c r="E42" s="6" t="s">
        <v>427</v>
      </c>
      <c r="F42" s="6" t="s">
        <v>561</v>
      </c>
      <c r="G42" s="47"/>
      <c r="J42" s="51"/>
      <c r="M42" s="16"/>
    </row>
    <row r="43" spans="1:13" ht="14.25" customHeight="1" x14ac:dyDescent="0.3">
      <c r="A43" s="82">
        <v>46083</v>
      </c>
      <c r="B43" s="6" t="s">
        <v>595</v>
      </c>
      <c r="C43" s="51">
        <v>890000</v>
      </c>
      <c r="D43" s="47" t="s">
        <v>611</v>
      </c>
      <c r="E43" s="6" t="s">
        <v>427</v>
      </c>
      <c r="F43" s="47" t="s">
        <v>18</v>
      </c>
      <c r="G43" s="47"/>
      <c r="J43" s="51"/>
      <c r="M43" s="16"/>
    </row>
    <row r="44" spans="1:13" ht="14.25" customHeight="1" x14ac:dyDescent="0.3">
      <c r="A44" s="82">
        <v>46057</v>
      </c>
      <c r="B44" s="6" t="s">
        <v>595</v>
      </c>
      <c r="C44" s="51">
        <v>80000</v>
      </c>
      <c r="D44" s="47" t="s">
        <v>611</v>
      </c>
      <c r="E44" s="6" t="s">
        <v>427</v>
      </c>
      <c r="F44" s="6" t="s">
        <v>561</v>
      </c>
      <c r="J44" s="51"/>
      <c r="M44" s="16"/>
    </row>
    <row r="45" spans="1:13" ht="14.25" customHeight="1" x14ac:dyDescent="0.3">
      <c r="A45" s="82">
        <v>46057</v>
      </c>
      <c r="B45" s="6" t="s">
        <v>595</v>
      </c>
      <c r="C45" s="51">
        <v>80000</v>
      </c>
      <c r="D45" s="47" t="s">
        <v>611</v>
      </c>
      <c r="E45" s="6" t="s">
        <v>427</v>
      </c>
      <c r="F45" s="6" t="s">
        <v>565</v>
      </c>
      <c r="J45" s="51"/>
      <c r="M45" s="16"/>
    </row>
    <row r="46" spans="1:13" ht="14.25" customHeight="1" x14ac:dyDescent="0.3">
      <c r="A46" s="82">
        <v>46057</v>
      </c>
      <c r="B46" s="6" t="s">
        <v>595</v>
      </c>
      <c r="C46" s="51">
        <v>80000</v>
      </c>
      <c r="D46" s="47" t="s">
        <v>611</v>
      </c>
      <c r="E46" s="6" t="s">
        <v>427</v>
      </c>
      <c r="F46" s="47" t="s">
        <v>18</v>
      </c>
      <c r="J46" s="51"/>
      <c r="M46" s="16"/>
    </row>
    <row r="47" spans="1:13" ht="14.25" customHeight="1" x14ac:dyDescent="0.3">
      <c r="A47" s="82">
        <v>46062</v>
      </c>
      <c r="B47" s="6" t="s">
        <v>586</v>
      </c>
      <c r="C47" s="51">
        <v>20000</v>
      </c>
      <c r="D47" s="47" t="s">
        <v>612</v>
      </c>
      <c r="E47" s="6" t="s">
        <v>427</v>
      </c>
      <c r="F47" s="47" t="s">
        <v>561</v>
      </c>
      <c r="J47" s="51"/>
      <c r="M47" s="16"/>
    </row>
    <row r="48" spans="1:13" ht="14.25" customHeight="1" x14ac:dyDescent="0.3">
      <c r="A48" s="82">
        <v>46063</v>
      </c>
      <c r="B48" s="6" t="s">
        <v>579</v>
      </c>
      <c r="C48" s="51">
        <v>36700</v>
      </c>
      <c r="D48" s="89" t="s">
        <v>613</v>
      </c>
      <c r="E48" s="6" t="s">
        <v>427</v>
      </c>
      <c r="F48" s="47" t="s">
        <v>18</v>
      </c>
      <c r="J48" s="51"/>
      <c r="M48" s="16"/>
    </row>
    <row r="49" spans="1:13" ht="14.25" customHeight="1" x14ac:dyDescent="0.3">
      <c r="A49" s="82">
        <v>46064</v>
      </c>
      <c r="B49" s="6" t="s">
        <v>579</v>
      </c>
      <c r="C49" s="51">
        <v>9000</v>
      </c>
      <c r="D49" s="89" t="s">
        <v>614</v>
      </c>
      <c r="E49" s="6" t="s">
        <v>427</v>
      </c>
      <c r="F49" s="47" t="s">
        <v>561</v>
      </c>
      <c r="J49" s="51"/>
      <c r="M49" s="16"/>
    </row>
    <row r="50" spans="1:13" ht="14.25" customHeight="1" x14ac:dyDescent="0.3">
      <c r="A50" s="82">
        <v>46067</v>
      </c>
      <c r="B50" s="6" t="s">
        <v>586</v>
      </c>
      <c r="C50" s="51">
        <v>19100</v>
      </c>
      <c r="D50" s="47" t="s">
        <v>615</v>
      </c>
      <c r="E50" s="6" t="s">
        <v>427</v>
      </c>
      <c r="F50" s="47" t="s">
        <v>18</v>
      </c>
      <c r="J50" s="51"/>
      <c r="M50" s="16"/>
    </row>
    <row r="51" spans="1:13" ht="14.25" customHeight="1" x14ac:dyDescent="0.3">
      <c r="A51" s="82">
        <v>45693</v>
      </c>
      <c r="B51" s="6" t="s">
        <v>595</v>
      </c>
      <c r="C51" s="51">
        <v>218708</v>
      </c>
      <c r="D51" s="47" t="s">
        <v>616</v>
      </c>
      <c r="E51" s="6" t="s">
        <v>427</v>
      </c>
      <c r="F51" s="47" t="s">
        <v>561</v>
      </c>
      <c r="J51" s="51"/>
      <c r="M51" s="16"/>
    </row>
    <row r="52" spans="1:13" ht="14.25" customHeight="1" x14ac:dyDescent="0.3">
      <c r="A52" s="82">
        <v>45693</v>
      </c>
      <c r="B52" s="6" t="s">
        <v>595</v>
      </c>
      <c r="C52" s="51">
        <v>218708</v>
      </c>
      <c r="D52" s="47" t="s">
        <v>616</v>
      </c>
      <c r="E52" s="6" t="s">
        <v>427</v>
      </c>
      <c r="F52" s="47" t="s">
        <v>18</v>
      </c>
      <c r="J52" s="51"/>
      <c r="M52" s="16"/>
    </row>
    <row r="53" spans="1:13" ht="14.25" customHeight="1" x14ac:dyDescent="0.3">
      <c r="A53" s="82">
        <v>45693</v>
      </c>
      <c r="B53" s="6" t="s">
        <v>595</v>
      </c>
      <c r="C53" s="51">
        <v>218708</v>
      </c>
      <c r="D53" s="47" t="s">
        <v>616</v>
      </c>
      <c r="E53" s="6" t="s">
        <v>427</v>
      </c>
      <c r="F53" s="47" t="s">
        <v>565</v>
      </c>
      <c r="J53" s="51"/>
      <c r="M53" s="16"/>
    </row>
    <row r="54" spans="1:13" ht="14.25" customHeight="1" x14ac:dyDescent="0.3">
      <c r="A54" s="82">
        <v>46067</v>
      </c>
      <c r="B54" s="6" t="s">
        <v>585</v>
      </c>
      <c r="C54" s="51">
        <v>77000</v>
      </c>
      <c r="D54" s="47" t="s">
        <v>617</v>
      </c>
      <c r="E54" s="6" t="s">
        <v>427</v>
      </c>
      <c r="F54" s="47" t="s">
        <v>18</v>
      </c>
      <c r="J54" s="51"/>
      <c r="M54" s="16"/>
    </row>
    <row r="55" spans="1:13" ht="14.25" customHeight="1" x14ac:dyDescent="0.3">
      <c r="A55" s="82">
        <v>46067</v>
      </c>
      <c r="B55" s="6" t="s">
        <v>586</v>
      </c>
      <c r="C55" s="51">
        <v>28000</v>
      </c>
      <c r="D55" s="47" t="s">
        <v>618</v>
      </c>
      <c r="E55" s="6" t="s">
        <v>427</v>
      </c>
      <c r="F55" s="47" t="s">
        <v>561</v>
      </c>
      <c r="J55" s="51"/>
      <c r="M55" s="16"/>
    </row>
    <row r="56" spans="1:13" ht="14.25" customHeight="1" x14ac:dyDescent="0.3">
      <c r="A56" s="82">
        <v>46067</v>
      </c>
      <c r="B56" s="6" t="s">
        <v>585</v>
      </c>
      <c r="C56" s="51">
        <v>80000</v>
      </c>
      <c r="D56" s="47" t="s">
        <v>619</v>
      </c>
      <c r="E56" s="6" t="s">
        <v>427</v>
      </c>
      <c r="F56" s="47" t="s">
        <v>561</v>
      </c>
      <c r="J56" s="51"/>
      <c r="M56" s="16"/>
    </row>
    <row r="57" spans="1:13" ht="14.25" customHeight="1" x14ac:dyDescent="0.3">
      <c r="A57" s="82">
        <v>46068</v>
      </c>
      <c r="B57" s="6" t="s">
        <v>591</v>
      </c>
      <c r="C57" s="51">
        <v>8500</v>
      </c>
      <c r="D57" s="47" t="s">
        <v>620</v>
      </c>
      <c r="E57" s="6" t="s">
        <v>427</v>
      </c>
      <c r="F57" s="47" t="s">
        <v>18</v>
      </c>
      <c r="J57" s="51"/>
      <c r="M57" s="16"/>
    </row>
    <row r="58" spans="1:13" ht="14.25" customHeight="1" x14ac:dyDescent="0.3">
      <c r="A58" s="82">
        <v>46068</v>
      </c>
      <c r="B58" s="6" t="s">
        <v>585</v>
      </c>
      <c r="C58" s="51">
        <v>29000</v>
      </c>
      <c r="D58" s="47" t="s">
        <v>621</v>
      </c>
      <c r="E58" s="6" t="s">
        <v>427</v>
      </c>
      <c r="F58" s="47" t="s">
        <v>18</v>
      </c>
      <c r="J58" s="51"/>
      <c r="M58" s="16"/>
    </row>
    <row r="59" spans="1:13" ht="14.25" customHeight="1" x14ac:dyDescent="0.3">
      <c r="A59" s="82">
        <v>46069</v>
      </c>
      <c r="B59" s="6" t="s">
        <v>584</v>
      </c>
      <c r="C59" s="51">
        <v>200000</v>
      </c>
      <c r="D59" s="9" t="s">
        <v>622</v>
      </c>
      <c r="E59" s="6" t="s">
        <v>427</v>
      </c>
      <c r="F59" s="9" t="s">
        <v>561</v>
      </c>
      <c r="J59" s="51"/>
      <c r="M59" s="16"/>
    </row>
    <row r="60" spans="1:13" ht="14.25" customHeight="1" x14ac:dyDescent="0.3">
      <c r="A60" s="82">
        <v>46069</v>
      </c>
      <c r="B60" s="6" t="s">
        <v>584</v>
      </c>
      <c r="C60" s="51">
        <v>45000</v>
      </c>
      <c r="D60" s="9" t="s">
        <v>623</v>
      </c>
      <c r="E60" s="6" t="s">
        <v>427</v>
      </c>
      <c r="F60" s="9" t="s">
        <v>18</v>
      </c>
      <c r="J60" s="51"/>
      <c r="M60" s="16"/>
    </row>
    <row r="61" spans="1:13" ht="14.25" customHeight="1" x14ac:dyDescent="0.3">
      <c r="A61" s="82">
        <v>46069</v>
      </c>
      <c r="B61" s="6" t="s">
        <v>572</v>
      </c>
      <c r="C61" s="51">
        <f>150000-134733</f>
        <v>15267</v>
      </c>
      <c r="D61" s="9" t="s">
        <v>624</v>
      </c>
      <c r="E61" s="6" t="s">
        <v>427</v>
      </c>
      <c r="F61" s="9" t="s">
        <v>561</v>
      </c>
      <c r="J61" s="51"/>
      <c r="M61" s="16"/>
    </row>
    <row r="62" spans="1:13" ht="14.25" customHeight="1" x14ac:dyDescent="0.3">
      <c r="A62" s="82">
        <v>46069</v>
      </c>
      <c r="B62" s="6" t="s">
        <v>572</v>
      </c>
      <c r="C62" s="51">
        <v>134733</v>
      </c>
      <c r="D62" s="9" t="s">
        <v>624</v>
      </c>
      <c r="E62" s="6" t="s">
        <v>427</v>
      </c>
      <c r="F62" s="9" t="s">
        <v>565</v>
      </c>
      <c r="J62" s="51"/>
      <c r="M62" s="16"/>
    </row>
    <row r="63" spans="1:13" ht="14.25" customHeight="1" x14ac:dyDescent="0.3">
      <c r="A63" s="82">
        <v>46069</v>
      </c>
      <c r="B63" s="6" t="s">
        <v>586</v>
      </c>
      <c r="C63" s="51">
        <v>20000</v>
      </c>
      <c r="D63" s="9" t="s">
        <v>625</v>
      </c>
      <c r="E63" s="6" t="s">
        <v>427</v>
      </c>
      <c r="F63" s="9" t="s">
        <v>18</v>
      </c>
      <c r="J63" s="51"/>
      <c r="M63" s="16"/>
    </row>
    <row r="64" spans="1:13" ht="14.25" customHeight="1" x14ac:dyDescent="0.3">
      <c r="A64" s="82">
        <v>46070</v>
      </c>
      <c r="B64" s="6" t="s">
        <v>579</v>
      </c>
      <c r="C64" s="51">
        <f>394500-217533</f>
        <v>176967</v>
      </c>
      <c r="D64" s="9" t="s">
        <v>626</v>
      </c>
      <c r="E64" s="6" t="s">
        <v>427</v>
      </c>
      <c r="F64" s="9" t="s">
        <v>18</v>
      </c>
      <c r="J64" s="51"/>
      <c r="M64" s="16"/>
    </row>
    <row r="65" spans="1:13" ht="14.25" customHeight="1" x14ac:dyDescent="0.3">
      <c r="A65" s="82">
        <v>46070</v>
      </c>
      <c r="B65" s="6" t="s">
        <v>579</v>
      </c>
      <c r="C65" s="51">
        <v>217533</v>
      </c>
      <c r="D65" s="9" t="s">
        <v>626</v>
      </c>
      <c r="E65" s="6" t="s">
        <v>427</v>
      </c>
      <c r="F65" s="9" t="s">
        <v>565</v>
      </c>
      <c r="J65" s="51"/>
      <c r="M65" s="16"/>
    </row>
    <row r="66" spans="1:13" ht="14.25" customHeight="1" x14ac:dyDescent="0.3">
      <c r="A66" s="82">
        <v>46070</v>
      </c>
      <c r="B66" s="6" t="s">
        <v>572</v>
      </c>
      <c r="C66" s="51">
        <v>100000</v>
      </c>
      <c r="D66" s="9" t="s">
        <v>624</v>
      </c>
      <c r="E66" s="6" t="s">
        <v>427</v>
      </c>
      <c r="F66" s="9" t="s">
        <v>18</v>
      </c>
      <c r="J66" s="51"/>
      <c r="M66" s="16"/>
    </row>
    <row r="67" spans="1:13" ht="14.25" customHeight="1" x14ac:dyDescent="0.3">
      <c r="A67" s="82">
        <v>46071</v>
      </c>
      <c r="B67" s="6" t="s">
        <v>572</v>
      </c>
      <c r="C67" s="51">
        <v>63400</v>
      </c>
      <c r="D67" s="9" t="s">
        <v>624</v>
      </c>
      <c r="E67" s="6" t="s">
        <v>427</v>
      </c>
      <c r="F67" s="9" t="s">
        <v>561</v>
      </c>
      <c r="J67" s="51"/>
      <c r="M67" s="16"/>
    </row>
    <row r="68" spans="1:13" ht="14.25" customHeight="1" x14ac:dyDescent="0.3">
      <c r="A68" s="82">
        <v>46071</v>
      </c>
      <c r="B68" s="6" t="s">
        <v>572</v>
      </c>
      <c r="C68" s="51">
        <f>190000-C67*2</f>
        <v>63200</v>
      </c>
      <c r="D68" s="9" t="s">
        <v>624</v>
      </c>
      <c r="E68" s="6" t="s">
        <v>427</v>
      </c>
      <c r="F68" s="9" t="s">
        <v>18</v>
      </c>
      <c r="J68" s="51"/>
      <c r="M68" s="16"/>
    </row>
    <row r="69" spans="1:13" ht="14.25" customHeight="1" x14ac:dyDescent="0.3">
      <c r="A69" s="82">
        <v>46071</v>
      </c>
      <c r="B69" s="6" t="s">
        <v>572</v>
      </c>
      <c r="C69" s="51">
        <v>63400</v>
      </c>
      <c r="D69" s="9" t="s">
        <v>624</v>
      </c>
      <c r="E69" s="6" t="s">
        <v>427</v>
      </c>
      <c r="F69" s="9" t="s">
        <v>565</v>
      </c>
      <c r="J69" s="51"/>
      <c r="M69" s="16"/>
    </row>
    <row r="70" spans="1:13" ht="14.25" customHeight="1" x14ac:dyDescent="0.3">
      <c r="A70" s="82">
        <v>46073</v>
      </c>
      <c r="B70" s="6" t="s">
        <v>572</v>
      </c>
      <c r="C70" s="51">
        <v>2700</v>
      </c>
      <c r="D70" s="9" t="s">
        <v>627</v>
      </c>
      <c r="E70" s="6" t="s">
        <v>427</v>
      </c>
      <c r="F70" s="9" t="s">
        <v>18</v>
      </c>
      <c r="J70" s="51"/>
      <c r="M70" s="16"/>
    </row>
    <row r="71" spans="1:13" ht="14.25" customHeight="1" x14ac:dyDescent="0.3">
      <c r="A71" s="82">
        <v>46073</v>
      </c>
      <c r="B71" s="6" t="s">
        <v>572</v>
      </c>
      <c r="C71" s="51">
        <v>2700</v>
      </c>
      <c r="D71" s="9" t="s">
        <v>627</v>
      </c>
      <c r="E71" s="6" t="s">
        <v>427</v>
      </c>
      <c r="F71" s="9" t="s">
        <v>565</v>
      </c>
      <c r="J71" s="51"/>
      <c r="M71" s="16"/>
    </row>
    <row r="72" spans="1:13" ht="14.25" customHeight="1" x14ac:dyDescent="0.3">
      <c r="A72" s="82">
        <v>46073</v>
      </c>
      <c r="B72" s="6" t="s">
        <v>572</v>
      </c>
      <c r="C72" s="51">
        <v>2700</v>
      </c>
      <c r="D72" s="9" t="s">
        <v>627</v>
      </c>
      <c r="E72" s="6" t="s">
        <v>427</v>
      </c>
      <c r="F72" s="9" t="s">
        <v>561</v>
      </c>
      <c r="J72" s="51"/>
      <c r="M72" s="16"/>
    </row>
    <row r="73" spans="1:13" ht="14.25" customHeight="1" x14ac:dyDescent="0.3">
      <c r="A73" s="82">
        <v>46074</v>
      </c>
      <c r="B73" s="6" t="s">
        <v>572</v>
      </c>
      <c r="C73" s="51">
        <v>20000</v>
      </c>
      <c r="D73" s="9" t="s">
        <v>628</v>
      </c>
      <c r="E73" s="6" t="s">
        <v>427</v>
      </c>
      <c r="F73" s="9" t="s">
        <v>561</v>
      </c>
      <c r="J73" s="51"/>
      <c r="M73" s="16"/>
    </row>
    <row r="74" spans="1:13" ht="14.25" customHeight="1" x14ac:dyDescent="0.3">
      <c r="A74" s="82">
        <v>46074</v>
      </c>
      <c r="B74" s="6" t="s">
        <v>572</v>
      </c>
      <c r="C74" s="51">
        <v>24000</v>
      </c>
      <c r="D74" s="9" t="s">
        <v>629</v>
      </c>
      <c r="E74" s="6" t="s">
        <v>427</v>
      </c>
      <c r="F74" s="9" t="s">
        <v>561</v>
      </c>
      <c r="J74" s="51"/>
      <c r="M74" s="16"/>
    </row>
    <row r="75" spans="1:13" ht="14.25" customHeight="1" x14ac:dyDescent="0.3">
      <c r="A75" s="82">
        <v>46074</v>
      </c>
      <c r="B75" s="6" t="s">
        <v>572</v>
      </c>
      <c r="C75" s="51">
        <v>43000</v>
      </c>
      <c r="D75" s="9" t="s">
        <v>629</v>
      </c>
      <c r="E75" s="6" t="s">
        <v>427</v>
      </c>
      <c r="F75" s="9" t="s">
        <v>18</v>
      </c>
      <c r="J75" s="51"/>
      <c r="M75" s="16"/>
    </row>
    <row r="76" spans="1:13" ht="14.25" customHeight="1" x14ac:dyDescent="0.3">
      <c r="A76" s="82">
        <v>46074</v>
      </c>
      <c r="B76" s="6" t="s">
        <v>572</v>
      </c>
      <c r="C76" s="51">
        <v>43000</v>
      </c>
      <c r="D76" s="9" t="s">
        <v>629</v>
      </c>
      <c r="E76" s="6" t="s">
        <v>427</v>
      </c>
      <c r="F76" s="9" t="s">
        <v>565</v>
      </c>
      <c r="J76" s="51"/>
      <c r="M76" s="16"/>
    </row>
    <row r="77" spans="1:13" ht="14.25" customHeight="1" x14ac:dyDescent="0.3">
      <c r="A77" s="82">
        <v>46078</v>
      </c>
      <c r="B77" s="6" t="s">
        <v>595</v>
      </c>
      <c r="C77" s="51">
        <v>13000</v>
      </c>
      <c r="D77" s="9" t="s">
        <v>630</v>
      </c>
      <c r="E77" s="6" t="s">
        <v>427</v>
      </c>
      <c r="F77" s="9" t="s">
        <v>18</v>
      </c>
      <c r="J77" s="51"/>
      <c r="M77" s="16"/>
    </row>
    <row r="78" spans="1:13" ht="14.25" customHeight="1" x14ac:dyDescent="0.3">
      <c r="A78" s="82">
        <v>46083</v>
      </c>
      <c r="B78" s="88" t="s">
        <v>595</v>
      </c>
      <c r="C78" s="51">
        <v>740000</v>
      </c>
      <c r="D78" s="47" t="s">
        <v>611</v>
      </c>
      <c r="E78" s="6" t="s">
        <v>427</v>
      </c>
      <c r="F78" s="9" t="s">
        <v>565</v>
      </c>
      <c r="G78" s="47"/>
      <c r="J78" s="51"/>
      <c r="M78" s="16"/>
    </row>
    <row r="79" spans="1:13" ht="14.25" customHeight="1" x14ac:dyDescent="0.3">
      <c r="A79" s="82">
        <v>46083</v>
      </c>
      <c r="B79" s="6" t="s">
        <v>595</v>
      </c>
      <c r="C79" s="51">
        <v>740000</v>
      </c>
      <c r="D79" s="47" t="s">
        <v>611</v>
      </c>
      <c r="E79" s="6" t="s">
        <v>427</v>
      </c>
      <c r="F79" s="9" t="s">
        <v>561</v>
      </c>
      <c r="G79" s="47"/>
      <c r="J79" s="51"/>
      <c r="M79" s="16"/>
    </row>
    <row r="80" spans="1:13" ht="14.25" customHeight="1" x14ac:dyDescent="0.3">
      <c r="A80" s="82">
        <v>46083</v>
      </c>
      <c r="B80" s="6" t="s">
        <v>595</v>
      </c>
      <c r="C80" s="51">
        <v>740000</v>
      </c>
      <c r="D80" s="47" t="s">
        <v>611</v>
      </c>
      <c r="E80" s="6" t="s">
        <v>427</v>
      </c>
      <c r="F80" s="9" t="s">
        <v>18</v>
      </c>
      <c r="G80" s="47"/>
      <c r="J80" s="51"/>
      <c r="M80" s="16"/>
    </row>
    <row r="81" spans="1:13" ht="14.25" customHeight="1" x14ac:dyDescent="0.3">
      <c r="A81" s="82">
        <v>46078</v>
      </c>
      <c r="B81" s="6" t="s">
        <v>584</v>
      </c>
      <c r="C81" s="51">
        <v>31466</v>
      </c>
      <c r="D81" s="9" t="s">
        <v>631</v>
      </c>
      <c r="E81" s="6" t="s">
        <v>427</v>
      </c>
      <c r="F81" s="9" t="s">
        <v>18</v>
      </c>
      <c r="J81" s="51"/>
      <c r="M81" s="16"/>
    </row>
    <row r="82" spans="1:13" ht="14.25" customHeight="1" x14ac:dyDescent="0.3">
      <c r="A82" s="82">
        <v>46078</v>
      </c>
      <c r="B82" s="6" t="s">
        <v>589</v>
      </c>
      <c r="C82" s="51">
        <f>91000-26733</f>
        <v>64267</v>
      </c>
      <c r="D82" s="9" t="s">
        <v>632</v>
      </c>
      <c r="E82" s="6" t="s">
        <v>427</v>
      </c>
      <c r="F82" s="9" t="s">
        <v>565</v>
      </c>
      <c r="J82" s="51"/>
      <c r="M82" s="16"/>
    </row>
    <row r="83" spans="1:13" ht="14.25" customHeight="1" x14ac:dyDescent="0.3">
      <c r="A83" s="82">
        <v>46078</v>
      </c>
      <c r="B83" s="6" t="s">
        <v>584</v>
      </c>
      <c r="C83" s="51">
        <v>249204</v>
      </c>
      <c r="D83" s="47" t="s">
        <v>616</v>
      </c>
      <c r="E83" s="6" t="s">
        <v>427</v>
      </c>
      <c r="F83" s="9" t="s">
        <v>18</v>
      </c>
      <c r="J83" s="51"/>
      <c r="M83" s="16"/>
    </row>
    <row r="84" spans="1:13" ht="14.25" customHeight="1" x14ac:dyDescent="0.3">
      <c r="A84" s="82">
        <v>46078</v>
      </c>
      <c r="B84" s="6" t="s">
        <v>584</v>
      </c>
      <c r="C84" s="51">
        <v>249204</v>
      </c>
      <c r="D84" s="47" t="s">
        <v>616</v>
      </c>
      <c r="E84" s="6" t="s">
        <v>427</v>
      </c>
      <c r="F84" s="9" t="s">
        <v>561</v>
      </c>
      <c r="J84" s="51"/>
      <c r="M84" s="16"/>
    </row>
    <row r="85" spans="1:13" ht="14.25" customHeight="1" x14ac:dyDescent="0.3">
      <c r="A85" s="82">
        <v>46078</v>
      </c>
      <c r="B85" s="6" t="s">
        <v>584</v>
      </c>
      <c r="C85" s="51">
        <v>249204</v>
      </c>
      <c r="D85" s="47" t="s">
        <v>616</v>
      </c>
      <c r="E85" s="6" t="s">
        <v>427</v>
      </c>
      <c r="F85" s="9" t="s">
        <v>565</v>
      </c>
      <c r="J85" s="51"/>
      <c r="M85" s="16"/>
    </row>
    <row r="86" spans="1:13" ht="14.25" customHeight="1" x14ac:dyDescent="0.3">
      <c r="A86" s="82">
        <v>46078</v>
      </c>
      <c r="B86" s="6" t="s">
        <v>584</v>
      </c>
      <c r="C86" s="51">
        <v>36534</v>
      </c>
      <c r="D86" s="9" t="s">
        <v>631</v>
      </c>
      <c r="E86" s="6" t="s">
        <v>427</v>
      </c>
      <c r="F86" s="9" t="s">
        <v>561</v>
      </c>
      <c r="J86" s="51"/>
      <c r="M86" s="16"/>
    </row>
    <row r="87" spans="1:13" ht="14.25" customHeight="1" x14ac:dyDescent="0.3">
      <c r="A87" s="82">
        <v>46078</v>
      </c>
      <c r="B87" s="6" t="s">
        <v>584</v>
      </c>
      <c r="C87" s="51">
        <v>26733</v>
      </c>
      <c r="D87" s="9" t="s">
        <v>632</v>
      </c>
      <c r="E87" s="6" t="s">
        <v>427</v>
      </c>
      <c r="F87" s="9" t="s">
        <v>561</v>
      </c>
      <c r="J87" s="51"/>
      <c r="M87" s="16"/>
    </row>
    <row r="88" spans="1:13" ht="14.25" customHeight="1" x14ac:dyDescent="0.3">
      <c r="A88" s="82">
        <v>46079</v>
      </c>
      <c r="B88" s="6" t="s">
        <v>584</v>
      </c>
      <c r="C88" s="51">
        <v>19277</v>
      </c>
      <c r="D88" s="9" t="s">
        <v>633</v>
      </c>
      <c r="E88" s="6" t="s">
        <v>430</v>
      </c>
      <c r="F88" s="9" t="s">
        <v>18</v>
      </c>
      <c r="J88" s="51"/>
      <c r="M88" s="16"/>
    </row>
    <row r="89" spans="1:13" ht="14.25" customHeight="1" x14ac:dyDescent="0.3">
      <c r="A89" s="82">
        <v>46079</v>
      </c>
      <c r="B89" s="6" t="s">
        <v>584</v>
      </c>
      <c r="C89" s="51">
        <v>9011</v>
      </c>
      <c r="D89" s="9" t="s">
        <v>633</v>
      </c>
      <c r="E89" s="6" t="s">
        <v>430</v>
      </c>
      <c r="F89" s="9" t="s">
        <v>18</v>
      </c>
      <c r="J89" s="51"/>
      <c r="M89" s="16"/>
    </row>
    <row r="90" spans="1:13" ht="14.25" customHeight="1" x14ac:dyDescent="0.3">
      <c r="A90" s="82">
        <v>46080</v>
      </c>
      <c r="B90" s="6" t="s">
        <v>572</v>
      </c>
      <c r="C90" s="51">
        <v>10000</v>
      </c>
      <c r="D90" s="9" t="s">
        <v>634</v>
      </c>
      <c r="E90" s="6" t="s">
        <v>427</v>
      </c>
      <c r="F90" s="9" t="s">
        <v>18</v>
      </c>
      <c r="J90" s="51"/>
      <c r="M90" s="16"/>
    </row>
    <row r="91" spans="1:13" ht="14.25" customHeight="1" x14ac:dyDescent="0.3">
      <c r="A91" s="82">
        <v>46081</v>
      </c>
      <c r="B91" s="6" t="s">
        <v>572</v>
      </c>
      <c r="C91" s="51">
        <v>20000</v>
      </c>
      <c r="D91" s="9" t="s">
        <v>634</v>
      </c>
      <c r="E91" s="6" t="s">
        <v>430</v>
      </c>
      <c r="F91" s="9" t="s">
        <v>561</v>
      </c>
      <c r="J91" s="51"/>
      <c r="M91" s="16"/>
    </row>
    <row r="92" spans="1:13" ht="14.25" customHeight="1" x14ac:dyDescent="0.3">
      <c r="A92" s="82">
        <v>46081</v>
      </c>
      <c r="B92" s="6" t="s">
        <v>584</v>
      </c>
      <c r="C92" s="51">
        <v>20000</v>
      </c>
      <c r="D92" s="9" t="s">
        <v>631</v>
      </c>
      <c r="E92" s="6" t="s">
        <v>427</v>
      </c>
      <c r="F92" s="9" t="s">
        <v>565</v>
      </c>
      <c r="J92" s="51"/>
      <c r="M92" s="16"/>
    </row>
    <row r="93" spans="1:13" ht="14.25" customHeight="1" x14ac:dyDescent="0.3">
      <c r="A93" s="82">
        <v>46083</v>
      </c>
      <c r="B93" s="6" t="s">
        <v>595</v>
      </c>
      <c r="C93" s="51">
        <v>556000</v>
      </c>
      <c r="D93" s="9" t="s">
        <v>635</v>
      </c>
      <c r="E93" s="6" t="s">
        <v>427</v>
      </c>
      <c r="F93" s="9" t="s">
        <v>561</v>
      </c>
      <c r="J93" s="51"/>
      <c r="M93" s="16"/>
    </row>
    <row r="94" spans="1:13" ht="14.25" customHeight="1" x14ac:dyDescent="0.3">
      <c r="A94" s="82">
        <v>46083</v>
      </c>
      <c r="B94" s="6" t="s">
        <v>595</v>
      </c>
      <c r="C94" s="51">
        <v>1760000</v>
      </c>
      <c r="D94" s="9" t="s">
        <v>636</v>
      </c>
      <c r="E94" s="6" t="s">
        <v>427</v>
      </c>
      <c r="F94" s="9" t="s">
        <v>561</v>
      </c>
      <c r="J94" s="51"/>
      <c r="M94" s="16"/>
    </row>
    <row r="95" spans="1:13" ht="14.25" customHeight="1" x14ac:dyDescent="0.3">
      <c r="A95" s="82">
        <v>46083</v>
      </c>
      <c r="B95" s="6" t="s">
        <v>595</v>
      </c>
      <c r="C95" s="51">
        <v>556000</v>
      </c>
      <c r="D95" s="9" t="s">
        <v>635</v>
      </c>
      <c r="E95" s="6" t="s">
        <v>427</v>
      </c>
      <c r="F95" s="9" t="s">
        <v>18</v>
      </c>
      <c r="J95" s="51"/>
      <c r="M95" s="16"/>
    </row>
    <row r="96" spans="1:13" ht="14.25" customHeight="1" x14ac:dyDescent="0.3">
      <c r="A96" s="82">
        <v>46083</v>
      </c>
      <c r="B96" s="6" t="s">
        <v>595</v>
      </c>
      <c r="C96" s="51">
        <v>556000</v>
      </c>
      <c r="D96" s="9" t="s">
        <v>635</v>
      </c>
      <c r="E96" s="6" t="s">
        <v>427</v>
      </c>
      <c r="F96" s="9" t="s">
        <v>565</v>
      </c>
      <c r="J96" s="51"/>
      <c r="M96" s="16"/>
    </row>
    <row r="97" spans="1:13" ht="14.25" customHeight="1" x14ac:dyDescent="0.3">
      <c r="A97" s="82">
        <v>46094</v>
      </c>
      <c r="B97" s="6" t="s">
        <v>595</v>
      </c>
      <c r="C97" s="51">
        <v>1760000</v>
      </c>
      <c r="D97" s="9" t="s">
        <v>636</v>
      </c>
      <c r="E97" s="6" t="s">
        <v>427</v>
      </c>
      <c r="F97" s="9" t="s">
        <v>18</v>
      </c>
      <c r="J97" s="51"/>
      <c r="M97" s="16"/>
    </row>
    <row r="98" spans="1:13" ht="14.25" customHeight="1" x14ac:dyDescent="0.3">
      <c r="A98" s="82">
        <v>46083</v>
      </c>
      <c r="B98" s="6" t="s">
        <v>595</v>
      </c>
      <c r="C98" s="51">
        <v>1760000</v>
      </c>
      <c r="D98" s="9" t="s">
        <v>636</v>
      </c>
      <c r="E98" s="6" t="s">
        <v>427</v>
      </c>
      <c r="F98" s="9" t="s">
        <v>565</v>
      </c>
      <c r="J98" s="51"/>
      <c r="M98" s="16"/>
    </row>
    <row r="99" spans="1:13" ht="14.25" customHeight="1" x14ac:dyDescent="0.3">
      <c r="A99" s="82">
        <v>46084</v>
      </c>
      <c r="B99" s="6" t="s">
        <v>579</v>
      </c>
      <c r="C99" s="51">
        <v>7600</v>
      </c>
      <c r="D99" s="9" t="s">
        <v>637</v>
      </c>
      <c r="E99" s="6" t="s">
        <v>427</v>
      </c>
      <c r="F99" s="9" t="s">
        <v>18</v>
      </c>
      <c r="J99" s="51"/>
      <c r="M99" s="16"/>
    </row>
    <row r="100" spans="1:13" ht="14.25" customHeight="1" x14ac:dyDescent="0.3">
      <c r="A100" s="82">
        <v>46084</v>
      </c>
      <c r="B100" s="6" t="s">
        <v>559</v>
      </c>
      <c r="C100" s="51">
        <v>404000</v>
      </c>
      <c r="D100" s="9" t="s">
        <v>638</v>
      </c>
      <c r="E100" s="6" t="s">
        <v>427</v>
      </c>
      <c r="F100" s="9" t="s">
        <v>565</v>
      </c>
      <c r="J100" s="51"/>
      <c r="M100" s="16"/>
    </row>
    <row r="101" spans="1:13" ht="14.25" customHeight="1" x14ac:dyDescent="0.3">
      <c r="A101" s="82">
        <v>46084</v>
      </c>
      <c r="B101" s="6" t="s">
        <v>559</v>
      </c>
      <c r="C101" s="51">
        <v>404000</v>
      </c>
      <c r="D101" s="9" t="s">
        <v>638</v>
      </c>
      <c r="E101" s="6" t="s">
        <v>427</v>
      </c>
      <c r="F101" s="9" t="s">
        <v>18</v>
      </c>
      <c r="J101" s="51"/>
      <c r="M101" s="16"/>
    </row>
    <row r="102" spans="1:13" ht="14.25" customHeight="1" x14ac:dyDescent="0.3">
      <c r="A102" s="82">
        <v>46084</v>
      </c>
      <c r="B102" s="6" t="s">
        <v>559</v>
      </c>
      <c r="C102" s="51">
        <v>404000</v>
      </c>
      <c r="D102" s="9" t="s">
        <v>638</v>
      </c>
      <c r="E102" s="6" t="s">
        <v>427</v>
      </c>
      <c r="F102" s="9" t="s">
        <v>561</v>
      </c>
      <c r="J102" s="51"/>
      <c r="M102" s="16"/>
    </row>
    <row r="103" spans="1:13" ht="14.25" customHeight="1" x14ac:dyDescent="0.3">
      <c r="A103" s="82">
        <v>46087</v>
      </c>
      <c r="B103" s="6" t="s">
        <v>566</v>
      </c>
      <c r="C103" s="90">
        <v>72500</v>
      </c>
      <c r="D103" s="9" t="s">
        <v>639</v>
      </c>
      <c r="E103" s="6" t="s">
        <v>427</v>
      </c>
      <c r="F103" s="9" t="s">
        <v>565</v>
      </c>
      <c r="J103" s="51"/>
      <c r="M103" s="16"/>
    </row>
    <row r="104" spans="1:13" ht="14.25" customHeight="1" x14ac:dyDescent="0.3">
      <c r="A104" s="82">
        <v>46087</v>
      </c>
      <c r="B104" s="6" t="s">
        <v>566</v>
      </c>
      <c r="C104" s="90">
        <v>72500</v>
      </c>
      <c r="D104" s="9" t="s">
        <v>639</v>
      </c>
      <c r="E104" s="6" t="s">
        <v>427</v>
      </c>
      <c r="F104" s="9" t="s">
        <v>18</v>
      </c>
      <c r="J104" s="51"/>
      <c r="M104" s="16"/>
    </row>
    <row r="105" spans="1:13" ht="14.25" customHeight="1" x14ac:dyDescent="0.3">
      <c r="A105" s="82">
        <v>46087</v>
      </c>
      <c r="B105" s="6" t="s">
        <v>566</v>
      </c>
      <c r="C105" s="90">
        <v>72500</v>
      </c>
      <c r="D105" s="9" t="s">
        <v>639</v>
      </c>
      <c r="E105" s="6" t="s">
        <v>427</v>
      </c>
      <c r="F105" s="9" t="s">
        <v>561</v>
      </c>
      <c r="J105" s="51"/>
      <c r="M105" s="16"/>
    </row>
    <row r="106" spans="1:13" ht="14.25" customHeight="1" x14ac:dyDescent="0.3">
      <c r="A106" s="82">
        <v>46086</v>
      </c>
      <c r="B106" s="6" t="s">
        <v>595</v>
      </c>
      <c r="C106" s="51">
        <v>150000</v>
      </c>
      <c r="D106" s="9" t="s">
        <v>640</v>
      </c>
      <c r="E106" s="6" t="s">
        <v>427</v>
      </c>
      <c r="F106" s="9" t="s">
        <v>561</v>
      </c>
      <c r="J106" s="51"/>
      <c r="M106" s="16"/>
    </row>
    <row r="107" spans="1:13" ht="14.25" customHeight="1" x14ac:dyDescent="0.3">
      <c r="A107" s="82">
        <v>46086</v>
      </c>
      <c r="B107" s="6" t="s">
        <v>595</v>
      </c>
      <c r="C107" s="51">
        <v>150000</v>
      </c>
      <c r="D107" s="9" t="s">
        <v>640</v>
      </c>
      <c r="E107" s="6" t="s">
        <v>427</v>
      </c>
      <c r="F107" s="9" t="s">
        <v>18</v>
      </c>
      <c r="J107" s="51"/>
      <c r="M107" s="16"/>
    </row>
    <row r="108" spans="1:13" ht="14.25" customHeight="1" x14ac:dyDescent="0.3">
      <c r="A108" s="82">
        <v>46086</v>
      </c>
      <c r="B108" s="6" t="s">
        <v>595</v>
      </c>
      <c r="C108" s="51">
        <v>150000</v>
      </c>
      <c r="D108" s="9" t="s">
        <v>640</v>
      </c>
      <c r="E108" s="6" t="s">
        <v>427</v>
      </c>
      <c r="F108" s="9" t="s">
        <v>565</v>
      </c>
      <c r="J108" s="51"/>
      <c r="M108" s="16"/>
    </row>
    <row r="109" spans="1:13" ht="14.25" customHeight="1" x14ac:dyDescent="0.3">
      <c r="A109" s="82">
        <v>46086</v>
      </c>
      <c r="B109" s="6" t="s">
        <v>595</v>
      </c>
      <c r="C109" s="51">
        <f>60000-23600*2</f>
        <v>12800</v>
      </c>
      <c r="D109" s="9" t="s">
        <v>641</v>
      </c>
      <c r="E109" s="6" t="s">
        <v>427</v>
      </c>
      <c r="F109" s="9" t="s">
        <v>18</v>
      </c>
      <c r="J109" s="51"/>
      <c r="M109" s="16"/>
    </row>
    <row r="110" spans="1:13" ht="14.25" customHeight="1" x14ac:dyDescent="0.3">
      <c r="A110" s="82">
        <v>46086</v>
      </c>
      <c r="B110" s="6" t="s">
        <v>586</v>
      </c>
      <c r="C110" s="51">
        <v>5000</v>
      </c>
      <c r="D110" s="9" t="s">
        <v>642</v>
      </c>
      <c r="E110" s="6" t="s">
        <v>427</v>
      </c>
      <c r="F110" s="9" t="s">
        <v>18</v>
      </c>
      <c r="J110" s="51"/>
      <c r="M110" s="16"/>
    </row>
    <row r="111" spans="1:13" ht="14.25" customHeight="1" x14ac:dyDescent="0.3">
      <c r="A111" s="82">
        <v>46086</v>
      </c>
      <c r="B111" s="6" t="s">
        <v>595</v>
      </c>
      <c r="C111" s="16">
        <v>23600</v>
      </c>
      <c r="D111" s="9" t="s">
        <v>641</v>
      </c>
      <c r="E111" s="6" t="s">
        <v>427</v>
      </c>
      <c r="F111" s="9" t="s">
        <v>565</v>
      </c>
      <c r="J111" s="51"/>
      <c r="M111" s="16"/>
    </row>
    <row r="112" spans="1:13" ht="14.25" customHeight="1" x14ac:dyDescent="0.3">
      <c r="A112" s="82">
        <v>46086</v>
      </c>
      <c r="B112" s="6" t="s">
        <v>595</v>
      </c>
      <c r="C112" s="16">
        <v>23600</v>
      </c>
      <c r="D112" s="9" t="s">
        <v>641</v>
      </c>
      <c r="E112" s="6" t="s">
        <v>427</v>
      </c>
      <c r="F112" s="9" t="s">
        <v>561</v>
      </c>
      <c r="J112" s="51"/>
      <c r="M112" s="16"/>
    </row>
    <row r="113" spans="1:13" ht="14.25" customHeight="1" x14ac:dyDescent="0.3">
      <c r="A113" s="5">
        <v>46090</v>
      </c>
      <c r="B113" s="6" t="s">
        <v>584</v>
      </c>
      <c r="C113" s="16">
        <v>176000</v>
      </c>
      <c r="D113" s="9" t="s">
        <v>643</v>
      </c>
      <c r="E113" s="9" t="s">
        <v>427</v>
      </c>
      <c r="F113" s="6" t="s">
        <v>562</v>
      </c>
      <c r="J113" s="51"/>
      <c r="M113" s="16"/>
    </row>
    <row r="114" spans="1:13" ht="14.25" customHeight="1" x14ac:dyDescent="0.3">
      <c r="A114" s="5">
        <v>46090</v>
      </c>
      <c r="B114" s="6" t="s">
        <v>586</v>
      </c>
      <c r="C114" s="16">
        <f>13500-4500</f>
        <v>9000</v>
      </c>
      <c r="D114" s="9" t="s">
        <v>644</v>
      </c>
      <c r="E114" s="9" t="s">
        <v>430</v>
      </c>
      <c r="F114" s="9" t="s">
        <v>18</v>
      </c>
      <c r="J114" s="51"/>
      <c r="M114" s="16"/>
    </row>
    <row r="115" spans="1:13" ht="14.25" customHeight="1" x14ac:dyDescent="0.3">
      <c r="A115" s="5">
        <v>46090</v>
      </c>
      <c r="B115" s="6" t="s">
        <v>586</v>
      </c>
      <c r="C115" s="16">
        <f>13100-4500</f>
        <v>8600</v>
      </c>
      <c r="D115" s="9" t="s">
        <v>644</v>
      </c>
      <c r="E115" s="9" t="s">
        <v>427</v>
      </c>
      <c r="F115" s="9" t="s">
        <v>565</v>
      </c>
      <c r="J115" s="51"/>
      <c r="M115" s="16"/>
    </row>
    <row r="116" spans="1:13" ht="14.25" customHeight="1" x14ac:dyDescent="0.3">
      <c r="A116" s="5">
        <v>46090</v>
      </c>
      <c r="B116" s="6" t="s">
        <v>586</v>
      </c>
      <c r="C116" s="16">
        <v>9000</v>
      </c>
      <c r="D116" s="9" t="s">
        <v>644</v>
      </c>
      <c r="E116" s="9" t="s">
        <v>427</v>
      </c>
      <c r="F116" s="9" t="s">
        <v>561</v>
      </c>
      <c r="J116" s="51"/>
      <c r="M116" s="16"/>
    </row>
    <row r="117" spans="1:13" ht="14.25" customHeight="1" x14ac:dyDescent="0.3">
      <c r="A117" s="5">
        <v>46092</v>
      </c>
      <c r="B117" s="6" t="s">
        <v>586</v>
      </c>
      <c r="C117" s="16">
        <v>10000</v>
      </c>
      <c r="D117" s="9" t="s">
        <v>642</v>
      </c>
      <c r="E117" s="9" t="s">
        <v>430</v>
      </c>
      <c r="F117" s="9" t="s">
        <v>18</v>
      </c>
      <c r="J117" s="51"/>
      <c r="M117" s="16"/>
    </row>
    <row r="118" spans="1:13" ht="14.25" customHeight="1" x14ac:dyDescent="0.3">
      <c r="A118" s="5">
        <v>46092</v>
      </c>
      <c r="B118" s="6" t="s">
        <v>584</v>
      </c>
      <c r="C118" s="16">
        <f>40800-29500</f>
        <v>11300</v>
      </c>
      <c r="D118" s="9" t="s">
        <v>645</v>
      </c>
      <c r="E118" s="9" t="s">
        <v>427</v>
      </c>
      <c r="F118" s="9" t="s">
        <v>18</v>
      </c>
      <c r="J118" s="51"/>
      <c r="M118" s="16"/>
    </row>
    <row r="119" spans="1:13" ht="14.25" customHeight="1" x14ac:dyDescent="0.3">
      <c r="A119" s="5">
        <v>46093</v>
      </c>
      <c r="B119" s="6" t="s">
        <v>586</v>
      </c>
      <c r="C119" s="16">
        <v>20000</v>
      </c>
      <c r="D119" s="9" t="s">
        <v>625</v>
      </c>
      <c r="E119" s="9" t="s">
        <v>430</v>
      </c>
      <c r="F119" s="9" t="s">
        <v>562</v>
      </c>
      <c r="J119" s="51"/>
      <c r="M119" s="16"/>
    </row>
    <row r="120" spans="1:13" ht="14.25" customHeight="1" x14ac:dyDescent="0.3">
      <c r="A120" s="5">
        <v>46092</v>
      </c>
      <c r="B120" s="6" t="s">
        <v>584</v>
      </c>
      <c r="C120" s="16">
        <v>160000</v>
      </c>
      <c r="D120" s="9" t="s">
        <v>622</v>
      </c>
      <c r="E120" s="9" t="s">
        <v>427</v>
      </c>
      <c r="F120" s="9" t="s">
        <v>562</v>
      </c>
      <c r="J120" s="51"/>
      <c r="M120" s="16"/>
    </row>
    <row r="121" spans="1:13" ht="14.25" customHeight="1" x14ac:dyDescent="0.3">
      <c r="A121" s="5">
        <v>46095</v>
      </c>
      <c r="B121" s="6" t="s">
        <v>579</v>
      </c>
      <c r="C121" s="16">
        <v>15000</v>
      </c>
      <c r="D121" s="9" t="s">
        <v>646</v>
      </c>
      <c r="E121" s="9" t="s">
        <v>427</v>
      </c>
      <c r="F121" s="9" t="s">
        <v>565</v>
      </c>
      <c r="J121" s="51"/>
      <c r="M121" s="16"/>
    </row>
    <row r="122" spans="1:13" ht="14.25" customHeight="1" x14ac:dyDescent="0.3">
      <c r="A122" s="5">
        <v>46098</v>
      </c>
      <c r="B122" s="6" t="s">
        <v>598</v>
      </c>
      <c r="C122" s="16">
        <f>312000-96000</f>
        <v>216000</v>
      </c>
      <c r="D122" s="9" t="s">
        <v>647</v>
      </c>
      <c r="E122" s="9" t="s">
        <v>427</v>
      </c>
      <c r="F122" s="9" t="s">
        <v>562</v>
      </c>
      <c r="G122" s="9" t="s">
        <v>648</v>
      </c>
      <c r="J122" s="51"/>
      <c r="M122" s="16"/>
    </row>
    <row r="123" spans="1:13" ht="14.25" customHeight="1" x14ac:dyDescent="0.3">
      <c r="A123" s="5">
        <v>46091</v>
      </c>
      <c r="B123" s="6" t="s">
        <v>598</v>
      </c>
      <c r="C123" s="16">
        <v>20000</v>
      </c>
      <c r="D123" s="9" t="s">
        <v>649</v>
      </c>
      <c r="E123" s="9" t="s">
        <v>430</v>
      </c>
      <c r="F123" s="9" t="s">
        <v>562</v>
      </c>
      <c r="J123" s="51"/>
      <c r="M123" s="16"/>
    </row>
    <row r="124" spans="1:13" ht="14.25" customHeight="1" x14ac:dyDescent="0.3">
      <c r="A124" s="5">
        <v>46099</v>
      </c>
      <c r="B124" s="9" t="s">
        <v>569</v>
      </c>
      <c r="C124" s="16">
        <f>23000-14900</f>
        <v>8100</v>
      </c>
      <c r="D124" s="9" t="s">
        <v>650</v>
      </c>
      <c r="E124" s="9" t="s">
        <v>427</v>
      </c>
      <c r="F124" s="9" t="s">
        <v>18</v>
      </c>
      <c r="J124" s="51"/>
      <c r="M124" s="16"/>
    </row>
    <row r="125" spans="1:13" ht="14.25" customHeight="1" x14ac:dyDescent="0.3">
      <c r="A125" s="5">
        <v>46099</v>
      </c>
      <c r="B125" s="9" t="s">
        <v>569</v>
      </c>
      <c r="C125" s="16">
        <v>14900</v>
      </c>
      <c r="D125" s="9" t="s">
        <v>650</v>
      </c>
      <c r="E125" s="9" t="s">
        <v>427</v>
      </c>
      <c r="F125" s="9" t="s">
        <v>565</v>
      </c>
      <c r="J125" s="51"/>
      <c r="M125" s="16"/>
    </row>
    <row r="126" spans="1:13" ht="14.25" customHeight="1" x14ac:dyDescent="0.3">
      <c r="A126" s="5">
        <v>46099</v>
      </c>
      <c r="B126" s="9" t="s">
        <v>584</v>
      </c>
      <c r="C126" s="16">
        <v>29500</v>
      </c>
      <c r="D126" s="9" t="s">
        <v>645</v>
      </c>
      <c r="E126" s="9" t="s">
        <v>427</v>
      </c>
      <c r="F126" s="9" t="s">
        <v>561</v>
      </c>
      <c r="J126" s="51"/>
      <c r="M126" s="16"/>
    </row>
    <row r="127" spans="1:13" ht="14.25" customHeight="1" x14ac:dyDescent="0.3">
      <c r="A127" s="5">
        <v>46100</v>
      </c>
      <c r="B127" s="9" t="s">
        <v>572</v>
      </c>
      <c r="C127" s="16">
        <v>263000</v>
      </c>
      <c r="D127" s="9" t="s">
        <v>651</v>
      </c>
      <c r="E127" s="9" t="s">
        <v>427</v>
      </c>
      <c r="F127" s="9" t="s">
        <v>562</v>
      </c>
      <c r="J127" s="51"/>
      <c r="M127" s="16"/>
    </row>
    <row r="128" spans="1:13" ht="14.25" customHeight="1" x14ac:dyDescent="0.3">
      <c r="A128" s="5">
        <v>46100</v>
      </c>
      <c r="B128" s="9" t="s">
        <v>586</v>
      </c>
      <c r="C128" s="16">
        <v>17000</v>
      </c>
      <c r="D128" s="9" t="s">
        <v>652</v>
      </c>
      <c r="E128" s="9" t="s">
        <v>427</v>
      </c>
      <c r="F128" s="9" t="s">
        <v>562</v>
      </c>
      <c r="J128" s="51"/>
      <c r="M128" s="16"/>
    </row>
    <row r="129" spans="1:13" ht="14.25" customHeight="1" x14ac:dyDescent="0.3">
      <c r="A129" s="5">
        <v>46101</v>
      </c>
      <c r="B129" s="9" t="s">
        <v>585</v>
      </c>
      <c r="C129" s="16">
        <v>7400</v>
      </c>
      <c r="D129" s="9" t="s">
        <v>653</v>
      </c>
      <c r="E129" s="9" t="s">
        <v>427</v>
      </c>
      <c r="F129" s="9" t="s">
        <v>18</v>
      </c>
      <c r="J129" s="51"/>
      <c r="M129" s="16"/>
    </row>
    <row r="130" spans="1:13" ht="14.25" customHeight="1" x14ac:dyDescent="0.3">
      <c r="A130" s="5">
        <v>46101</v>
      </c>
      <c r="B130" s="9" t="s">
        <v>585</v>
      </c>
      <c r="C130" s="16">
        <v>3600</v>
      </c>
      <c r="D130" s="9" t="s">
        <v>653</v>
      </c>
      <c r="E130" s="9" t="s">
        <v>427</v>
      </c>
      <c r="F130" s="9" t="s">
        <v>561</v>
      </c>
      <c r="J130" s="51"/>
      <c r="M130" s="16"/>
    </row>
    <row r="131" spans="1:13" ht="14.25" customHeight="1" x14ac:dyDescent="0.3">
      <c r="A131" s="5">
        <v>46101</v>
      </c>
      <c r="B131" s="9" t="s">
        <v>566</v>
      </c>
      <c r="C131" s="16">
        <v>150950</v>
      </c>
      <c r="D131" s="9" t="s">
        <v>654</v>
      </c>
      <c r="E131" s="9" t="s">
        <v>427</v>
      </c>
      <c r="F131" s="9" t="s">
        <v>562</v>
      </c>
      <c r="J131" s="51"/>
      <c r="M131" s="16"/>
    </row>
    <row r="132" spans="1:13" ht="14.25" customHeight="1" x14ac:dyDescent="0.3">
      <c r="A132" s="5">
        <v>46101</v>
      </c>
      <c r="B132" s="9" t="s">
        <v>572</v>
      </c>
      <c r="C132" s="16">
        <v>30000</v>
      </c>
      <c r="D132" s="9" t="s">
        <v>655</v>
      </c>
      <c r="E132" s="9" t="s">
        <v>427</v>
      </c>
      <c r="F132" s="9" t="s">
        <v>562</v>
      </c>
      <c r="J132" s="51"/>
      <c r="M132" s="16"/>
    </row>
    <row r="133" spans="1:13" ht="14.25" customHeight="1" x14ac:dyDescent="0.3">
      <c r="A133" s="5">
        <v>46101</v>
      </c>
      <c r="B133" s="9" t="s">
        <v>595</v>
      </c>
      <c r="C133" s="16">
        <v>539000</v>
      </c>
      <c r="D133" s="9" t="s">
        <v>656</v>
      </c>
      <c r="E133" s="9" t="s">
        <v>427</v>
      </c>
      <c r="F133" s="9" t="s">
        <v>562</v>
      </c>
      <c r="J133" s="51"/>
      <c r="M133" s="16"/>
    </row>
    <row r="134" spans="1:13" ht="14.25" customHeight="1" x14ac:dyDescent="0.3">
      <c r="A134" s="5">
        <v>46101</v>
      </c>
      <c r="B134" s="9" t="s">
        <v>595</v>
      </c>
      <c r="C134" s="16">
        <v>75000</v>
      </c>
      <c r="D134" s="9" t="s">
        <v>657</v>
      </c>
      <c r="E134" s="9" t="s">
        <v>427</v>
      </c>
      <c r="F134" s="9" t="s">
        <v>562</v>
      </c>
      <c r="J134" s="51"/>
      <c r="M134" s="16"/>
    </row>
    <row r="135" spans="1:13" ht="14.25" customHeight="1" x14ac:dyDescent="0.3">
      <c r="A135" s="5">
        <v>46101</v>
      </c>
      <c r="B135" s="9" t="s">
        <v>595</v>
      </c>
      <c r="C135" s="16">
        <v>40000</v>
      </c>
      <c r="D135" s="9" t="s">
        <v>658</v>
      </c>
      <c r="E135" s="9" t="s">
        <v>427</v>
      </c>
      <c r="F135" s="9" t="s">
        <v>562</v>
      </c>
      <c r="J135" s="51"/>
      <c r="M135" s="16"/>
    </row>
    <row r="136" spans="1:13" ht="14.25" customHeight="1" x14ac:dyDescent="0.3">
      <c r="A136" s="5">
        <v>46101</v>
      </c>
      <c r="B136" s="9" t="s">
        <v>584</v>
      </c>
      <c r="C136" s="16">
        <v>90000</v>
      </c>
      <c r="D136" s="9" t="s">
        <v>645</v>
      </c>
      <c r="E136" s="9" t="s">
        <v>430</v>
      </c>
      <c r="F136" s="9" t="s">
        <v>562</v>
      </c>
      <c r="J136" s="51"/>
      <c r="M136" s="16"/>
    </row>
    <row r="137" spans="1:13" ht="14.25" customHeight="1" x14ac:dyDescent="0.3">
      <c r="A137" s="5">
        <v>46101</v>
      </c>
      <c r="B137" s="9" t="s">
        <v>586</v>
      </c>
      <c r="C137" s="16">
        <v>28000</v>
      </c>
      <c r="D137" s="9" t="s">
        <v>659</v>
      </c>
      <c r="E137" s="9" t="s">
        <v>430</v>
      </c>
      <c r="F137" s="9" t="s">
        <v>562</v>
      </c>
      <c r="J137" s="51"/>
      <c r="M137" s="16"/>
    </row>
    <row r="138" spans="1:13" ht="14.25" customHeight="1" x14ac:dyDescent="0.3">
      <c r="A138" s="5">
        <v>46101</v>
      </c>
      <c r="B138" s="9" t="s">
        <v>591</v>
      </c>
      <c r="C138" s="16">
        <v>30000</v>
      </c>
      <c r="D138" s="9" t="s">
        <v>660</v>
      </c>
      <c r="E138" s="9" t="s">
        <v>430</v>
      </c>
      <c r="F138" s="9" t="s">
        <v>562</v>
      </c>
      <c r="J138" s="51"/>
      <c r="M138" s="16"/>
    </row>
    <row r="139" spans="1:13" ht="14.25" customHeight="1" x14ac:dyDescent="0.3">
      <c r="A139" s="5">
        <v>46102</v>
      </c>
      <c r="B139" s="9" t="s">
        <v>595</v>
      </c>
      <c r="C139" s="16">
        <v>518000</v>
      </c>
      <c r="D139" s="9" t="s">
        <v>661</v>
      </c>
      <c r="E139" s="9" t="s">
        <v>427</v>
      </c>
      <c r="F139" s="9" t="s">
        <v>562</v>
      </c>
      <c r="J139" s="51"/>
      <c r="M139" s="16"/>
    </row>
    <row r="140" spans="1:13" ht="14.25" customHeight="1" x14ac:dyDescent="0.3">
      <c r="A140" s="5">
        <v>46102</v>
      </c>
      <c r="B140" s="9" t="s">
        <v>598</v>
      </c>
      <c r="C140" s="16">
        <v>46000</v>
      </c>
      <c r="D140" s="9" t="s">
        <v>662</v>
      </c>
      <c r="E140" s="9" t="s">
        <v>427</v>
      </c>
      <c r="F140" s="9" t="s">
        <v>562</v>
      </c>
      <c r="G140" s="9" t="s">
        <v>648</v>
      </c>
      <c r="J140" s="51"/>
      <c r="M140" s="16"/>
    </row>
    <row r="141" spans="1:13" ht="14.25" customHeight="1" x14ac:dyDescent="0.3">
      <c r="A141" s="5">
        <v>46102</v>
      </c>
      <c r="B141" s="9" t="s">
        <v>598</v>
      </c>
      <c r="C141" s="16">
        <v>15300</v>
      </c>
      <c r="D141" s="9" t="s">
        <v>663</v>
      </c>
      <c r="E141" s="9" t="s">
        <v>427</v>
      </c>
      <c r="F141" s="9" t="s">
        <v>562</v>
      </c>
      <c r="G141" s="9" t="s">
        <v>648</v>
      </c>
      <c r="J141" s="51"/>
      <c r="M141" s="16"/>
    </row>
    <row r="142" spans="1:13" ht="14.25" customHeight="1" x14ac:dyDescent="0.3">
      <c r="A142" s="5">
        <v>46105</v>
      </c>
      <c r="B142" s="9" t="s">
        <v>572</v>
      </c>
      <c r="C142" s="16">
        <v>92000</v>
      </c>
      <c r="D142" s="9" t="s">
        <v>664</v>
      </c>
      <c r="E142" s="9" t="s">
        <v>430</v>
      </c>
      <c r="F142" s="9" t="s">
        <v>562</v>
      </c>
      <c r="J142" s="51"/>
      <c r="M142" s="16"/>
    </row>
    <row r="143" spans="1:13" ht="14.25" customHeight="1" x14ac:dyDescent="0.3">
      <c r="A143" s="5">
        <v>46108</v>
      </c>
      <c r="B143" s="9" t="s">
        <v>572</v>
      </c>
      <c r="C143" s="16">
        <v>90600</v>
      </c>
      <c r="D143" s="9" t="s">
        <v>665</v>
      </c>
      <c r="E143" s="9" t="s">
        <v>427</v>
      </c>
      <c r="F143" s="9" t="s">
        <v>562</v>
      </c>
      <c r="G143" s="9" t="s">
        <v>666</v>
      </c>
      <c r="J143" s="51"/>
      <c r="M143" s="16"/>
    </row>
    <row r="144" spans="1:13" ht="14.25" customHeight="1" x14ac:dyDescent="0.3">
      <c r="A144" s="5">
        <v>46112</v>
      </c>
      <c r="B144" s="9" t="s">
        <v>595</v>
      </c>
      <c r="C144" s="16">
        <v>92000</v>
      </c>
      <c r="D144" s="9" t="s">
        <v>667</v>
      </c>
      <c r="E144" s="9" t="s">
        <v>427</v>
      </c>
      <c r="F144" s="9" t="s">
        <v>562</v>
      </c>
      <c r="J144" s="51"/>
      <c r="M144" s="16"/>
    </row>
    <row r="145" spans="1:13" ht="14.25" customHeight="1" x14ac:dyDescent="0.3">
      <c r="A145" s="5">
        <v>46112</v>
      </c>
      <c r="B145" s="9" t="s">
        <v>579</v>
      </c>
      <c r="C145" s="16">
        <v>500000</v>
      </c>
      <c r="D145" s="9" t="s">
        <v>668</v>
      </c>
      <c r="E145" s="9" t="s">
        <v>427</v>
      </c>
      <c r="F145" s="9" t="s">
        <v>562</v>
      </c>
      <c r="J145" s="51"/>
      <c r="M145" s="16"/>
    </row>
    <row r="146" spans="1:13" ht="14.25" customHeight="1" x14ac:dyDescent="0.3">
      <c r="A146" s="5">
        <v>46112</v>
      </c>
      <c r="B146" s="9" t="s">
        <v>579</v>
      </c>
      <c r="C146" s="16">
        <v>200000</v>
      </c>
      <c r="D146" s="9" t="s">
        <v>669</v>
      </c>
      <c r="E146" s="9" t="s">
        <v>427</v>
      </c>
      <c r="F146" s="9" t="s">
        <v>562</v>
      </c>
      <c r="J146" s="51"/>
      <c r="M146" s="16"/>
    </row>
    <row r="147" spans="1:13" ht="14.25" customHeight="1" x14ac:dyDescent="0.3">
      <c r="A147" s="5">
        <v>46113</v>
      </c>
      <c r="B147" s="9" t="s">
        <v>579</v>
      </c>
      <c r="C147" s="16">
        <v>52560</v>
      </c>
      <c r="D147" s="9" t="s">
        <v>670</v>
      </c>
      <c r="E147" s="9" t="s">
        <v>427</v>
      </c>
      <c r="F147" s="9" t="s">
        <v>562</v>
      </c>
      <c r="J147" s="51"/>
      <c r="M147" s="16"/>
    </row>
    <row r="148" spans="1:13" ht="14.25" customHeight="1" x14ac:dyDescent="0.3">
      <c r="A148" s="5">
        <v>46117</v>
      </c>
      <c r="B148" s="9" t="s">
        <v>559</v>
      </c>
      <c r="C148" s="16">
        <v>1210000</v>
      </c>
      <c r="D148" s="9" t="s">
        <v>671</v>
      </c>
      <c r="E148" s="9" t="s">
        <v>427</v>
      </c>
      <c r="F148" s="9" t="s">
        <v>562</v>
      </c>
      <c r="J148" s="51"/>
      <c r="M148" s="16"/>
    </row>
    <row r="149" spans="1:13" ht="14.25" customHeight="1" x14ac:dyDescent="0.3">
      <c r="A149" s="5">
        <v>46117</v>
      </c>
      <c r="B149" s="9" t="s">
        <v>579</v>
      </c>
      <c r="C149" s="16">
        <v>146000</v>
      </c>
      <c r="D149" s="9" t="s">
        <v>672</v>
      </c>
      <c r="E149" s="9" t="s">
        <v>427</v>
      </c>
      <c r="F149" s="9" t="s">
        <v>562</v>
      </c>
      <c r="J149" s="51"/>
      <c r="M149" s="16"/>
    </row>
    <row r="150" spans="1:13" ht="14.25" customHeight="1" x14ac:dyDescent="0.3">
      <c r="A150" s="5">
        <v>46117</v>
      </c>
      <c r="B150" s="9" t="s">
        <v>599</v>
      </c>
      <c r="C150" s="16">
        <v>103035</v>
      </c>
      <c r="D150" s="9" t="s">
        <v>673</v>
      </c>
      <c r="E150" s="9" t="s">
        <v>427</v>
      </c>
      <c r="F150" s="9" t="s">
        <v>562</v>
      </c>
      <c r="J150" s="51"/>
      <c r="M150" s="16"/>
    </row>
    <row r="151" spans="1:13" ht="14.25" customHeight="1" x14ac:dyDescent="0.3">
      <c r="A151" s="5">
        <v>46118</v>
      </c>
      <c r="B151" s="9" t="s">
        <v>579</v>
      </c>
      <c r="C151" s="16">
        <v>170000</v>
      </c>
      <c r="D151" s="9" t="s">
        <v>669</v>
      </c>
      <c r="E151" s="9" t="s">
        <v>427</v>
      </c>
      <c r="F151" s="9" t="s">
        <v>562</v>
      </c>
      <c r="J151" s="51"/>
      <c r="M151" s="16"/>
    </row>
    <row r="152" spans="1:13" ht="14.25" customHeight="1" x14ac:dyDescent="0.3">
      <c r="A152" s="5">
        <v>46118</v>
      </c>
      <c r="B152" s="9" t="s">
        <v>585</v>
      </c>
      <c r="C152" s="16">
        <v>10000</v>
      </c>
      <c r="D152" s="9" t="s">
        <v>674</v>
      </c>
      <c r="E152" s="9" t="s">
        <v>430</v>
      </c>
      <c r="F152" s="9" t="s">
        <v>562</v>
      </c>
      <c r="J152" s="51"/>
      <c r="M152" s="16"/>
    </row>
    <row r="153" spans="1:13" ht="14.25" customHeight="1" x14ac:dyDescent="0.3">
      <c r="A153" s="5">
        <v>46118</v>
      </c>
      <c r="B153" s="9" t="s">
        <v>572</v>
      </c>
      <c r="C153" s="16">
        <v>43000</v>
      </c>
      <c r="D153" s="9" t="s">
        <v>675</v>
      </c>
      <c r="E153" s="9" t="s">
        <v>427</v>
      </c>
      <c r="F153" s="9" t="s">
        <v>562</v>
      </c>
      <c r="J153" s="51"/>
      <c r="M153" s="16"/>
    </row>
    <row r="154" spans="1:13" ht="14.25" customHeight="1" x14ac:dyDescent="0.3">
      <c r="A154" s="5">
        <v>46119</v>
      </c>
      <c r="B154" s="9" t="s">
        <v>572</v>
      </c>
      <c r="C154" s="16">
        <v>100000</v>
      </c>
      <c r="D154" s="9" t="s">
        <v>676</v>
      </c>
      <c r="E154" s="9" t="s">
        <v>427</v>
      </c>
      <c r="F154" s="9" t="s">
        <v>562</v>
      </c>
      <c r="J154" s="51"/>
      <c r="M154" s="16"/>
    </row>
    <row r="155" spans="1:13" ht="14.25" customHeight="1" x14ac:dyDescent="0.3">
      <c r="A155" s="5">
        <v>46119</v>
      </c>
      <c r="B155" s="9" t="s">
        <v>579</v>
      </c>
      <c r="C155" s="16">
        <v>500000</v>
      </c>
      <c r="D155" s="9" t="s">
        <v>677</v>
      </c>
      <c r="E155" s="9" t="s">
        <v>427</v>
      </c>
      <c r="F155" s="9" t="s">
        <v>562</v>
      </c>
      <c r="J155" s="51"/>
      <c r="M155" s="16"/>
    </row>
    <row r="156" spans="1:13" ht="14.25" customHeight="1" x14ac:dyDescent="0.3">
      <c r="A156" s="5">
        <v>46119</v>
      </c>
      <c r="B156" s="9" t="s">
        <v>595</v>
      </c>
      <c r="C156" s="16">
        <v>132100</v>
      </c>
      <c r="D156" s="9" t="s">
        <v>678</v>
      </c>
      <c r="E156" s="9" t="s">
        <v>427</v>
      </c>
      <c r="F156" s="9" t="s">
        <v>562</v>
      </c>
      <c r="J156" s="51"/>
      <c r="M156" s="16"/>
    </row>
    <row r="157" spans="1:13" ht="14.25" customHeight="1" x14ac:dyDescent="0.3">
      <c r="A157" s="5">
        <v>46119</v>
      </c>
      <c r="B157" s="9" t="s">
        <v>595</v>
      </c>
      <c r="C157" s="16">
        <v>161500</v>
      </c>
      <c r="D157" s="9" t="s">
        <v>679</v>
      </c>
      <c r="E157" s="9" t="s">
        <v>427</v>
      </c>
      <c r="F157" s="9" t="s">
        <v>562</v>
      </c>
      <c r="J157" s="51"/>
      <c r="M157" s="16"/>
    </row>
    <row r="158" spans="1:13" ht="14.25" customHeight="1" x14ac:dyDescent="0.3">
      <c r="A158" s="5">
        <v>46119</v>
      </c>
      <c r="B158" s="9" t="s">
        <v>595</v>
      </c>
      <c r="C158" s="16">
        <v>160000</v>
      </c>
      <c r="D158" s="9" t="s">
        <v>680</v>
      </c>
      <c r="E158" s="9" t="s">
        <v>427</v>
      </c>
      <c r="F158" s="9" t="s">
        <v>562</v>
      </c>
      <c r="J158" s="51"/>
      <c r="M158" s="16"/>
    </row>
    <row r="159" spans="1:13" ht="14.25" customHeight="1" x14ac:dyDescent="0.3">
      <c r="A159" s="5">
        <v>46119</v>
      </c>
      <c r="B159" s="9" t="s">
        <v>595</v>
      </c>
      <c r="C159" s="16">
        <v>1145000</v>
      </c>
      <c r="D159" s="9" t="s">
        <v>681</v>
      </c>
      <c r="E159" s="9" t="s">
        <v>427</v>
      </c>
      <c r="F159" s="9" t="s">
        <v>562</v>
      </c>
      <c r="J159" s="51"/>
      <c r="M159" s="16"/>
    </row>
    <row r="160" spans="1:13" ht="14.25" customHeight="1" x14ac:dyDescent="0.3">
      <c r="A160" s="5">
        <v>46119</v>
      </c>
      <c r="B160" s="9" t="s">
        <v>584</v>
      </c>
      <c r="C160" s="16">
        <v>16000</v>
      </c>
      <c r="D160" s="9" t="s">
        <v>682</v>
      </c>
      <c r="E160" s="9" t="s">
        <v>427</v>
      </c>
      <c r="F160" s="9" t="s">
        <v>562</v>
      </c>
      <c r="J160" s="51"/>
      <c r="M160" s="16"/>
    </row>
    <row r="161" spans="1:13" ht="14.25" customHeight="1" x14ac:dyDescent="0.3">
      <c r="A161" s="5">
        <v>46119</v>
      </c>
      <c r="B161" s="9" t="s">
        <v>579</v>
      </c>
      <c r="C161" s="16">
        <v>500000</v>
      </c>
      <c r="D161" s="9" t="s">
        <v>683</v>
      </c>
      <c r="E161" s="9" t="s">
        <v>427</v>
      </c>
      <c r="F161" s="9" t="s">
        <v>562</v>
      </c>
      <c r="J161" s="51"/>
      <c r="M161" s="16"/>
    </row>
    <row r="162" spans="1:13" ht="14.25" customHeight="1" x14ac:dyDescent="0.3">
      <c r="A162" s="5">
        <v>46119</v>
      </c>
      <c r="B162" s="9" t="s">
        <v>586</v>
      </c>
      <c r="C162" s="16">
        <v>11050</v>
      </c>
      <c r="D162" s="9" t="s">
        <v>642</v>
      </c>
      <c r="E162" s="9" t="s">
        <v>427</v>
      </c>
      <c r="F162" s="9" t="s">
        <v>562</v>
      </c>
      <c r="J162" s="51"/>
      <c r="M162" s="16"/>
    </row>
    <row r="163" spans="1:13" ht="14.25" customHeight="1" x14ac:dyDescent="0.3">
      <c r="A163" s="5">
        <v>46119</v>
      </c>
      <c r="B163" s="9" t="s">
        <v>584</v>
      </c>
      <c r="C163" s="16">
        <v>2200</v>
      </c>
      <c r="D163" s="9" t="s">
        <v>684</v>
      </c>
      <c r="E163" s="9" t="s">
        <v>427</v>
      </c>
      <c r="F163" s="9" t="s">
        <v>562</v>
      </c>
      <c r="J163" s="51"/>
      <c r="M163" s="16"/>
    </row>
    <row r="164" spans="1:13" ht="14.25" customHeight="1" x14ac:dyDescent="0.3">
      <c r="A164" s="5">
        <v>46120</v>
      </c>
      <c r="B164" s="9" t="s">
        <v>572</v>
      </c>
      <c r="C164" s="16">
        <v>14100</v>
      </c>
      <c r="D164" s="9" t="s">
        <v>685</v>
      </c>
      <c r="E164" s="9" t="s">
        <v>430</v>
      </c>
      <c r="F164" s="9" t="s">
        <v>562</v>
      </c>
      <c r="J164" s="51"/>
      <c r="M164" s="16"/>
    </row>
    <row r="165" spans="1:13" ht="14.25" customHeight="1" x14ac:dyDescent="0.3">
      <c r="A165" s="5">
        <v>46120</v>
      </c>
      <c r="B165" s="9" t="s">
        <v>579</v>
      </c>
      <c r="C165" s="16">
        <v>20000</v>
      </c>
      <c r="D165" s="9" t="s">
        <v>686</v>
      </c>
      <c r="E165" s="9" t="s">
        <v>430</v>
      </c>
      <c r="F165" s="9" t="s">
        <v>562</v>
      </c>
      <c r="J165" s="51"/>
      <c r="M165" s="16"/>
    </row>
    <row r="166" spans="1:13" ht="14.25" customHeight="1" x14ac:dyDescent="0.3">
      <c r="A166" s="5">
        <v>46123</v>
      </c>
      <c r="B166" s="9" t="s">
        <v>595</v>
      </c>
      <c r="C166" s="16">
        <v>360000</v>
      </c>
      <c r="D166" s="9" t="s">
        <v>687</v>
      </c>
      <c r="E166" s="9" t="s">
        <v>427</v>
      </c>
      <c r="F166" s="9" t="s">
        <v>562</v>
      </c>
      <c r="G166" s="9" t="s">
        <v>688</v>
      </c>
      <c r="J166" s="51"/>
      <c r="M166" s="16"/>
    </row>
    <row r="167" spans="1:13" ht="14.25" customHeight="1" x14ac:dyDescent="0.3">
      <c r="A167" s="5">
        <v>46043</v>
      </c>
      <c r="B167" s="9" t="s">
        <v>569</v>
      </c>
      <c r="C167" s="16">
        <v>43000</v>
      </c>
      <c r="D167" s="9" t="s">
        <v>689</v>
      </c>
      <c r="E167" s="9" t="s">
        <v>427</v>
      </c>
      <c r="F167" s="9" t="s">
        <v>562</v>
      </c>
      <c r="J167" s="51"/>
      <c r="M167" s="16"/>
    </row>
    <row r="168" spans="1:13" ht="14.25" customHeight="1" x14ac:dyDescent="0.3">
      <c r="A168" s="5">
        <v>46043</v>
      </c>
      <c r="B168" s="9" t="s">
        <v>566</v>
      </c>
      <c r="C168" s="16">
        <v>195000</v>
      </c>
      <c r="D168" s="9" t="s">
        <v>690</v>
      </c>
      <c r="E168" s="9" t="s">
        <v>427</v>
      </c>
      <c r="F168" s="9" t="s">
        <v>562</v>
      </c>
      <c r="J168" s="51"/>
      <c r="M168" s="16"/>
    </row>
    <row r="169" spans="1:13" ht="14.25" customHeight="1" x14ac:dyDescent="0.3">
      <c r="A169" s="5">
        <v>46135</v>
      </c>
      <c r="B169" s="9" t="s">
        <v>586</v>
      </c>
      <c r="C169" s="16">
        <v>15100</v>
      </c>
      <c r="D169" s="9" t="s">
        <v>691</v>
      </c>
      <c r="E169" s="9" t="s">
        <v>430</v>
      </c>
      <c r="F169" s="9" t="s">
        <v>562</v>
      </c>
      <c r="J169" s="51"/>
      <c r="M169" s="16"/>
    </row>
    <row r="170" spans="1:13" ht="14.25" customHeight="1" x14ac:dyDescent="0.3">
      <c r="A170" s="5">
        <v>46135</v>
      </c>
      <c r="B170" s="9" t="s">
        <v>595</v>
      </c>
      <c r="C170" s="16">
        <v>111000</v>
      </c>
      <c r="D170" s="9" t="s">
        <v>692</v>
      </c>
      <c r="E170" s="9" t="s">
        <v>427</v>
      </c>
      <c r="F170" s="9" t="s">
        <v>562</v>
      </c>
      <c r="J170" s="51"/>
      <c r="M170" s="16"/>
    </row>
    <row r="171" spans="1:13" ht="14.25" customHeight="1" x14ac:dyDescent="0.3">
      <c r="A171" s="5">
        <v>46136</v>
      </c>
      <c r="B171" s="9" t="s">
        <v>586</v>
      </c>
      <c r="C171" s="16">
        <v>10800</v>
      </c>
      <c r="D171" s="9" t="s">
        <v>642</v>
      </c>
      <c r="E171" s="9" t="s">
        <v>430</v>
      </c>
      <c r="F171" s="9" t="s">
        <v>562</v>
      </c>
      <c r="J171" s="51"/>
      <c r="M171" s="16"/>
    </row>
    <row r="172" spans="1:13" ht="14.25" customHeight="1" x14ac:dyDescent="0.3">
      <c r="A172" s="5">
        <v>46136</v>
      </c>
      <c r="B172" s="9" t="s">
        <v>579</v>
      </c>
      <c r="C172" s="16">
        <v>18000</v>
      </c>
      <c r="D172" s="9" t="s">
        <v>693</v>
      </c>
      <c r="E172" s="9" t="s">
        <v>427</v>
      </c>
      <c r="F172" s="9" t="s">
        <v>562</v>
      </c>
      <c r="J172" s="51"/>
      <c r="M172" s="16"/>
    </row>
    <row r="173" spans="1:13" ht="14.25" customHeight="1" x14ac:dyDescent="0.3">
      <c r="A173" s="5">
        <v>46136</v>
      </c>
      <c r="B173" s="9" t="s">
        <v>579</v>
      </c>
      <c r="C173" s="16">
        <v>20000</v>
      </c>
      <c r="D173" s="9" t="s">
        <v>693</v>
      </c>
      <c r="E173" s="9" t="s">
        <v>427</v>
      </c>
      <c r="F173" s="9" t="s">
        <v>562</v>
      </c>
      <c r="J173" s="51"/>
      <c r="M173" s="16"/>
    </row>
    <row r="174" spans="1:13" ht="14.25" customHeight="1" x14ac:dyDescent="0.3">
      <c r="A174" s="5">
        <v>46140</v>
      </c>
      <c r="B174" s="9" t="s">
        <v>585</v>
      </c>
      <c r="C174" s="16">
        <v>42000</v>
      </c>
      <c r="D174" s="9" t="s">
        <v>694</v>
      </c>
      <c r="E174" s="9" t="s">
        <v>427</v>
      </c>
      <c r="F174" s="9" t="s">
        <v>562</v>
      </c>
      <c r="J174" s="51"/>
      <c r="M174" s="16"/>
    </row>
    <row r="175" spans="1:13" ht="14.25" customHeight="1" x14ac:dyDescent="0.3">
      <c r="A175" s="5"/>
      <c r="B175" s="9"/>
      <c r="C175" s="16"/>
      <c r="E175" s="9"/>
      <c r="J175" s="51"/>
      <c r="M175" s="16"/>
    </row>
    <row r="176" spans="1:13" ht="14.25" customHeight="1" x14ac:dyDescent="0.3">
      <c r="A176" s="5"/>
      <c r="B176" s="9"/>
      <c r="C176" s="16"/>
      <c r="E176" s="9"/>
      <c r="J176" s="51"/>
      <c r="M176" s="16"/>
    </row>
    <row r="177" spans="1:13" ht="14.25" customHeight="1" x14ac:dyDescent="0.3">
      <c r="A177" s="5"/>
      <c r="B177" s="9"/>
      <c r="C177" s="16"/>
      <c r="E177" s="9"/>
      <c r="J177" s="51"/>
      <c r="M177" s="16"/>
    </row>
    <row r="178" spans="1:13" ht="14.25" customHeight="1" x14ac:dyDescent="0.3">
      <c r="A178" s="5"/>
      <c r="B178" s="9"/>
      <c r="C178" s="16"/>
      <c r="E178" s="9"/>
      <c r="J178" s="51"/>
      <c r="M178" s="16"/>
    </row>
    <row r="179" spans="1:13" ht="14.25" customHeight="1" x14ac:dyDescent="0.3">
      <c r="A179" s="5"/>
      <c r="B179" s="9"/>
      <c r="C179" s="16"/>
      <c r="E179" s="9"/>
      <c r="J179" s="51"/>
      <c r="M179" s="16"/>
    </row>
    <row r="180" spans="1:13" ht="14.25" customHeight="1" x14ac:dyDescent="0.3">
      <c r="A180" s="5"/>
      <c r="B180" s="9"/>
      <c r="C180" s="16"/>
      <c r="E180" s="9"/>
      <c r="J180" s="51"/>
      <c r="M180" s="16"/>
    </row>
    <row r="181" spans="1:13" ht="14.25" customHeight="1" x14ac:dyDescent="0.3">
      <c r="A181" s="5"/>
      <c r="B181" s="9"/>
      <c r="C181" s="16"/>
      <c r="E181" s="9"/>
      <c r="J181" s="51"/>
      <c r="M181" s="16"/>
    </row>
    <row r="182" spans="1:13" ht="14.25" customHeight="1" x14ac:dyDescent="0.3">
      <c r="A182" s="5"/>
      <c r="B182" s="9"/>
      <c r="C182" s="16"/>
      <c r="E182" s="9"/>
      <c r="J182" s="51"/>
      <c r="M182" s="16"/>
    </row>
    <row r="183" spans="1:13" ht="14.25" customHeight="1" x14ac:dyDescent="0.3">
      <c r="A183" s="5"/>
      <c r="B183" s="9"/>
      <c r="C183" s="16"/>
      <c r="E183" s="9"/>
      <c r="J183" s="51"/>
      <c r="M183" s="16"/>
    </row>
    <row r="184" spans="1:13" ht="14.25" customHeight="1" x14ac:dyDescent="0.3">
      <c r="A184" s="5"/>
      <c r="B184" s="9"/>
      <c r="C184" s="16"/>
      <c r="E184" s="9"/>
      <c r="J184" s="51"/>
      <c r="M184" s="16"/>
    </row>
    <row r="185" spans="1:13" ht="14.25" customHeight="1" x14ac:dyDescent="0.3">
      <c r="A185" s="5"/>
      <c r="B185" s="9"/>
      <c r="C185" s="16"/>
      <c r="E185" s="9"/>
      <c r="J185" s="51"/>
      <c r="M185" s="16"/>
    </row>
    <row r="186" spans="1:13" ht="14.25" customHeight="1" x14ac:dyDescent="0.3">
      <c r="A186" s="5"/>
      <c r="B186" s="9"/>
      <c r="C186" s="16"/>
      <c r="E186" s="9"/>
      <c r="J186" s="51"/>
      <c r="M186" s="16"/>
    </row>
    <row r="187" spans="1:13" ht="14.25" customHeight="1" x14ac:dyDescent="0.3">
      <c r="A187" s="5"/>
      <c r="B187" s="9"/>
      <c r="C187" s="16"/>
      <c r="E187" s="9"/>
      <c r="J187" s="51"/>
      <c r="M187" s="16"/>
    </row>
    <row r="188" spans="1:13" ht="14.25" customHeight="1" x14ac:dyDescent="0.3">
      <c r="A188" s="5"/>
      <c r="B188" s="9"/>
      <c r="C188" s="16"/>
      <c r="E188" s="9"/>
      <c r="J188" s="51"/>
      <c r="M188" s="16"/>
    </row>
    <row r="189" spans="1:13" ht="14.25" customHeight="1" x14ac:dyDescent="0.3">
      <c r="A189" s="5"/>
      <c r="B189" s="9"/>
      <c r="C189" s="16"/>
      <c r="E189" s="9"/>
      <c r="J189" s="51"/>
      <c r="M189" s="16"/>
    </row>
    <row r="190" spans="1:13" ht="14.25" customHeight="1" x14ac:dyDescent="0.3">
      <c r="A190" s="5"/>
      <c r="B190" s="9"/>
      <c r="C190" s="16"/>
      <c r="E190" s="9"/>
      <c r="J190" s="51"/>
      <c r="M190" s="16"/>
    </row>
    <row r="191" spans="1:13" ht="14.25" customHeight="1" x14ac:dyDescent="0.3">
      <c r="A191" s="5"/>
      <c r="B191" s="9"/>
      <c r="C191" s="16"/>
      <c r="E191" s="9"/>
      <c r="J191" s="51"/>
      <c r="M191" s="16"/>
    </row>
    <row r="192" spans="1:13" ht="14.25" customHeight="1" x14ac:dyDescent="0.3">
      <c r="A192" s="5"/>
      <c r="B192" s="9"/>
      <c r="C192" s="16"/>
      <c r="E192" s="9"/>
      <c r="J192" s="51"/>
      <c r="M192" s="16"/>
    </row>
    <row r="193" spans="1:13" ht="14.25" customHeight="1" x14ac:dyDescent="0.3">
      <c r="A193" s="5"/>
      <c r="B193" s="9"/>
      <c r="C193" s="16"/>
      <c r="E193" s="9"/>
      <c r="J193" s="51"/>
      <c r="M193" s="16"/>
    </row>
    <row r="194" spans="1:13" ht="14.25" customHeight="1" x14ac:dyDescent="0.3">
      <c r="A194" s="5"/>
      <c r="B194" s="9"/>
      <c r="C194" s="16"/>
      <c r="E194" s="9"/>
      <c r="J194" s="51"/>
      <c r="M194" s="16"/>
    </row>
    <row r="195" spans="1:13" ht="14.25" customHeight="1" x14ac:dyDescent="0.3">
      <c r="A195" s="5"/>
      <c r="B195" s="9"/>
      <c r="C195" s="16"/>
      <c r="E195" s="9"/>
      <c r="J195" s="51"/>
      <c r="M195" s="16"/>
    </row>
    <row r="196" spans="1:13" ht="14.25" customHeight="1" x14ac:dyDescent="0.3">
      <c r="A196" s="5"/>
      <c r="B196" s="9"/>
      <c r="C196" s="16"/>
      <c r="E196" s="9"/>
      <c r="J196" s="51"/>
      <c r="M196" s="16"/>
    </row>
    <row r="197" spans="1:13" ht="14.25" customHeight="1" x14ac:dyDescent="0.3">
      <c r="A197" s="5"/>
      <c r="B197" s="9"/>
      <c r="C197" s="16"/>
      <c r="E197" s="9"/>
      <c r="J197" s="51"/>
      <c r="M197" s="16"/>
    </row>
    <row r="198" spans="1:13" ht="14.25" customHeight="1" x14ac:dyDescent="0.3">
      <c r="A198" s="5"/>
      <c r="B198" s="9"/>
      <c r="C198" s="16"/>
      <c r="E198" s="9"/>
      <c r="J198" s="51"/>
      <c r="M198" s="16"/>
    </row>
    <row r="199" spans="1:13" ht="14.25" customHeight="1" x14ac:dyDescent="0.3">
      <c r="A199" s="5"/>
      <c r="B199" s="9"/>
      <c r="C199" s="16"/>
      <c r="E199" s="9"/>
      <c r="J199" s="51"/>
      <c r="M199" s="16"/>
    </row>
    <row r="200" spans="1:13" ht="14.25" customHeight="1" x14ac:dyDescent="0.3">
      <c r="A200" s="5"/>
      <c r="B200" s="9"/>
      <c r="C200" s="16"/>
      <c r="E200" s="9"/>
      <c r="J200" s="51"/>
      <c r="M200" s="16"/>
    </row>
    <row r="201" spans="1:13" ht="14.25" customHeight="1" x14ac:dyDescent="0.3">
      <c r="A201" s="5"/>
      <c r="B201" s="9"/>
      <c r="C201" s="16"/>
      <c r="E201" s="9"/>
      <c r="J201" s="51"/>
      <c r="M201" s="16"/>
    </row>
    <row r="202" spans="1:13" ht="14.25" customHeight="1" x14ac:dyDescent="0.3">
      <c r="A202" s="5"/>
      <c r="B202" s="9"/>
      <c r="C202" s="16"/>
      <c r="E202" s="9"/>
      <c r="J202" s="51"/>
      <c r="M202" s="16"/>
    </row>
    <row r="203" spans="1:13" ht="14.25" customHeight="1" x14ac:dyDescent="0.3">
      <c r="A203" s="5"/>
      <c r="B203" s="9"/>
      <c r="C203" s="16"/>
      <c r="E203" s="9"/>
      <c r="J203" s="51"/>
      <c r="M203" s="16"/>
    </row>
    <row r="204" spans="1:13" ht="14.25" customHeight="1" x14ac:dyDescent="0.3">
      <c r="A204" s="5"/>
      <c r="B204" s="9"/>
      <c r="C204" s="16"/>
      <c r="E204" s="9"/>
      <c r="J204" s="51"/>
      <c r="M204" s="16"/>
    </row>
    <row r="205" spans="1:13" ht="14.25" customHeight="1" x14ac:dyDescent="0.3">
      <c r="A205" s="5"/>
      <c r="B205" s="9"/>
      <c r="C205" s="16"/>
      <c r="E205" s="9"/>
      <c r="J205" s="51"/>
      <c r="M205" s="16"/>
    </row>
    <row r="206" spans="1:13" ht="14.25" customHeight="1" x14ac:dyDescent="0.3">
      <c r="A206" s="5"/>
      <c r="B206" s="9"/>
      <c r="C206" s="16"/>
      <c r="E206" s="9"/>
      <c r="J206" s="51"/>
      <c r="M206" s="16"/>
    </row>
    <row r="207" spans="1:13" ht="14.25" customHeight="1" x14ac:dyDescent="0.3">
      <c r="A207" s="5"/>
      <c r="B207" s="9"/>
      <c r="C207" s="16"/>
      <c r="E207" s="9"/>
      <c r="J207" s="51"/>
      <c r="M207" s="16"/>
    </row>
    <row r="208" spans="1:13" ht="14.25" customHeight="1" x14ac:dyDescent="0.3">
      <c r="A208" s="5"/>
      <c r="B208" s="9"/>
      <c r="C208" s="16"/>
      <c r="E208" s="9"/>
      <c r="J208" s="51"/>
      <c r="M208" s="16"/>
    </row>
    <row r="209" spans="1:13" ht="14.25" customHeight="1" x14ac:dyDescent="0.3">
      <c r="A209" s="5"/>
      <c r="B209" s="9"/>
      <c r="C209" s="16"/>
      <c r="E209" s="9"/>
      <c r="J209" s="51"/>
      <c r="M209" s="16"/>
    </row>
    <row r="210" spans="1:13" ht="14.25" customHeight="1" x14ac:dyDescent="0.3">
      <c r="A210" s="5"/>
      <c r="B210" s="9"/>
      <c r="C210" s="16"/>
      <c r="E210" s="9"/>
      <c r="J210" s="51"/>
      <c r="M210" s="16"/>
    </row>
    <row r="211" spans="1:13" ht="14.25" customHeight="1" x14ac:dyDescent="0.3">
      <c r="A211" s="5"/>
      <c r="B211" s="9"/>
      <c r="C211" s="16"/>
      <c r="E211" s="9"/>
      <c r="J211" s="51"/>
      <c r="M211" s="16"/>
    </row>
    <row r="212" spans="1:13" ht="14.25" customHeight="1" x14ac:dyDescent="0.3">
      <c r="A212" s="5"/>
      <c r="B212" s="9"/>
      <c r="C212" s="16"/>
      <c r="E212" s="9"/>
      <c r="J212" s="51"/>
      <c r="M212" s="16"/>
    </row>
    <row r="213" spans="1:13" ht="14.25" customHeight="1" x14ac:dyDescent="0.3">
      <c r="A213" s="5"/>
      <c r="B213" s="9"/>
      <c r="C213" s="16"/>
      <c r="E213" s="9"/>
      <c r="J213" s="51"/>
      <c r="M213" s="16"/>
    </row>
    <row r="214" spans="1:13" ht="14.25" customHeight="1" x14ac:dyDescent="0.3">
      <c r="A214" s="5"/>
      <c r="B214" s="9"/>
      <c r="C214" s="16"/>
      <c r="E214" s="9"/>
      <c r="J214" s="51"/>
      <c r="M214" s="16"/>
    </row>
    <row r="215" spans="1:13" ht="14.25" customHeight="1" x14ac:dyDescent="0.3">
      <c r="A215" s="5"/>
      <c r="B215" s="9"/>
      <c r="C215" s="16"/>
      <c r="E215" s="9"/>
      <c r="J215" s="51"/>
      <c r="M215" s="16"/>
    </row>
    <row r="216" spans="1:13" ht="14.25" customHeight="1" x14ac:dyDescent="0.3">
      <c r="A216" s="5"/>
      <c r="B216" s="9"/>
      <c r="C216" s="16"/>
      <c r="E216" s="9"/>
      <c r="J216" s="51"/>
      <c r="M216" s="16"/>
    </row>
    <row r="217" spans="1:13" ht="14.25" customHeight="1" x14ac:dyDescent="0.3">
      <c r="A217" s="5"/>
      <c r="B217" s="9"/>
      <c r="C217" s="16"/>
      <c r="E217" s="9"/>
      <c r="J217" s="51"/>
      <c r="M217" s="16"/>
    </row>
    <row r="218" spans="1:13" ht="14.25" customHeight="1" x14ac:dyDescent="0.3">
      <c r="A218" s="5"/>
      <c r="B218" s="9"/>
      <c r="C218" s="16"/>
      <c r="E218" s="9"/>
      <c r="J218" s="51"/>
      <c r="M218" s="16"/>
    </row>
    <row r="219" spans="1:13" ht="14.25" customHeight="1" x14ac:dyDescent="0.3">
      <c r="A219" s="5"/>
      <c r="B219" s="9"/>
      <c r="C219" s="16"/>
      <c r="E219" s="9"/>
      <c r="J219" s="51"/>
      <c r="M219" s="16"/>
    </row>
    <row r="220" spans="1:13" ht="14.25" customHeight="1" x14ac:dyDescent="0.3">
      <c r="A220" s="5"/>
      <c r="B220" s="9"/>
      <c r="C220" s="16"/>
      <c r="E220" s="9"/>
      <c r="J220" s="51"/>
      <c r="M220" s="16"/>
    </row>
    <row r="221" spans="1:13" ht="14.25" customHeight="1" x14ac:dyDescent="0.3">
      <c r="A221" s="5"/>
      <c r="B221" s="9"/>
      <c r="C221" s="16"/>
      <c r="E221" s="9"/>
      <c r="J221" s="51"/>
      <c r="M221" s="16"/>
    </row>
    <row r="222" spans="1:13" ht="14.25" customHeight="1" x14ac:dyDescent="0.3">
      <c r="A222" s="5"/>
      <c r="B222" s="9"/>
      <c r="C222" s="16"/>
      <c r="E222" s="9"/>
      <c r="J222" s="51"/>
      <c r="M222" s="16"/>
    </row>
    <row r="223" spans="1:13" ht="14.25" customHeight="1" x14ac:dyDescent="0.3">
      <c r="A223" s="5"/>
      <c r="B223" s="9"/>
      <c r="C223" s="16"/>
      <c r="E223" s="9"/>
      <c r="J223" s="51"/>
      <c r="M223" s="16"/>
    </row>
    <row r="224" spans="1:13" ht="14.25" customHeight="1" x14ac:dyDescent="0.3">
      <c r="A224" s="5"/>
      <c r="B224" s="9"/>
      <c r="C224" s="16"/>
      <c r="E224" s="9"/>
      <c r="J224" s="51"/>
      <c r="M224" s="16"/>
    </row>
    <row r="225" spans="1:13" ht="14.25" customHeight="1" x14ac:dyDescent="0.3">
      <c r="A225" s="5"/>
      <c r="B225" s="9"/>
      <c r="C225" s="16"/>
      <c r="E225" s="9"/>
      <c r="J225" s="51"/>
      <c r="M225" s="16"/>
    </row>
    <row r="226" spans="1:13" ht="14.25" customHeight="1" x14ac:dyDescent="0.3">
      <c r="A226" s="5"/>
      <c r="B226" s="9"/>
      <c r="C226" s="16"/>
      <c r="E226" s="9"/>
      <c r="J226" s="51"/>
      <c r="M226" s="16"/>
    </row>
    <row r="227" spans="1:13" ht="14.25" customHeight="1" x14ac:dyDescent="0.3">
      <c r="A227" s="5"/>
      <c r="B227" s="9"/>
      <c r="C227" s="16"/>
      <c r="E227" s="9"/>
      <c r="J227" s="51"/>
      <c r="M227" s="16"/>
    </row>
    <row r="228" spans="1:13" ht="14.25" customHeight="1" x14ac:dyDescent="0.3">
      <c r="A228" s="5"/>
      <c r="B228" s="9"/>
      <c r="C228" s="16"/>
      <c r="E228" s="9"/>
      <c r="J228" s="51"/>
      <c r="M228" s="16"/>
    </row>
    <row r="229" spans="1:13" ht="14.25" customHeight="1" x14ac:dyDescent="0.3">
      <c r="A229" s="5"/>
      <c r="B229" s="9"/>
      <c r="C229" s="16"/>
      <c r="E229" s="9"/>
      <c r="J229" s="51"/>
      <c r="M229" s="16"/>
    </row>
    <row r="230" spans="1:13" ht="14.25" customHeight="1" x14ac:dyDescent="0.3">
      <c r="A230" s="5"/>
      <c r="B230" s="9"/>
      <c r="C230" s="16"/>
      <c r="E230" s="9"/>
      <c r="J230" s="51"/>
      <c r="M230" s="16"/>
    </row>
    <row r="231" spans="1:13" ht="14.25" customHeight="1" x14ac:dyDescent="0.3">
      <c r="A231" s="5"/>
      <c r="B231" s="9"/>
      <c r="C231" s="16"/>
      <c r="E231" s="9"/>
      <c r="J231" s="51"/>
      <c r="M231" s="16"/>
    </row>
    <row r="232" spans="1:13" ht="14.25" customHeight="1" x14ac:dyDescent="0.3">
      <c r="A232" s="5"/>
      <c r="B232" s="9"/>
      <c r="C232" s="16"/>
      <c r="E232" s="9"/>
      <c r="J232" s="51"/>
      <c r="M232" s="16"/>
    </row>
    <row r="233" spans="1:13" ht="14.25" customHeight="1" x14ac:dyDescent="0.3">
      <c r="A233" s="5"/>
      <c r="B233" s="9"/>
      <c r="C233" s="16"/>
      <c r="E233" s="9"/>
      <c r="J233" s="51"/>
      <c r="M233" s="16"/>
    </row>
    <row r="234" spans="1:13" ht="14.25" customHeight="1" x14ac:dyDescent="0.3">
      <c r="A234" s="5"/>
      <c r="B234" s="9"/>
      <c r="C234" s="16"/>
      <c r="E234" s="9"/>
      <c r="J234" s="51"/>
      <c r="M234" s="16"/>
    </row>
    <row r="235" spans="1:13" ht="14.25" customHeight="1" x14ac:dyDescent="0.3">
      <c r="A235" s="5"/>
      <c r="B235" s="9"/>
      <c r="C235" s="16"/>
      <c r="E235" s="9"/>
      <c r="J235" s="51"/>
      <c r="M235" s="16"/>
    </row>
    <row r="236" spans="1:13" ht="14.25" customHeight="1" x14ac:dyDescent="0.3">
      <c r="A236" s="5"/>
      <c r="B236" s="9"/>
      <c r="C236" s="16"/>
      <c r="E236" s="9"/>
      <c r="J236" s="51"/>
      <c r="M236" s="16"/>
    </row>
    <row r="237" spans="1:13" ht="14.25" customHeight="1" x14ac:dyDescent="0.3">
      <c r="A237" s="5"/>
      <c r="B237" s="9"/>
      <c r="C237" s="16"/>
      <c r="E237" s="9"/>
      <c r="J237" s="51"/>
      <c r="M237" s="16"/>
    </row>
    <row r="238" spans="1:13" ht="14.25" customHeight="1" x14ac:dyDescent="0.3">
      <c r="A238" s="5"/>
      <c r="B238" s="9"/>
      <c r="C238" s="16"/>
      <c r="E238" s="9"/>
      <c r="J238" s="51"/>
      <c r="M238" s="16"/>
    </row>
    <row r="239" spans="1:13" ht="14.25" customHeight="1" x14ac:dyDescent="0.3">
      <c r="A239" s="5"/>
      <c r="B239" s="9"/>
      <c r="C239" s="16"/>
      <c r="E239" s="9"/>
      <c r="J239" s="51"/>
      <c r="M239" s="16"/>
    </row>
    <row r="240" spans="1:13" ht="14.25" customHeight="1" x14ac:dyDescent="0.3">
      <c r="A240" s="5"/>
      <c r="B240" s="9"/>
      <c r="C240" s="16"/>
      <c r="E240" s="9"/>
      <c r="J240" s="51"/>
      <c r="M240" s="16"/>
    </row>
    <row r="241" spans="1:13" ht="14.25" customHeight="1" x14ac:dyDescent="0.3">
      <c r="A241" s="5"/>
      <c r="B241" s="9"/>
      <c r="C241" s="16"/>
      <c r="E241" s="9"/>
      <c r="J241" s="51"/>
      <c r="M241" s="16"/>
    </row>
    <row r="242" spans="1:13" ht="14.25" customHeight="1" x14ac:dyDescent="0.3">
      <c r="A242" s="5"/>
      <c r="B242" s="9"/>
      <c r="C242" s="16"/>
      <c r="E242" s="9"/>
      <c r="J242" s="51"/>
      <c r="M242" s="16"/>
    </row>
    <row r="243" spans="1:13" ht="14.25" customHeight="1" x14ac:dyDescent="0.3">
      <c r="A243" s="5"/>
      <c r="B243" s="9"/>
      <c r="C243" s="16"/>
      <c r="E243" s="9"/>
      <c r="J243" s="51"/>
      <c r="M243" s="16"/>
    </row>
    <row r="244" spans="1:13" ht="14.25" customHeight="1" x14ac:dyDescent="0.3">
      <c r="A244" s="5"/>
      <c r="B244" s="9"/>
      <c r="C244" s="16"/>
      <c r="E244" s="9"/>
      <c r="J244" s="51"/>
      <c r="M244" s="16"/>
    </row>
    <row r="245" spans="1:13" ht="14.25" customHeight="1" x14ac:dyDescent="0.3">
      <c r="A245" s="5"/>
      <c r="B245" s="9"/>
      <c r="C245" s="16"/>
      <c r="E245" s="9"/>
      <c r="J245" s="51"/>
      <c r="M245" s="16"/>
    </row>
    <row r="246" spans="1:13" ht="14.25" customHeight="1" x14ac:dyDescent="0.3">
      <c r="A246" s="5"/>
      <c r="B246" s="9"/>
      <c r="C246" s="16"/>
      <c r="E246" s="9"/>
      <c r="J246" s="51"/>
      <c r="M246" s="16"/>
    </row>
    <row r="247" spans="1:13" ht="14.25" customHeight="1" x14ac:dyDescent="0.3">
      <c r="A247" s="5"/>
      <c r="B247" s="9"/>
      <c r="C247" s="16"/>
      <c r="E247" s="9"/>
      <c r="J247" s="51"/>
      <c r="M247" s="16"/>
    </row>
    <row r="248" spans="1:13" ht="14.25" customHeight="1" x14ac:dyDescent="0.3">
      <c r="A248" s="5"/>
      <c r="B248" s="9"/>
      <c r="C248" s="16"/>
      <c r="E248" s="9"/>
      <c r="J248" s="51"/>
      <c r="M248" s="16"/>
    </row>
    <row r="249" spans="1:13" ht="14.25" customHeight="1" x14ac:dyDescent="0.3">
      <c r="A249" s="5"/>
      <c r="B249" s="9"/>
      <c r="C249" s="16"/>
      <c r="E249" s="9"/>
      <c r="J249" s="51"/>
      <c r="M249" s="16"/>
    </row>
    <row r="250" spans="1:13" ht="14.25" customHeight="1" x14ac:dyDescent="0.3">
      <c r="A250" s="5"/>
      <c r="B250" s="9"/>
      <c r="C250" s="16"/>
      <c r="E250" s="9"/>
      <c r="J250" s="51"/>
      <c r="M250" s="16"/>
    </row>
    <row r="251" spans="1:13" ht="14.25" customHeight="1" x14ac:dyDescent="0.3">
      <c r="A251" s="5"/>
      <c r="B251" s="9"/>
      <c r="C251" s="16"/>
      <c r="E251" s="9"/>
      <c r="J251" s="51"/>
      <c r="M251" s="16"/>
    </row>
    <row r="252" spans="1:13" ht="14.25" customHeight="1" x14ac:dyDescent="0.3">
      <c r="A252" s="5"/>
      <c r="B252" s="9"/>
      <c r="C252" s="16"/>
      <c r="E252" s="9"/>
      <c r="J252" s="51"/>
      <c r="M252" s="16"/>
    </row>
    <row r="253" spans="1:13" ht="14.25" customHeight="1" x14ac:dyDescent="0.3">
      <c r="A253" s="5"/>
      <c r="B253" s="9"/>
      <c r="C253" s="16"/>
      <c r="E253" s="9"/>
      <c r="J253" s="51"/>
      <c r="M253" s="16"/>
    </row>
    <row r="254" spans="1:13" ht="14.25" customHeight="1" x14ac:dyDescent="0.3">
      <c r="A254" s="5"/>
      <c r="B254" s="9"/>
      <c r="C254" s="16"/>
      <c r="E254" s="9"/>
      <c r="J254" s="51"/>
      <c r="M254" s="16"/>
    </row>
    <row r="255" spans="1:13" ht="14.25" customHeight="1" x14ac:dyDescent="0.3">
      <c r="A255" s="5"/>
      <c r="B255" s="9"/>
      <c r="C255" s="16"/>
      <c r="E255" s="9"/>
      <c r="J255" s="51"/>
      <c r="M255" s="16"/>
    </row>
    <row r="256" spans="1:13" ht="14.25" customHeight="1" x14ac:dyDescent="0.3">
      <c r="A256" s="5"/>
      <c r="B256" s="9"/>
      <c r="C256" s="16"/>
      <c r="E256" s="9"/>
      <c r="J256" s="51"/>
      <c r="M256" s="16"/>
    </row>
    <row r="257" spans="1:13" ht="14.25" customHeight="1" x14ac:dyDescent="0.3">
      <c r="A257" s="5"/>
      <c r="B257" s="9"/>
      <c r="C257" s="16"/>
      <c r="E257" s="9"/>
      <c r="J257" s="51"/>
      <c r="M257" s="16"/>
    </row>
    <row r="258" spans="1:13" ht="14.25" customHeight="1" x14ac:dyDescent="0.3">
      <c r="A258" s="5"/>
      <c r="B258" s="9"/>
      <c r="C258" s="16"/>
      <c r="E258" s="9"/>
      <c r="J258" s="51"/>
      <c r="M258" s="16"/>
    </row>
    <row r="259" spans="1:13" ht="14.25" customHeight="1" x14ac:dyDescent="0.3">
      <c r="A259" s="5"/>
      <c r="B259" s="9"/>
      <c r="C259" s="16"/>
      <c r="E259" s="9"/>
      <c r="J259" s="51"/>
      <c r="M259" s="16"/>
    </row>
    <row r="260" spans="1:13" ht="14.25" customHeight="1" x14ac:dyDescent="0.3">
      <c r="A260" s="5"/>
      <c r="B260" s="9"/>
      <c r="C260" s="16"/>
      <c r="E260" s="9"/>
      <c r="J260" s="51"/>
      <c r="M260" s="16"/>
    </row>
    <row r="261" spans="1:13" ht="14.25" customHeight="1" x14ac:dyDescent="0.3">
      <c r="A261" s="5"/>
      <c r="B261" s="9"/>
      <c r="C261" s="16"/>
      <c r="E261" s="9"/>
      <c r="J261" s="51"/>
      <c r="M261" s="16"/>
    </row>
    <row r="262" spans="1:13" ht="14.25" customHeight="1" x14ac:dyDescent="0.3">
      <c r="A262" s="5"/>
      <c r="B262" s="9"/>
      <c r="C262" s="16"/>
      <c r="E262" s="9"/>
      <c r="J262" s="51"/>
      <c r="M262" s="16"/>
    </row>
    <row r="263" spans="1:13" ht="14.25" customHeight="1" x14ac:dyDescent="0.3">
      <c r="A263" s="5"/>
      <c r="B263" s="9"/>
      <c r="C263" s="16"/>
      <c r="E263" s="9"/>
      <c r="J263" s="51"/>
      <c r="M263" s="16"/>
    </row>
    <row r="264" spans="1:13" ht="14.25" customHeight="1" x14ac:dyDescent="0.3">
      <c r="A264" s="5"/>
      <c r="B264" s="9"/>
      <c r="C264" s="16"/>
      <c r="E264" s="9"/>
      <c r="J264" s="51"/>
      <c r="M264" s="16"/>
    </row>
    <row r="265" spans="1:13" ht="14.25" customHeight="1" x14ac:dyDescent="0.3">
      <c r="A265" s="5"/>
      <c r="B265" s="9"/>
      <c r="C265" s="16"/>
      <c r="E265" s="9"/>
      <c r="J265" s="51"/>
      <c r="M265" s="16"/>
    </row>
    <row r="266" spans="1:13" ht="14.25" customHeight="1" x14ac:dyDescent="0.3">
      <c r="A266" s="5"/>
      <c r="B266" s="9"/>
      <c r="C266" s="16"/>
      <c r="E266" s="9"/>
      <c r="J266" s="51"/>
      <c r="M266" s="16"/>
    </row>
    <row r="267" spans="1:13" ht="14.25" customHeight="1" x14ac:dyDescent="0.3">
      <c r="A267" s="5"/>
      <c r="B267" s="9"/>
      <c r="C267" s="16"/>
      <c r="E267" s="9"/>
      <c r="J267" s="51"/>
      <c r="M267" s="16"/>
    </row>
    <row r="268" spans="1:13" ht="14.25" customHeight="1" x14ac:dyDescent="0.3">
      <c r="A268" s="5"/>
      <c r="B268" s="9"/>
      <c r="C268" s="16"/>
      <c r="E268" s="9"/>
      <c r="J268" s="51"/>
      <c r="M268" s="16"/>
    </row>
    <row r="269" spans="1:13" ht="14.25" customHeight="1" x14ac:dyDescent="0.3">
      <c r="A269" s="5"/>
      <c r="B269" s="9"/>
      <c r="C269" s="16"/>
      <c r="E269" s="9"/>
      <c r="J269" s="51"/>
      <c r="M269" s="16"/>
    </row>
    <row r="270" spans="1:13" ht="14.25" customHeight="1" x14ac:dyDescent="0.3">
      <c r="A270" s="5"/>
      <c r="B270" s="9"/>
      <c r="C270" s="16"/>
      <c r="E270" s="9"/>
      <c r="J270" s="51"/>
      <c r="M270" s="16"/>
    </row>
    <row r="271" spans="1:13" ht="14.25" customHeight="1" x14ac:dyDescent="0.3">
      <c r="A271" s="5"/>
      <c r="B271" s="9"/>
      <c r="C271" s="16"/>
      <c r="E271" s="9"/>
      <c r="J271" s="51"/>
      <c r="M271" s="16"/>
    </row>
    <row r="272" spans="1:13" ht="14.25" customHeight="1" x14ac:dyDescent="0.3">
      <c r="A272" s="5"/>
      <c r="B272" s="9"/>
      <c r="C272" s="16"/>
      <c r="E272" s="9"/>
      <c r="J272" s="51"/>
      <c r="M272" s="16"/>
    </row>
    <row r="273" spans="1:13" ht="14.25" customHeight="1" x14ac:dyDescent="0.3">
      <c r="A273" s="5"/>
      <c r="B273" s="9"/>
      <c r="C273" s="16"/>
      <c r="E273" s="9"/>
      <c r="J273" s="51"/>
      <c r="M273" s="16"/>
    </row>
    <row r="274" spans="1:13" ht="14.25" customHeight="1" x14ac:dyDescent="0.3">
      <c r="A274" s="5"/>
      <c r="B274" s="9"/>
      <c r="C274" s="16"/>
      <c r="E274" s="9"/>
      <c r="J274" s="51"/>
      <c r="M274" s="16"/>
    </row>
    <row r="275" spans="1:13" ht="14.25" customHeight="1" x14ac:dyDescent="0.3">
      <c r="A275" s="5"/>
      <c r="B275" s="9"/>
      <c r="C275" s="16"/>
      <c r="E275" s="9"/>
      <c r="J275" s="51"/>
      <c r="M275" s="16"/>
    </row>
    <row r="276" spans="1:13" ht="14.25" customHeight="1" x14ac:dyDescent="0.3">
      <c r="A276" s="5"/>
      <c r="B276" s="9"/>
      <c r="C276" s="16"/>
      <c r="E276" s="9"/>
      <c r="J276" s="51"/>
      <c r="M276" s="16"/>
    </row>
    <row r="277" spans="1:13" ht="14.25" customHeight="1" x14ac:dyDescent="0.3">
      <c r="A277" s="5"/>
      <c r="B277" s="9"/>
      <c r="C277" s="16"/>
      <c r="E277" s="9"/>
      <c r="J277" s="51"/>
      <c r="M277" s="16"/>
    </row>
    <row r="278" spans="1:13" ht="14.25" customHeight="1" x14ac:dyDescent="0.3">
      <c r="A278" s="5"/>
      <c r="B278" s="9"/>
      <c r="C278" s="16"/>
      <c r="E278" s="9"/>
      <c r="J278" s="51"/>
      <c r="M278" s="16"/>
    </row>
    <row r="279" spans="1:13" ht="14.25" customHeight="1" x14ac:dyDescent="0.3">
      <c r="A279" s="5"/>
      <c r="B279" s="9"/>
      <c r="C279" s="16"/>
      <c r="E279" s="9"/>
      <c r="J279" s="51"/>
      <c r="M279" s="16"/>
    </row>
    <row r="280" spans="1:13" ht="14.25" customHeight="1" x14ac:dyDescent="0.3">
      <c r="A280" s="5"/>
      <c r="B280" s="9"/>
      <c r="C280" s="16"/>
      <c r="E280" s="9"/>
      <c r="J280" s="51"/>
      <c r="M280" s="16"/>
    </row>
    <row r="281" spans="1:13" ht="14.25" customHeight="1" x14ac:dyDescent="0.3">
      <c r="A281" s="5"/>
      <c r="B281" s="9"/>
      <c r="C281" s="16"/>
      <c r="E281" s="9"/>
      <c r="J281" s="51"/>
      <c r="M281" s="16"/>
    </row>
    <row r="282" spans="1:13" ht="14.25" customHeight="1" x14ac:dyDescent="0.3">
      <c r="A282" s="5"/>
      <c r="B282" s="9"/>
      <c r="C282" s="16"/>
      <c r="E282" s="9"/>
      <c r="J282" s="51"/>
      <c r="M282" s="16"/>
    </row>
    <row r="283" spans="1:13" ht="14.25" customHeight="1" x14ac:dyDescent="0.3">
      <c r="A283" s="5"/>
      <c r="B283" s="9"/>
      <c r="C283" s="16"/>
      <c r="E283" s="9"/>
      <c r="J283" s="51"/>
      <c r="M283" s="16"/>
    </row>
    <row r="284" spans="1:13" ht="14.25" customHeight="1" x14ac:dyDescent="0.3">
      <c r="A284" s="5"/>
      <c r="B284" s="9"/>
      <c r="C284" s="16"/>
      <c r="E284" s="9"/>
      <c r="J284" s="51"/>
      <c r="M284" s="16"/>
    </row>
    <row r="285" spans="1:13" ht="14.25" customHeight="1" x14ac:dyDescent="0.3">
      <c r="A285" s="5"/>
      <c r="B285" s="9"/>
      <c r="C285" s="16"/>
      <c r="E285" s="9"/>
      <c r="J285" s="51"/>
      <c r="M285" s="16"/>
    </row>
    <row r="286" spans="1:13" ht="14.25" customHeight="1" x14ac:dyDescent="0.3">
      <c r="A286" s="5"/>
      <c r="B286" s="9"/>
      <c r="C286" s="16"/>
      <c r="E286" s="9"/>
      <c r="J286" s="51"/>
      <c r="M286" s="16"/>
    </row>
    <row r="287" spans="1:13" ht="14.25" customHeight="1" x14ac:dyDescent="0.3">
      <c r="A287" s="5"/>
      <c r="B287" s="9"/>
      <c r="C287" s="16"/>
      <c r="E287" s="9"/>
      <c r="J287" s="51"/>
      <c r="M287" s="16"/>
    </row>
    <row r="288" spans="1:13" ht="14.25" customHeight="1" x14ac:dyDescent="0.3">
      <c r="A288" s="5"/>
      <c r="B288" s="9"/>
      <c r="C288" s="16"/>
      <c r="E288" s="9"/>
      <c r="J288" s="51"/>
      <c r="M288" s="16"/>
    </row>
    <row r="289" spans="1:13" ht="14.25" customHeight="1" x14ac:dyDescent="0.3">
      <c r="A289" s="5"/>
      <c r="B289" s="9"/>
      <c r="C289" s="16"/>
      <c r="E289" s="9"/>
      <c r="J289" s="51"/>
      <c r="M289" s="16"/>
    </row>
    <row r="290" spans="1:13" ht="14.25" customHeight="1" x14ac:dyDescent="0.3">
      <c r="A290" s="5"/>
      <c r="B290" s="9"/>
      <c r="C290" s="16"/>
      <c r="E290" s="9"/>
      <c r="J290" s="51"/>
      <c r="M290" s="16"/>
    </row>
    <row r="291" spans="1:13" ht="14.25" customHeight="1" x14ac:dyDescent="0.3">
      <c r="A291" s="5"/>
      <c r="B291" s="9"/>
      <c r="C291" s="16"/>
      <c r="E291" s="9"/>
      <c r="J291" s="51"/>
      <c r="M291" s="16"/>
    </row>
    <row r="292" spans="1:13" ht="14.25" customHeight="1" x14ac:dyDescent="0.3">
      <c r="A292" s="5"/>
      <c r="B292" s="9"/>
      <c r="C292" s="16"/>
      <c r="E292" s="9"/>
      <c r="J292" s="51"/>
      <c r="M292" s="16"/>
    </row>
    <row r="293" spans="1:13" ht="14.25" customHeight="1" x14ac:dyDescent="0.3">
      <c r="A293" s="5"/>
      <c r="B293" s="9"/>
      <c r="C293" s="16"/>
      <c r="E293" s="9"/>
      <c r="J293" s="51"/>
      <c r="M293" s="16"/>
    </row>
    <row r="294" spans="1:13" ht="14.25" customHeight="1" x14ac:dyDescent="0.3">
      <c r="A294" s="5"/>
      <c r="B294" s="9"/>
      <c r="C294" s="16"/>
      <c r="E294" s="9"/>
      <c r="J294" s="51"/>
      <c r="M294" s="16"/>
    </row>
    <row r="295" spans="1:13" ht="14.25" customHeight="1" x14ac:dyDescent="0.3">
      <c r="A295" s="5"/>
      <c r="B295" s="9"/>
      <c r="C295" s="16"/>
      <c r="E295" s="9"/>
      <c r="J295" s="51"/>
      <c r="M295" s="16"/>
    </row>
    <row r="296" spans="1:13" ht="14.25" customHeight="1" x14ac:dyDescent="0.3">
      <c r="A296" s="5"/>
      <c r="B296" s="9"/>
      <c r="C296" s="16"/>
      <c r="E296" s="9"/>
      <c r="J296" s="51"/>
      <c r="M296" s="16"/>
    </row>
    <row r="297" spans="1:13" ht="14.25" customHeight="1" x14ac:dyDescent="0.3">
      <c r="A297" s="5"/>
      <c r="B297" s="9"/>
      <c r="C297" s="16"/>
      <c r="E297" s="9"/>
      <c r="J297" s="51"/>
      <c r="M297" s="16"/>
    </row>
    <row r="298" spans="1:13" ht="14.25" customHeight="1" x14ac:dyDescent="0.3">
      <c r="A298" s="5"/>
      <c r="B298" s="9"/>
      <c r="C298" s="16"/>
      <c r="E298" s="9"/>
      <c r="J298" s="51"/>
      <c r="M298" s="16"/>
    </row>
    <row r="299" spans="1:13" ht="14.25" customHeight="1" x14ac:dyDescent="0.3">
      <c r="A299" s="5"/>
      <c r="B299" s="9"/>
      <c r="C299" s="16"/>
      <c r="E299" s="9"/>
      <c r="J299" s="51"/>
      <c r="M299" s="16"/>
    </row>
    <row r="300" spans="1:13" ht="14.25" customHeight="1" x14ac:dyDescent="0.3">
      <c r="A300" s="5"/>
      <c r="B300" s="9"/>
      <c r="C300" s="16"/>
      <c r="E300" s="9"/>
      <c r="J300" s="51"/>
      <c r="M300" s="16"/>
    </row>
    <row r="301" spans="1:13" ht="14.25" customHeight="1" x14ac:dyDescent="0.3">
      <c r="A301" s="5"/>
      <c r="B301" s="9"/>
      <c r="C301" s="16"/>
      <c r="E301" s="9"/>
      <c r="J301" s="51"/>
      <c r="M301" s="16"/>
    </row>
    <row r="302" spans="1:13" ht="14.25" customHeight="1" x14ac:dyDescent="0.3">
      <c r="A302" s="5"/>
      <c r="B302" s="9"/>
      <c r="C302" s="16"/>
      <c r="E302" s="9"/>
      <c r="J302" s="51"/>
      <c r="M302" s="16"/>
    </row>
    <row r="303" spans="1:13" ht="14.25" customHeight="1" x14ac:dyDescent="0.3">
      <c r="A303" s="5"/>
      <c r="B303" s="9"/>
      <c r="C303" s="16"/>
      <c r="E303" s="9"/>
      <c r="J303" s="51"/>
      <c r="M303" s="16"/>
    </row>
    <row r="304" spans="1:13" ht="14.25" customHeight="1" x14ac:dyDescent="0.3">
      <c r="A304" s="5"/>
      <c r="B304" s="9"/>
      <c r="C304" s="16"/>
      <c r="E304" s="9"/>
      <c r="J304" s="51"/>
      <c r="M304" s="16"/>
    </row>
    <row r="305" spans="1:13" ht="14.25" customHeight="1" x14ac:dyDescent="0.3">
      <c r="A305" s="5"/>
      <c r="B305" s="9"/>
      <c r="C305" s="16"/>
      <c r="E305" s="9"/>
      <c r="J305" s="51"/>
      <c r="M305" s="16"/>
    </row>
    <row r="306" spans="1:13" ht="14.25" customHeight="1" x14ac:dyDescent="0.3">
      <c r="A306" s="5"/>
      <c r="B306" s="9"/>
      <c r="C306" s="16"/>
      <c r="E306" s="9"/>
      <c r="J306" s="51"/>
      <c r="M306" s="16"/>
    </row>
    <row r="307" spans="1:13" ht="14.25" customHeight="1" x14ac:dyDescent="0.3">
      <c r="A307" s="5"/>
      <c r="B307" s="9"/>
      <c r="C307" s="16"/>
      <c r="E307" s="9"/>
      <c r="J307" s="51"/>
      <c r="M307" s="16"/>
    </row>
    <row r="308" spans="1:13" ht="14.25" customHeight="1" x14ac:dyDescent="0.3">
      <c r="A308" s="5"/>
      <c r="B308" s="9"/>
      <c r="C308" s="16"/>
      <c r="E308" s="9"/>
      <c r="J308" s="51"/>
      <c r="M308" s="16"/>
    </row>
    <row r="309" spans="1:13" ht="14.25" customHeight="1" x14ac:dyDescent="0.3">
      <c r="A309" s="5"/>
      <c r="B309" s="9"/>
      <c r="C309" s="16"/>
      <c r="E309" s="9"/>
      <c r="J309" s="51"/>
      <c r="M309" s="16"/>
    </row>
    <row r="310" spans="1:13" ht="14.25" customHeight="1" x14ac:dyDescent="0.3">
      <c r="A310" s="5"/>
      <c r="B310" s="9"/>
      <c r="C310" s="16"/>
      <c r="E310" s="9"/>
      <c r="J310" s="51"/>
      <c r="M310" s="16"/>
    </row>
    <row r="311" spans="1:13" ht="14.25" customHeight="1" x14ac:dyDescent="0.3">
      <c r="A311" s="5"/>
      <c r="B311" s="9"/>
      <c r="C311" s="16"/>
      <c r="E311" s="9"/>
      <c r="J311" s="51"/>
      <c r="M311" s="16"/>
    </row>
    <row r="312" spans="1:13" ht="14.25" customHeight="1" x14ac:dyDescent="0.3">
      <c r="A312" s="5"/>
      <c r="B312" s="9"/>
      <c r="C312" s="16"/>
      <c r="E312" s="9"/>
      <c r="J312" s="51"/>
      <c r="M312" s="16"/>
    </row>
    <row r="313" spans="1:13" ht="14.25" customHeight="1" x14ac:dyDescent="0.3">
      <c r="A313" s="5"/>
      <c r="B313" s="9"/>
      <c r="C313" s="16"/>
      <c r="E313" s="9"/>
      <c r="J313" s="51"/>
      <c r="M313" s="16"/>
    </row>
    <row r="314" spans="1:13" ht="14.25" customHeight="1" x14ac:dyDescent="0.3">
      <c r="A314" s="5"/>
      <c r="B314" s="9"/>
      <c r="C314" s="16"/>
      <c r="E314" s="9"/>
      <c r="J314" s="51"/>
      <c r="M314" s="16"/>
    </row>
    <row r="315" spans="1:13" ht="14.25" customHeight="1" x14ac:dyDescent="0.3">
      <c r="A315" s="5"/>
      <c r="B315" s="9"/>
      <c r="C315" s="16"/>
      <c r="E315" s="9"/>
      <c r="J315" s="51"/>
      <c r="M315" s="16"/>
    </row>
    <row r="316" spans="1:13" ht="14.25" customHeight="1" x14ac:dyDescent="0.3">
      <c r="A316" s="5"/>
      <c r="B316" s="9"/>
      <c r="C316" s="16"/>
      <c r="E316" s="9"/>
      <c r="J316" s="51"/>
      <c r="M316" s="16"/>
    </row>
    <row r="317" spans="1:13" ht="14.25" customHeight="1" x14ac:dyDescent="0.3">
      <c r="A317" s="5"/>
      <c r="B317" s="9"/>
      <c r="C317" s="16"/>
      <c r="E317" s="9"/>
      <c r="J317" s="51"/>
      <c r="M317" s="16"/>
    </row>
    <row r="318" spans="1:13" ht="14.25" customHeight="1" x14ac:dyDescent="0.3">
      <c r="A318" s="5"/>
      <c r="B318" s="9"/>
      <c r="C318" s="16"/>
      <c r="E318" s="9"/>
      <c r="J318" s="51"/>
      <c r="M318" s="16"/>
    </row>
    <row r="319" spans="1:13" ht="14.25" customHeight="1" x14ac:dyDescent="0.3">
      <c r="A319" s="5"/>
      <c r="B319" s="9"/>
      <c r="C319" s="16"/>
      <c r="E319" s="9"/>
      <c r="J319" s="51"/>
      <c r="M319" s="16"/>
    </row>
    <row r="320" spans="1:13" ht="14.25" customHeight="1" x14ac:dyDescent="0.3">
      <c r="A320" s="5"/>
      <c r="B320" s="9"/>
      <c r="C320" s="16"/>
      <c r="E320" s="9"/>
      <c r="J320" s="51"/>
      <c r="M320" s="16"/>
    </row>
    <row r="321" spans="1:13" ht="14.25" customHeight="1" x14ac:dyDescent="0.3">
      <c r="A321" s="5"/>
      <c r="B321" s="9"/>
      <c r="C321" s="16"/>
      <c r="E321" s="9"/>
      <c r="J321" s="51"/>
      <c r="M321" s="16"/>
    </row>
    <row r="322" spans="1:13" ht="14.25" customHeight="1" x14ac:dyDescent="0.3">
      <c r="A322" s="5"/>
      <c r="B322" s="9"/>
      <c r="C322" s="16"/>
      <c r="E322" s="9"/>
      <c r="J322" s="51"/>
      <c r="M322" s="16"/>
    </row>
    <row r="323" spans="1:13" ht="14.25" customHeight="1" x14ac:dyDescent="0.3">
      <c r="A323" s="5"/>
      <c r="B323" s="9"/>
      <c r="C323" s="16"/>
      <c r="E323" s="9"/>
      <c r="J323" s="51"/>
      <c r="M323" s="16"/>
    </row>
    <row r="324" spans="1:13" ht="14.25" customHeight="1" x14ac:dyDescent="0.3">
      <c r="A324" s="5"/>
      <c r="B324" s="9"/>
      <c r="C324" s="16"/>
      <c r="E324" s="9"/>
      <c r="J324" s="51"/>
      <c r="M324" s="16"/>
    </row>
    <row r="325" spans="1:13" ht="14.25" customHeight="1" x14ac:dyDescent="0.3">
      <c r="A325" s="5"/>
      <c r="B325" s="9"/>
      <c r="C325" s="16"/>
      <c r="E325" s="9"/>
      <c r="J325" s="51"/>
      <c r="M325" s="16"/>
    </row>
    <row r="326" spans="1:13" ht="14.25" customHeight="1" x14ac:dyDescent="0.3">
      <c r="A326" s="5"/>
      <c r="B326" s="9"/>
      <c r="C326" s="16"/>
      <c r="E326" s="9"/>
      <c r="J326" s="51"/>
      <c r="M326" s="16"/>
    </row>
    <row r="327" spans="1:13" ht="14.25" customHeight="1" x14ac:dyDescent="0.3">
      <c r="A327" s="5"/>
      <c r="B327" s="9"/>
      <c r="C327" s="16"/>
      <c r="E327" s="9"/>
      <c r="J327" s="51"/>
      <c r="M327" s="16"/>
    </row>
    <row r="328" spans="1:13" ht="14.25" customHeight="1" x14ac:dyDescent="0.3">
      <c r="A328" s="5"/>
      <c r="B328" s="9"/>
      <c r="C328" s="16"/>
      <c r="E328" s="9"/>
      <c r="J328" s="51"/>
      <c r="M328" s="16"/>
    </row>
    <row r="329" spans="1:13" ht="14.25" customHeight="1" x14ac:dyDescent="0.3">
      <c r="A329" s="5"/>
      <c r="B329" s="9"/>
      <c r="C329" s="16"/>
      <c r="E329" s="9"/>
      <c r="J329" s="51"/>
      <c r="M329" s="16"/>
    </row>
    <row r="330" spans="1:13" ht="14.25" customHeight="1" x14ac:dyDescent="0.3">
      <c r="A330" s="5"/>
      <c r="B330" s="9"/>
      <c r="C330" s="16"/>
      <c r="E330" s="9"/>
      <c r="J330" s="51"/>
      <c r="M330" s="16"/>
    </row>
    <row r="331" spans="1:13" ht="14.25" customHeight="1" x14ac:dyDescent="0.3">
      <c r="A331" s="5"/>
      <c r="B331" s="9"/>
      <c r="C331" s="16"/>
      <c r="E331" s="9"/>
      <c r="J331" s="51"/>
      <c r="M331" s="16"/>
    </row>
    <row r="332" spans="1:13" ht="14.25" customHeight="1" x14ac:dyDescent="0.3">
      <c r="A332" s="5"/>
      <c r="B332" s="9"/>
      <c r="C332" s="16"/>
      <c r="E332" s="9"/>
      <c r="J332" s="51"/>
      <c r="M332" s="16"/>
    </row>
    <row r="333" spans="1:13" ht="14.25" customHeight="1" x14ac:dyDescent="0.3">
      <c r="A333" s="5"/>
      <c r="B333" s="9"/>
      <c r="C333" s="16"/>
      <c r="E333" s="9"/>
      <c r="J333" s="51"/>
      <c r="M333" s="16"/>
    </row>
    <row r="334" spans="1:13" ht="14.25" customHeight="1" x14ac:dyDescent="0.3">
      <c r="A334" s="5"/>
      <c r="B334" s="9"/>
      <c r="C334" s="16"/>
      <c r="E334" s="9"/>
      <c r="J334" s="51"/>
      <c r="M334" s="16"/>
    </row>
    <row r="335" spans="1:13" ht="14.25" customHeight="1" x14ac:dyDescent="0.3">
      <c r="A335" s="5"/>
      <c r="B335" s="9"/>
      <c r="C335" s="16"/>
      <c r="E335" s="9"/>
      <c r="J335" s="51"/>
      <c r="M335" s="16"/>
    </row>
    <row r="336" spans="1:13" ht="14.25" customHeight="1" x14ac:dyDescent="0.3">
      <c r="A336" s="5"/>
      <c r="B336" s="9"/>
      <c r="C336" s="16"/>
      <c r="E336" s="9"/>
      <c r="J336" s="51"/>
      <c r="M336" s="16"/>
    </row>
    <row r="337" spans="1:13" ht="14.25" customHeight="1" x14ac:dyDescent="0.3">
      <c r="A337" s="5"/>
      <c r="B337" s="9"/>
      <c r="C337" s="16"/>
      <c r="E337" s="9"/>
      <c r="J337" s="51"/>
      <c r="M337" s="16"/>
    </row>
    <row r="338" spans="1:13" ht="14.25" customHeight="1" x14ac:dyDescent="0.3">
      <c r="A338" s="5"/>
      <c r="B338" s="9"/>
      <c r="C338" s="16"/>
      <c r="E338" s="9"/>
      <c r="J338" s="51"/>
      <c r="M338" s="16"/>
    </row>
    <row r="339" spans="1:13" ht="14.25" customHeight="1" x14ac:dyDescent="0.3">
      <c r="A339" s="5"/>
      <c r="B339" s="9"/>
      <c r="C339" s="16"/>
      <c r="E339" s="9"/>
      <c r="J339" s="51"/>
      <c r="M339" s="16"/>
    </row>
    <row r="340" spans="1:13" ht="14.25" customHeight="1" x14ac:dyDescent="0.3">
      <c r="A340" s="5"/>
      <c r="B340" s="9"/>
      <c r="C340" s="16"/>
      <c r="E340" s="9"/>
      <c r="J340" s="51"/>
      <c r="M340" s="16"/>
    </row>
    <row r="341" spans="1:13" ht="14.25" customHeight="1" x14ac:dyDescent="0.3">
      <c r="A341" s="5"/>
      <c r="B341" s="9"/>
      <c r="C341" s="16"/>
      <c r="E341" s="9"/>
      <c r="J341" s="51"/>
      <c r="M341" s="16"/>
    </row>
    <row r="342" spans="1:13" ht="14.25" customHeight="1" x14ac:dyDescent="0.3">
      <c r="A342" s="5"/>
      <c r="B342" s="9"/>
      <c r="C342" s="16"/>
      <c r="E342" s="9"/>
      <c r="J342" s="51"/>
      <c r="M342" s="16"/>
    </row>
    <row r="343" spans="1:13" ht="14.25" customHeight="1" x14ac:dyDescent="0.3">
      <c r="A343" s="5"/>
      <c r="B343" s="9"/>
      <c r="C343" s="16"/>
      <c r="E343" s="9"/>
      <c r="J343" s="51"/>
      <c r="M343" s="16"/>
    </row>
    <row r="344" spans="1:13" ht="14.25" customHeight="1" x14ac:dyDescent="0.3">
      <c r="A344" s="5"/>
      <c r="B344" s="9"/>
      <c r="C344" s="16"/>
      <c r="E344" s="9"/>
      <c r="J344" s="51"/>
      <c r="M344" s="16"/>
    </row>
    <row r="345" spans="1:13" ht="14.25" customHeight="1" x14ac:dyDescent="0.3">
      <c r="A345" s="5"/>
      <c r="B345" s="9"/>
      <c r="C345" s="16"/>
      <c r="E345" s="9"/>
      <c r="J345" s="51"/>
      <c r="M345" s="16"/>
    </row>
    <row r="346" spans="1:13" ht="14.25" customHeight="1" x14ac:dyDescent="0.3">
      <c r="A346" s="5"/>
      <c r="B346" s="9"/>
      <c r="C346" s="16"/>
      <c r="E346" s="9"/>
      <c r="J346" s="51"/>
      <c r="M346" s="16"/>
    </row>
    <row r="347" spans="1:13" ht="14.25" customHeight="1" x14ac:dyDescent="0.3">
      <c r="A347" s="5"/>
      <c r="B347" s="9"/>
      <c r="C347" s="16"/>
      <c r="E347" s="9"/>
      <c r="J347" s="51"/>
      <c r="M347" s="16"/>
    </row>
    <row r="348" spans="1:13" ht="14.25" customHeight="1" x14ac:dyDescent="0.3">
      <c r="A348" s="5"/>
      <c r="B348" s="9"/>
      <c r="C348" s="16"/>
      <c r="E348" s="9"/>
      <c r="J348" s="51"/>
      <c r="M348" s="16"/>
    </row>
    <row r="349" spans="1:13" ht="14.25" customHeight="1" x14ac:dyDescent="0.3">
      <c r="A349" s="5"/>
      <c r="B349" s="9"/>
      <c r="C349" s="16"/>
      <c r="E349" s="9"/>
      <c r="J349" s="51"/>
      <c r="M349" s="16"/>
    </row>
    <row r="350" spans="1:13" ht="14.25" customHeight="1" x14ac:dyDescent="0.3">
      <c r="A350" s="5"/>
      <c r="B350" s="9"/>
      <c r="C350" s="16"/>
      <c r="E350" s="9"/>
      <c r="J350" s="51"/>
      <c r="M350" s="16"/>
    </row>
    <row r="351" spans="1:13" ht="14.25" customHeight="1" x14ac:dyDescent="0.3">
      <c r="A351" s="5"/>
      <c r="B351" s="9"/>
      <c r="C351" s="16"/>
      <c r="E351" s="9"/>
      <c r="J351" s="51"/>
      <c r="M351" s="16"/>
    </row>
    <row r="352" spans="1:13" ht="14.25" customHeight="1" x14ac:dyDescent="0.3">
      <c r="A352" s="5"/>
      <c r="B352" s="9"/>
      <c r="C352" s="16"/>
      <c r="E352" s="9"/>
      <c r="J352" s="51"/>
      <c r="M352" s="16"/>
    </row>
    <row r="353" spans="1:13" ht="14.25" customHeight="1" x14ac:dyDescent="0.3">
      <c r="A353" s="5"/>
      <c r="B353" s="9"/>
      <c r="C353" s="16"/>
      <c r="E353" s="9"/>
      <c r="J353" s="51"/>
      <c r="M353" s="16"/>
    </row>
    <row r="354" spans="1:13" ht="14.25" customHeight="1" x14ac:dyDescent="0.3">
      <c r="A354" s="5"/>
      <c r="B354" s="9"/>
      <c r="C354" s="16"/>
      <c r="E354" s="9"/>
      <c r="J354" s="51"/>
      <c r="M354" s="16"/>
    </row>
    <row r="355" spans="1:13" ht="14.25" customHeight="1" x14ac:dyDescent="0.3">
      <c r="A355" s="5"/>
      <c r="B355" s="9"/>
      <c r="C355" s="16"/>
      <c r="E355" s="9"/>
      <c r="J355" s="51"/>
      <c r="M355" s="16"/>
    </row>
    <row r="356" spans="1:13" ht="14.25" customHeight="1" x14ac:dyDescent="0.3">
      <c r="A356" s="5"/>
      <c r="B356" s="9"/>
      <c r="C356" s="16"/>
      <c r="E356" s="9"/>
      <c r="J356" s="51"/>
      <c r="M356" s="16"/>
    </row>
    <row r="357" spans="1:13" ht="14.25" customHeight="1" x14ac:dyDescent="0.3">
      <c r="A357" s="5"/>
      <c r="B357" s="9"/>
      <c r="C357" s="16"/>
      <c r="E357" s="9"/>
      <c r="J357" s="51"/>
      <c r="M357" s="16"/>
    </row>
    <row r="358" spans="1:13" ht="14.25" customHeight="1" x14ac:dyDescent="0.3">
      <c r="A358" s="5"/>
      <c r="B358" s="9"/>
      <c r="C358" s="16"/>
      <c r="E358" s="9"/>
      <c r="J358" s="51"/>
      <c r="M358" s="16"/>
    </row>
    <row r="359" spans="1:13" ht="14.25" customHeight="1" x14ac:dyDescent="0.3">
      <c r="A359" s="5"/>
      <c r="B359" s="9"/>
      <c r="C359" s="16"/>
      <c r="E359" s="9"/>
      <c r="J359" s="51"/>
      <c r="M359" s="16"/>
    </row>
    <row r="360" spans="1:13" ht="14.25" customHeight="1" x14ac:dyDescent="0.3">
      <c r="A360" s="5"/>
      <c r="B360" s="9"/>
      <c r="C360" s="16"/>
      <c r="E360" s="9"/>
      <c r="J360" s="51"/>
      <c r="M360" s="16"/>
    </row>
    <row r="361" spans="1:13" ht="14.25" customHeight="1" x14ac:dyDescent="0.3">
      <c r="A361" s="5"/>
      <c r="B361" s="9"/>
      <c r="C361" s="16"/>
      <c r="E361" s="9"/>
      <c r="J361" s="51"/>
      <c r="M361" s="16"/>
    </row>
    <row r="362" spans="1:13" ht="14.25" customHeight="1" x14ac:dyDescent="0.3">
      <c r="A362" s="5"/>
      <c r="B362" s="9"/>
      <c r="C362" s="16"/>
      <c r="E362" s="9"/>
      <c r="J362" s="51"/>
      <c r="M362" s="16"/>
    </row>
    <row r="363" spans="1:13" ht="14.25" customHeight="1" x14ac:dyDescent="0.3">
      <c r="A363" s="5"/>
      <c r="B363" s="9"/>
      <c r="C363" s="16"/>
      <c r="E363" s="9"/>
      <c r="J363" s="51"/>
      <c r="M363" s="16"/>
    </row>
    <row r="364" spans="1:13" ht="14.25" customHeight="1" x14ac:dyDescent="0.3">
      <c r="A364" s="5"/>
      <c r="B364" s="9"/>
      <c r="C364" s="16"/>
      <c r="E364" s="9"/>
      <c r="J364" s="51"/>
      <c r="M364" s="16"/>
    </row>
    <row r="365" spans="1:13" ht="14.25" customHeight="1" x14ac:dyDescent="0.3">
      <c r="A365" s="5"/>
      <c r="B365" s="9"/>
      <c r="C365" s="16"/>
      <c r="E365" s="9"/>
      <c r="J365" s="51"/>
      <c r="M365" s="16"/>
    </row>
    <row r="366" spans="1:13" ht="14.25" customHeight="1" x14ac:dyDescent="0.3">
      <c r="A366" s="5"/>
      <c r="B366" s="9"/>
      <c r="C366" s="16"/>
      <c r="E366" s="9"/>
      <c r="J366" s="51"/>
      <c r="M366" s="16"/>
    </row>
    <row r="367" spans="1:13" ht="14.25" customHeight="1" x14ac:dyDescent="0.3">
      <c r="A367" s="5"/>
      <c r="B367" s="9"/>
      <c r="C367" s="16"/>
      <c r="E367" s="9"/>
      <c r="J367" s="51"/>
      <c r="M367" s="16"/>
    </row>
    <row r="368" spans="1:13" ht="14.25" customHeight="1" x14ac:dyDescent="0.3">
      <c r="A368" s="5"/>
      <c r="B368" s="9"/>
      <c r="C368" s="16"/>
      <c r="E368" s="9"/>
      <c r="J368" s="51"/>
      <c r="M368" s="16"/>
    </row>
    <row r="369" spans="1:13" ht="14.25" customHeight="1" x14ac:dyDescent="0.3">
      <c r="A369" s="5"/>
      <c r="B369" s="9"/>
      <c r="C369" s="16"/>
      <c r="E369" s="9"/>
      <c r="J369" s="51"/>
      <c r="M369" s="16"/>
    </row>
    <row r="370" spans="1:13" ht="14.25" customHeight="1" x14ac:dyDescent="0.3">
      <c r="A370" s="5"/>
      <c r="B370" s="9"/>
      <c r="C370" s="16"/>
      <c r="E370" s="9"/>
      <c r="J370" s="51"/>
      <c r="M370" s="16"/>
    </row>
    <row r="371" spans="1:13" ht="14.25" customHeight="1" x14ac:dyDescent="0.3">
      <c r="A371" s="5"/>
      <c r="B371" s="9"/>
      <c r="C371" s="16"/>
      <c r="E371" s="9"/>
      <c r="J371" s="51"/>
      <c r="M371" s="16"/>
    </row>
    <row r="372" spans="1:13" ht="14.25" customHeight="1" x14ac:dyDescent="0.3">
      <c r="A372" s="5"/>
      <c r="B372" s="9"/>
      <c r="C372" s="16"/>
      <c r="E372" s="9"/>
      <c r="J372" s="51"/>
      <c r="M372" s="16"/>
    </row>
    <row r="373" spans="1:13" ht="14.25" customHeight="1" x14ac:dyDescent="0.3">
      <c r="A373" s="5"/>
      <c r="B373" s="9"/>
      <c r="C373" s="16"/>
      <c r="E373" s="9"/>
      <c r="J373" s="51"/>
      <c r="M373" s="16"/>
    </row>
    <row r="374" spans="1:13" ht="14.25" customHeight="1" x14ac:dyDescent="0.3">
      <c r="A374" s="5"/>
      <c r="B374" s="9"/>
      <c r="C374" s="16"/>
      <c r="E374" s="9"/>
      <c r="J374" s="51"/>
      <c r="M374" s="16"/>
    </row>
    <row r="375" spans="1:13" ht="14.25" customHeight="1" x14ac:dyDescent="0.3">
      <c r="A375" s="5"/>
      <c r="B375" s="9"/>
      <c r="C375" s="16"/>
      <c r="E375" s="9"/>
      <c r="J375" s="51"/>
      <c r="M375" s="16"/>
    </row>
    <row r="376" spans="1:13" ht="14.25" customHeight="1" x14ac:dyDescent="0.3">
      <c r="A376" s="5"/>
      <c r="B376" s="9"/>
      <c r="C376" s="16"/>
      <c r="E376" s="9"/>
      <c r="J376" s="51"/>
      <c r="M376" s="16"/>
    </row>
    <row r="377" spans="1:13" ht="14.25" customHeight="1" x14ac:dyDescent="0.3">
      <c r="A377" s="5"/>
      <c r="B377" s="9"/>
      <c r="C377" s="16"/>
      <c r="E377" s="9"/>
      <c r="J377" s="51"/>
      <c r="M377" s="16"/>
    </row>
    <row r="378" spans="1:13" ht="14.25" customHeight="1" x14ac:dyDescent="0.3">
      <c r="A378" s="5"/>
      <c r="B378" s="9"/>
      <c r="C378" s="16"/>
      <c r="E378" s="9"/>
      <c r="J378" s="51"/>
      <c r="M378" s="16"/>
    </row>
    <row r="379" spans="1:13" ht="14.25" customHeight="1" x14ac:dyDescent="0.3">
      <c r="A379" s="5"/>
      <c r="B379" s="9"/>
      <c r="C379" s="16"/>
      <c r="E379" s="9"/>
      <c r="J379" s="51"/>
      <c r="M379" s="16"/>
    </row>
    <row r="380" spans="1:13" ht="14.25" customHeight="1" x14ac:dyDescent="0.3">
      <c r="A380" s="5"/>
      <c r="B380" s="9"/>
      <c r="C380" s="16"/>
      <c r="E380" s="9"/>
      <c r="J380" s="51"/>
      <c r="M380" s="16"/>
    </row>
    <row r="381" spans="1:13" ht="14.25" customHeight="1" x14ac:dyDescent="0.3">
      <c r="A381" s="5"/>
      <c r="B381" s="9"/>
      <c r="C381" s="16"/>
      <c r="E381" s="9"/>
      <c r="J381" s="51"/>
      <c r="M381" s="16"/>
    </row>
    <row r="382" spans="1:13" ht="14.25" customHeight="1" x14ac:dyDescent="0.3">
      <c r="A382" s="5"/>
      <c r="B382" s="9"/>
      <c r="C382" s="16"/>
      <c r="E382" s="9"/>
      <c r="J382" s="51"/>
      <c r="M382" s="16"/>
    </row>
    <row r="383" spans="1:13" ht="14.25" customHeight="1" x14ac:dyDescent="0.3">
      <c r="A383" s="5"/>
      <c r="B383" s="9"/>
      <c r="C383" s="16"/>
      <c r="E383" s="9"/>
      <c r="J383" s="51"/>
      <c r="M383" s="16"/>
    </row>
    <row r="384" spans="1:13" ht="14.25" customHeight="1" x14ac:dyDescent="0.3">
      <c r="A384" s="5"/>
      <c r="B384" s="9"/>
      <c r="C384" s="16"/>
      <c r="E384" s="9"/>
      <c r="J384" s="51"/>
      <c r="M384" s="16"/>
    </row>
    <row r="385" spans="1:13" ht="14.25" customHeight="1" x14ac:dyDescent="0.3">
      <c r="A385" s="5"/>
      <c r="B385" s="9"/>
      <c r="C385" s="16"/>
      <c r="E385" s="9"/>
      <c r="J385" s="51"/>
      <c r="M385" s="16"/>
    </row>
    <row r="386" spans="1:13" ht="14.25" customHeight="1" x14ac:dyDescent="0.3">
      <c r="A386" s="5"/>
      <c r="B386" s="9"/>
      <c r="C386" s="16"/>
      <c r="E386" s="9"/>
      <c r="J386" s="51"/>
      <c r="M386" s="16"/>
    </row>
    <row r="387" spans="1:13" ht="14.25" customHeight="1" x14ac:dyDescent="0.3">
      <c r="A387" s="5"/>
      <c r="B387" s="9"/>
      <c r="C387" s="16"/>
      <c r="E387" s="9"/>
      <c r="J387" s="51"/>
      <c r="M387" s="16"/>
    </row>
    <row r="388" spans="1:13" ht="14.25" customHeight="1" x14ac:dyDescent="0.3">
      <c r="A388" s="5"/>
      <c r="B388" s="9"/>
      <c r="C388" s="16"/>
      <c r="E388" s="9"/>
      <c r="J388" s="51"/>
      <c r="M388" s="16"/>
    </row>
    <row r="389" spans="1:13" ht="14.25" customHeight="1" x14ac:dyDescent="0.3">
      <c r="A389" s="5"/>
      <c r="B389" s="9"/>
      <c r="C389" s="16"/>
      <c r="E389" s="9"/>
      <c r="J389" s="51"/>
      <c r="M389" s="16"/>
    </row>
    <row r="390" spans="1:13" ht="14.25" customHeight="1" x14ac:dyDescent="0.3">
      <c r="A390" s="5"/>
      <c r="B390" s="9"/>
      <c r="C390" s="16"/>
      <c r="E390" s="9"/>
      <c r="J390" s="51"/>
      <c r="M390" s="16"/>
    </row>
    <row r="391" spans="1:13" ht="14.25" customHeight="1" x14ac:dyDescent="0.3">
      <c r="A391" s="5"/>
      <c r="B391" s="9"/>
      <c r="C391" s="16"/>
      <c r="E391" s="9"/>
      <c r="J391" s="51"/>
      <c r="M391" s="16"/>
    </row>
    <row r="392" spans="1:13" ht="14.25" customHeight="1" x14ac:dyDescent="0.3">
      <c r="A392" s="5"/>
      <c r="B392" s="9"/>
      <c r="C392" s="16"/>
      <c r="E392" s="9"/>
      <c r="J392" s="51"/>
      <c r="M392" s="16"/>
    </row>
    <row r="393" spans="1:13" ht="14.25" customHeight="1" x14ac:dyDescent="0.3">
      <c r="A393" s="5"/>
      <c r="B393" s="9"/>
      <c r="C393" s="16"/>
      <c r="E393" s="9"/>
      <c r="J393" s="51"/>
      <c r="M393" s="16"/>
    </row>
    <row r="394" spans="1:13" ht="14.25" customHeight="1" x14ac:dyDescent="0.3">
      <c r="A394" s="5"/>
      <c r="B394" s="9"/>
      <c r="C394" s="16"/>
      <c r="E394" s="9"/>
      <c r="J394" s="51"/>
      <c r="M394" s="16"/>
    </row>
    <row r="395" spans="1:13" ht="14.25" customHeight="1" x14ac:dyDescent="0.3">
      <c r="A395" s="5"/>
      <c r="B395" s="9"/>
      <c r="C395" s="16"/>
      <c r="E395" s="9"/>
      <c r="J395" s="51"/>
      <c r="M395" s="16"/>
    </row>
    <row r="396" spans="1:13" ht="14.25" customHeight="1" x14ac:dyDescent="0.3">
      <c r="A396" s="5"/>
      <c r="B396" s="9"/>
      <c r="C396" s="16"/>
      <c r="E396" s="9"/>
      <c r="J396" s="51"/>
      <c r="M396" s="16"/>
    </row>
    <row r="397" spans="1:13" ht="14.25" customHeight="1" x14ac:dyDescent="0.3">
      <c r="A397" s="5"/>
      <c r="B397" s="9"/>
      <c r="C397" s="16"/>
      <c r="E397" s="9"/>
      <c r="J397" s="51"/>
      <c r="M397" s="16"/>
    </row>
    <row r="398" spans="1:13" ht="14.25" customHeight="1" x14ac:dyDescent="0.3">
      <c r="A398" s="5"/>
      <c r="B398" s="9"/>
      <c r="C398" s="16"/>
      <c r="E398" s="9"/>
      <c r="J398" s="51"/>
      <c r="M398" s="16"/>
    </row>
    <row r="399" spans="1:13" ht="14.25" customHeight="1" x14ac:dyDescent="0.3">
      <c r="A399" s="5"/>
      <c r="B399" s="9"/>
      <c r="C399" s="16"/>
      <c r="E399" s="9"/>
      <c r="J399" s="51"/>
      <c r="M399" s="16"/>
    </row>
    <row r="400" spans="1:13" ht="14.25" customHeight="1" x14ac:dyDescent="0.3">
      <c r="A400" s="5"/>
      <c r="B400" s="9"/>
      <c r="C400" s="16"/>
      <c r="E400" s="9"/>
      <c r="J400" s="51"/>
      <c r="M400" s="16"/>
    </row>
    <row r="401" spans="1:13" ht="14.25" customHeight="1" x14ac:dyDescent="0.3">
      <c r="A401" s="5"/>
      <c r="B401" s="9"/>
      <c r="C401" s="16"/>
      <c r="E401" s="9"/>
      <c r="J401" s="51"/>
      <c r="M401" s="16"/>
    </row>
    <row r="402" spans="1:13" ht="14.25" customHeight="1" x14ac:dyDescent="0.3">
      <c r="A402" s="5"/>
      <c r="B402" s="9"/>
      <c r="C402" s="16"/>
      <c r="E402" s="9"/>
      <c r="J402" s="51"/>
      <c r="M402" s="16"/>
    </row>
    <row r="403" spans="1:13" ht="14.25" customHeight="1" x14ac:dyDescent="0.3">
      <c r="A403" s="5"/>
      <c r="B403" s="9"/>
      <c r="C403" s="16"/>
      <c r="E403" s="9"/>
      <c r="J403" s="51"/>
      <c r="M403" s="16"/>
    </row>
    <row r="404" spans="1:13" ht="14.25" customHeight="1" x14ac:dyDescent="0.3">
      <c r="A404" s="5"/>
      <c r="B404" s="9"/>
      <c r="C404" s="16"/>
      <c r="E404" s="9"/>
      <c r="J404" s="51"/>
      <c r="M404" s="16"/>
    </row>
    <row r="405" spans="1:13" ht="14.25" customHeight="1" x14ac:dyDescent="0.3">
      <c r="A405" s="5"/>
      <c r="B405" s="9"/>
      <c r="C405" s="16"/>
      <c r="E405" s="9"/>
      <c r="J405" s="51"/>
      <c r="M405" s="16"/>
    </row>
    <row r="406" spans="1:13" ht="14.25" customHeight="1" x14ac:dyDescent="0.3">
      <c r="A406" s="5"/>
      <c r="B406" s="9"/>
      <c r="C406" s="16"/>
      <c r="E406" s="9"/>
      <c r="J406" s="51"/>
      <c r="M406" s="16"/>
    </row>
    <row r="407" spans="1:13" ht="14.25" customHeight="1" x14ac:dyDescent="0.3">
      <c r="A407" s="5"/>
      <c r="B407" s="9"/>
      <c r="C407" s="16"/>
      <c r="E407" s="9"/>
      <c r="J407" s="51"/>
      <c r="M407" s="16"/>
    </row>
    <row r="408" spans="1:13" ht="14.25" customHeight="1" x14ac:dyDescent="0.3">
      <c r="A408" s="5"/>
      <c r="B408" s="9"/>
      <c r="C408" s="16"/>
      <c r="E408" s="9"/>
      <c r="J408" s="51"/>
      <c r="M408" s="16"/>
    </row>
    <row r="409" spans="1:13" ht="14.25" customHeight="1" x14ac:dyDescent="0.3">
      <c r="A409" s="5"/>
      <c r="B409" s="9"/>
      <c r="C409" s="16"/>
      <c r="E409" s="9"/>
      <c r="J409" s="51"/>
      <c r="M409" s="16"/>
    </row>
    <row r="410" spans="1:13" ht="14.25" customHeight="1" x14ac:dyDescent="0.3">
      <c r="A410" s="5"/>
      <c r="B410" s="9"/>
      <c r="C410" s="16"/>
      <c r="E410" s="9"/>
      <c r="J410" s="51"/>
      <c r="M410" s="16"/>
    </row>
    <row r="411" spans="1:13" ht="14.25" customHeight="1" x14ac:dyDescent="0.3">
      <c r="A411" s="5"/>
      <c r="B411" s="9"/>
      <c r="C411" s="16"/>
      <c r="E411" s="9"/>
      <c r="J411" s="51"/>
      <c r="M411" s="16"/>
    </row>
    <row r="412" spans="1:13" ht="14.25" customHeight="1" x14ac:dyDescent="0.3">
      <c r="A412" s="5"/>
      <c r="B412" s="9"/>
      <c r="C412" s="16"/>
      <c r="E412" s="9"/>
      <c r="J412" s="51"/>
      <c r="M412" s="16"/>
    </row>
    <row r="413" spans="1:13" ht="14.25" customHeight="1" x14ac:dyDescent="0.3">
      <c r="A413" s="5"/>
      <c r="B413" s="9"/>
      <c r="C413" s="16"/>
      <c r="E413" s="9"/>
      <c r="J413" s="51"/>
      <c r="M413" s="16"/>
    </row>
    <row r="414" spans="1:13" ht="14.25" customHeight="1" x14ac:dyDescent="0.3">
      <c r="A414" s="5"/>
      <c r="C414" s="16"/>
      <c r="J414" s="51"/>
      <c r="M414" s="16"/>
    </row>
    <row r="415" spans="1:13" ht="14.25" customHeight="1" x14ac:dyDescent="0.3">
      <c r="A415" s="5"/>
      <c r="C415" s="16"/>
      <c r="J415" s="51"/>
      <c r="M415" s="16"/>
    </row>
    <row r="416" spans="1:13" ht="14.25" customHeight="1" x14ac:dyDescent="0.3">
      <c r="A416" s="5"/>
      <c r="C416" s="16"/>
      <c r="J416" s="51"/>
      <c r="M416" s="16"/>
    </row>
    <row r="417" spans="1:13" ht="14.25" customHeight="1" x14ac:dyDescent="0.3">
      <c r="A417" s="5"/>
      <c r="C417" s="16"/>
      <c r="J417" s="51"/>
      <c r="M417" s="16"/>
    </row>
    <row r="418" spans="1:13" ht="14.25" customHeight="1" x14ac:dyDescent="0.3">
      <c r="A418" s="5"/>
      <c r="C418" s="16"/>
      <c r="J418" s="51"/>
      <c r="M418" s="16"/>
    </row>
    <row r="419" spans="1:13" ht="14.25" customHeight="1" x14ac:dyDescent="0.3">
      <c r="A419" s="5"/>
      <c r="C419" s="16"/>
      <c r="J419" s="51"/>
      <c r="M419" s="16"/>
    </row>
    <row r="420" spans="1:13" ht="14.25" customHeight="1" x14ac:dyDescent="0.3">
      <c r="A420" s="5"/>
      <c r="C420" s="16"/>
      <c r="J420" s="51"/>
      <c r="M420" s="16"/>
    </row>
    <row r="421" spans="1:13" ht="14.25" customHeight="1" x14ac:dyDescent="0.3">
      <c r="A421" s="5"/>
      <c r="C421" s="16"/>
      <c r="J421" s="51"/>
      <c r="M421" s="16"/>
    </row>
    <row r="422" spans="1:13" ht="14.25" customHeight="1" x14ac:dyDescent="0.3">
      <c r="A422" s="5"/>
      <c r="C422" s="16"/>
      <c r="J422" s="51"/>
      <c r="M422" s="16"/>
    </row>
    <row r="423" spans="1:13" ht="14.25" customHeight="1" x14ac:dyDescent="0.3">
      <c r="A423" s="5"/>
      <c r="C423" s="16"/>
      <c r="J423" s="51"/>
      <c r="M423" s="16"/>
    </row>
    <row r="424" spans="1:13" ht="14.25" customHeight="1" x14ac:dyDescent="0.3">
      <c r="A424" s="5"/>
      <c r="C424" s="16"/>
      <c r="J424" s="51"/>
      <c r="M424" s="16"/>
    </row>
    <row r="425" spans="1:13" ht="14.25" customHeight="1" x14ac:dyDescent="0.3">
      <c r="A425" s="5"/>
      <c r="C425" s="16"/>
      <c r="J425" s="51"/>
      <c r="M425" s="16"/>
    </row>
    <row r="426" spans="1:13" ht="14.25" customHeight="1" x14ac:dyDescent="0.3">
      <c r="A426" s="5"/>
      <c r="C426" s="16"/>
      <c r="J426" s="51"/>
      <c r="M426" s="16"/>
    </row>
    <row r="427" spans="1:13" ht="14.25" customHeight="1" x14ac:dyDescent="0.3">
      <c r="A427" s="5"/>
      <c r="C427" s="16"/>
      <c r="J427" s="51"/>
      <c r="M427" s="16"/>
    </row>
    <row r="428" spans="1:13" ht="14.25" customHeight="1" x14ac:dyDescent="0.3">
      <c r="A428" s="5"/>
      <c r="C428" s="16"/>
      <c r="J428" s="51"/>
      <c r="M428" s="16"/>
    </row>
    <row r="429" spans="1:13" ht="14.25" customHeight="1" x14ac:dyDescent="0.3">
      <c r="A429" s="5"/>
      <c r="C429" s="16"/>
      <c r="J429" s="51"/>
      <c r="M429" s="16"/>
    </row>
    <row r="430" spans="1:13" ht="14.25" customHeight="1" x14ac:dyDescent="0.3">
      <c r="A430" s="5"/>
      <c r="C430" s="16"/>
      <c r="J430" s="51"/>
      <c r="M430" s="16"/>
    </row>
    <row r="431" spans="1:13" ht="14.25" customHeight="1" x14ac:dyDescent="0.3">
      <c r="A431" s="5"/>
      <c r="C431" s="16"/>
      <c r="J431" s="51"/>
      <c r="M431" s="16"/>
    </row>
    <row r="432" spans="1:13" ht="14.25" customHeight="1" x14ac:dyDescent="0.3">
      <c r="A432" s="5"/>
      <c r="C432" s="16"/>
      <c r="J432" s="51"/>
      <c r="M432" s="16"/>
    </row>
    <row r="433" spans="1:13" ht="14.25" customHeight="1" x14ac:dyDescent="0.3">
      <c r="A433" s="5"/>
      <c r="C433" s="16"/>
      <c r="J433" s="51"/>
      <c r="M433" s="16"/>
    </row>
    <row r="434" spans="1:13" ht="14.25" customHeight="1" x14ac:dyDescent="0.3">
      <c r="A434" s="5"/>
      <c r="C434" s="16"/>
      <c r="J434" s="51"/>
      <c r="M434" s="16"/>
    </row>
    <row r="435" spans="1:13" ht="14.25" customHeight="1" x14ac:dyDescent="0.3">
      <c r="A435" s="5"/>
      <c r="C435" s="16"/>
      <c r="J435" s="51"/>
      <c r="M435" s="16"/>
    </row>
    <row r="436" spans="1:13" ht="14.25" customHeight="1" x14ac:dyDescent="0.3">
      <c r="A436" s="5"/>
      <c r="C436" s="16"/>
      <c r="J436" s="51"/>
      <c r="M436" s="16"/>
    </row>
    <row r="437" spans="1:13" ht="14.25" customHeight="1" x14ac:dyDescent="0.3">
      <c r="A437" s="5"/>
      <c r="C437" s="16"/>
      <c r="J437" s="51"/>
      <c r="M437" s="16"/>
    </row>
    <row r="438" spans="1:13" ht="14.25" customHeight="1" x14ac:dyDescent="0.3">
      <c r="A438" s="5"/>
      <c r="C438" s="16"/>
      <c r="J438" s="51"/>
      <c r="M438" s="16"/>
    </row>
    <row r="439" spans="1:13" ht="14.25" customHeight="1" x14ac:dyDescent="0.3">
      <c r="A439" s="5"/>
      <c r="C439" s="16"/>
      <c r="J439" s="51"/>
      <c r="M439" s="16"/>
    </row>
    <row r="440" spans="1:13" ht="14.25" customHeight="1" x14ac:dyDescent="0.3">
      <c r="A440" s="5"/>
      <c r="C440" s="16"/>
      <c r="J440" s="51"/>
      <c r="M440" s="16"/>
    </row>
    <row r="441" spans="1:13" ht="14.25" customHeight="1" x14ac:dyDescent="0.3">
      <c r="A441" s="5"/>
      <c r="C441" s="16"/>
      <c r="J441" s="51"/>
      <c r="M441" s="16"/>
    </row>
    <row r="442" spans="1:13" ht="14.25" customHeight="1" x14ac:dyDescent="0.3">
      <c r="A442" s="5"/>
      <c r="C442" s="16"/>
      <c r="J442" s="51"/>
      <c r="M442" s="16"/>
    </row>
    <row r="443" spans="1:13" ht="14.25" customHeight="1" x14ac:dyDescent="0.3">
      <c r="A443" s="5"/>
      <c r="C443" s="16"/>
      <c r="J443" s="51"/>
      <c r="M443" s="16"/>
    </row>
    <row r="444" spans="1:13" ht="14.25" customHeight="1" x14ac:dyDescent="0.3">
      <c r="A444" s="5"/>
      <c r="C444" s="16"/>
      <c r="J444" s="51"/>
      <c r="M444" s="16"/>
    </row>
    <row r="445" spans="1:13" ht="14.25" customHeight="1" x14ac:dyDescent="0.3">
      <c r="A445" s="5"/>
      <c r="C445" s="16"/>
      <c r="J445" s="51"/>
      <c r="M445" s="16"/>
    </row>
    <row r="446" spans="1:13" ht="14.25" customHeight="1" x14ac:dyDescent="0.3">
      <c r="A446" s="5"/>
      <c r="C446" s="16"/>
      <c r="J446" s="51"/>
      <c r="M446" s="16"/>
    </row>
    <row r="447" spans="1:13" ht="14.25" customHeight="1" x14ac:dyDescent="0.3">
      <c r="A447" s="5"/>
      <c r="C447" s="16"/>
      <c r="J447" s="51"/>
      <c r="M447" s="16"/>
    </row>
    <row r="448" spans="1:13" ht="14.25" customHeight="1" x14ac:dyDescent="0.3">
      <c r="A448" s="5"/>
      <c r="C448" s="16"/>
      <c r="J448" s="51"/>
      <c r="M448" s="16"/>
    </row>
    <row r="449" spans="1:13" ht="14.25" customHeight="1" x14ac:dyDescent="0.3">
      <c r="A449" s="5"/>
      <c r="C449" s="16"/>
      <c r="J449" s="51"/>
      <c r="M449" s="16"/>
    </row>
    <row r="450" spans="1:13" ht="14.25" customHeight="1" x14ac:dyDescent="0.3">
      <c r="A450" s="5"/>
      <c r="C450" s="16"/>
      <c r="J450" s="51"/>
      <c r="M450" s="16"/>
    </row>
    <row r="451" spans="1:13" ht="14.25" customHeight="1" x14ac:dyDescent="0.3">
      <c r="A451" s="5"/>
      <c r="C451" s="16"/>
      <c r="J451" s="51"/>
      <c r="M451" s="16"/>
    </row>
    <row r="452" spans="1:13" ht="14.25" customHeight="1" x14ac:dyDescent="0.3">
      <c r="A452" s="5"/>
      <c r="C452" s="16"/>
      <c r="J452" s="51"/>
      <c r="M452" s="16"/>
    </row>
    <row r="453" spans="1:13" ht="14.25" customHeight="1" x14ac:dyDescent="0.3">
      <c r="A453" s="5"/>
      <c r="C453" s="16"/>
      <c r="J453" s="51"/>
      <c r="M453" s="16"/>
    </row>
    <row r="454" spans="1:13" ht="14.25" customHeight="1" x14ac:dyDescent="0.3">
      <c r="A454" s="5"/>
      <c r="C454" s="16"/>
      <c r="J454" s="51"/>
      <c r="M454" s="16"/>
    </row>
    <row r="455" spans="1:13" ht="14.25" customHeight="1" x14ac:dyDescent="0.3">
      <c r="A455" s="5"/>
      <c r="C455" s="16"/>
      <c r="J455" s="51"/>
      <c r="M455" s="16"/>
    </row>
    <row r="456" spans="1:13" ht="14.25" customHeight="1" x14ac:dyDescent="0.3">
      <c r="A456" s="5"/>
      <c r="C456" s="16"/>
      <c r="J456" s="51"/>
      <c r="M456" s="16"/>
    </row>
    <row r="457" spans="1:13" ht="14.25" customHeight="1" x14ac:dyDescent="0.3">
      <c r="A457" s="5"/>
      <c r="C457" s="16"/>
      <c r="J457" s="51"/>
      <c r="M457" s="16"/>
    </row>
    <row r="458" spans="1:13" ht="14.25" customHeight="1" x14ac:dyDescent="0.3">
      <c r="A458" s="5"/>
      <c r="C458" s="16"/>
      <c r="J458" s="51"/>
      <c r="M458" s="16"/>
    </row>
    <row r="459" spans="1:13" ht="14.25" customHeight="1" x14ac:dyDescent="0.3">
      <c r="A459" s="5"/>
      <c r="C459" s="16"/>
      <c r="J459" s="51"/>
      <c r="M459" s="16"/>
    </row>
    <row r="460" spans="1:13" ht="14.25" customHeight="1" x14ac:dyDescent="0.3">
      <c r="A460" s="5"/>
      <c r="C460" s="16"/>
      <c r="J460" s="51"/>
      <c r="M460" s="16"/>
    </row>
    <row r="461" spans="1:13" ht="14.25" customHeight="1" x14ac:dyDescent="0.3">
      <c r="A461" s="5"/>
      <c r="C461" s="16"/>
      <c r="J461" s="51"/>
      <c r="M461" s="16"/>
    </row>
    <row r="462" spans="1:13" ht="14.25" customHeight="1" x14ac:dyDescent="0.3">
      <c r="A462" s="5"/>
      <c r="C462" s="16"/>
      <c r="J462" s="51"/>
      <c r="M462" s="16"/>
    </row>
    <row r="463" spans="1:13" ht="14.25" customHeight="1" x14ac:dyDescent="0.3">
      <c r="A463" s="5"/>
      <c r="C463" s="16"/>
      <c r="J463" s="51"/>
      <c r="M463" s="16"/>
    </row>
    <row r="464" spans="1:13" ht="14.25" customHeight="1" x14ac:dyDescent="0.3">
      <c r="A464" s="5"/>
      <c r="C464" s="16"/>
      <c r="J464" s="51"/>
      <c r="M464" s="16"/>
    </row>
    <row r="465" spans="1:13" ht="14.25" customHeight="1" x14ac:dyDescent="0.3">
      <c r="A465" s="5"/>
      <c r="C465" s="16"/>
      <c r="J465" s="51"/>
      <c r="M465" s="16"/>
    </row>
    <row r="466" spans="1:13" ht="14.25" customHeight="1" x14ac:dyDescent="0.3">
      <c r="A466" s="5"/>
      <c r="C466" s="16"/>
      <c r="J466" s="51"/>
      <c r="M466" s="16"/>
    </row>
    <row r="467" spans="1:13" ht="14.25" customHeight="1" x14ac:dyDescent="0.3">
      <c r="A467" s="5"/>
      <c r="C467" s="16"/>
      <c r="J467" s="51"/>
      <c r="M467" s="16"/>
    </row>
    <row r="468" spans="1:13" ht="14.25" customHeight="1" x14ac:dyDescent="0.3">
      <c r="A468" s="5"/>
      <c r="C468" s="16"/>
      <c r="J468" s="51"/>
      <c r="M468" s="16"/>
    </row>
    <row r="469" spans="1:13" ht="14.25" customHeight="1" x14ac:dyDescent="0.3">
      <c r="A469" s="5"/>
      <c r="C469" s="16"/>
      <c r="J469" s="51"/>
      <c r="M469" s="16"/>
    </row>
    <row r="470" spans="1:13" ht="14.25" customHeight="1" x14ac:dyDescent="0.3">
      <c r="A470" s="5"/>
      <c r="C470" s="16"/>
      <c r="J470" s="51"/>
      <c r="M470" s="16"/>
    </row>
    <row r="471" spans="1:13" ht="14.25" customHeight="1" x14ac:dyDescent="0.3">
      <c r="A471" s="5"/>
      <c r="C471" s="16"/>
      <c r="J471" s="51"/>
      <c r="M471" s="16"/>
    </row>
    <row r="472" spans="1:13" ht="14.25" customHeight="1" x14ac:dyDescent="0.3">
      <c r="A472" s="5"/>
      <c r="C472" s="16"/>
      <c r="J472" s="51"/>
      <c r="M472" s="16"/>
    </row>
    <row r="473" spans="1:13" ht="14.25" customHeight="1" x14ac:dyDescent="0.3">
      <c r="A473" s="5"/>
      <c r="C473" s="16"/>
      <c r="J473" s="51"/>
      <c r="M473" s="16"/>
    </row>
    <row r="474" spans="1:13" ht="14.25" customHeight="1" x14ac:dyDescent="0.3">
      <c r="A474" s="5"/>
      <c r="C474" s="16"/>
      <c r="J474" s="51"/>
      <c r="M474" s="16"/>
    </row>
    <row r="475" spans="1:13" ht="14.25" customHeight="1" x14ac:dyDescent="0.3">
      <c r="A475" s="5"/>
      <c r="C475" s="16"/>
      <c r="J475" s="51"/>
      <c r="M475" s="16"/>
    </row>
    <row r="476" spans="1:13" ht="14.25" customHeight="1" x14ac:dyDescent="0.3">
      <c r="A476" s="5"/>
      <c r="C476" s="16"/>
      <c r="J476" s="51"/>
      <c r="M476" s="16"/>
    </row>
    <row r="477" spans="1:13" ht="14.25" customHeight="1" x14ac:dyDescent="0.3">
      <c r="A477" s="5"/>
      <c r="C477" s="16"/>
      <c r="J477" s="51"/>
      <c r="M477" s="16"/>
    </row>
    <row r="478" spans="1:13" ht="14.25" customHeight="1" x14ac:dyDescent="0.3">
      <c r="A478" s="5"/>
      <c r="C478" s="16"/>
      <c r="J478" s="51"/>
      <c r="M478" s="16"/>
    </row>
    <row r="479" spans="1:13" ht="14.25" customHeight="1" x14ac:dyDescent="0.3">
      <c r="A479" s="5"/>
      <c r="C479" s="16"/>
      <c r="J479" s="51"/>
      <c r="M479" s="16"/>
    </row>
    <row r="480" spans="1:13" ht="14.25" customHeight="1" x14ac:dyDescent="0.3">
      <c r="A480" s="5"/>
      <c r="C480" s="16"/>
      <c r="J480" s="51"/>
      <c r="M480" s="16"/>
    </row>
    <row r="481" spans="1:13" ht="14.25" customHeight="1" x14ac:dyDescent="0.3">
      <c r="A481" s="5"/>
      <c r="C481" s="16"/>
      <c r="J481" s="51"/>
      <c r="M481" s="16"/>
    </row>
    <row r="482" spans="1:13" ht="14.25" customHeight="1" x14ac:dyDescent="0.3">
      <c r="A482" s="5"/>
      <c r="C482" s="16"/>
      <c r="J482" s="51"/>
      <c r="M482" s="16"/>
    </row>
    <row r="483" spans="1:13" ht="14.25" customHeight="1" x14ac:dyDescent="0.3">
      <c r="A483" s="5"/>
      <c r="C483" s="16"/>
      <c r="J483" s="51"/>
      <c r="M483" s="16"/>
    </row>
    <row r="484" spans="1:13" ht="14.25" customHeight="1" x14ac:dyDescent="0.3">
      <c r="A484" s="5"/>
      <c r="C484" s="16"/>
      <c r="J484" s="51"/>
      <c r="M484" s="16"/>
    </row>
    <row r="485" spans="1:13" ht="14.25" customHeight="1" x14ac:dyDescent="0.3">
      <c r="A485" s="5"/>
      <c r="C485" s="16"/>
      <c r="J485" s="51"/>
      <c r="M485" s="16"/>
    </row>
    <row r="486" spans="1:13" ht="14.25" customHeight="1" x14ac:dyDescent="0.3">
      <c r="A486" s="5"/>
      <c r="C486" s="16"/>
      <c r="J486" s="51"/>
      <c r="M486" s="16"/>
    </row>
    <row r="487" spans="1:13" ht="14.25" customHeight="1" x14ac:dyDescent="0.3">
      <c r="A487" s="5"/>
      <c r="C487" s="16"/>
      <c r="J487" s="51"/>
      <c r="M487" s="16"/>
    </row>
    <row r="488" spans="1:13" ht="14.25" customHeight="1" x14ac:dyDescent="0.3">
      <c r="A488" s="5"/>
      <c r="C488" s="16"/>
      <c r="J488" s="51"/>
      <c r="M488" s="16"/>
    </row>
    <row r="489" spans="1:13" ht="14.25" customHeight="1" x14ac:dyDescent="0.3">
      <c r="A489" s="5"/>
      <c r="C489" s="16"/>
      <c r="J489" s="51"/>
      <c r="M489" s="16"/>
    </row>
    <row r="490" spans="1:13" ht="14.25" customHeight="1" x14ac:dyDescent="0.3">
      <c r="A490" s="5"/>
      <c r="C490" s="16"/>
      <c r="J490" s="51"/>
      <c r="M490" s="16"/>
    </row>
    <row r="491" spans="1:13" ht="14.25" customHeight="1" x14ac:dyDescent="0.3">
      <c r="A491" s="5"/>
      <c r="C491" s="16"/>
      <c r="J491" s="51"/>
      <c r="M491" s="16"/>
    </row>
    <row r="492" spans="1:13" ht="14.25" customHeight="1" x14ac:dyDescent="0.3">
      <c r="A492" s="5"/>
      <c r="C492" s="16"/>
      <c r="J492" s="51"/>
      <c r="M492" s="16"/>
    </row>
    <row r="493" spans="1:13" ht="14.25" customHeight="1" x14ac:dyDescent="0.3">
      <c r="A493" s="5"/>
      <c r="C493" s="16"/>
      <c r="J493" s="51"/>
      <c r="M493" s="16"/>
    </row>
    <row r="494" spans="1:13" ht="14.25" customHeight="1" x14ac:dyDescent="0.3">
      <c r="A494" s="5"/>
      <c r="C494" s="16"/>
      <c r="J494" s="51"/>
      <c r="M494" s="16"/>
    </row>
    <row r="495" spans="1:13" ht="14.25" customHeight="1" x14ac:dyDescent="0.3">
      <c r="A495" s="5"/>
      <c r="C495" s="16"/>
      <c r="J495" s="51"/>
      <c r="M495" s="16"/>
    </row>
    <row r="496" spans="1:13" ht="14.25" customHeight="1" x14ac:dyDescent="0.3">
      <c r="A496" s="5"/>
      <c r="C496" s="16"/>
      <c r="J496" s="51"/>
      <c r="M496" s="16"/>
    </row>
    <row r="497" spans="1:13" ht="14.25" customHeight="1" x14ac:dyDescent="0.3">
      <c r="A497" s="5"/>
      <c r="C497" s="16"/>
      <c r="J497" s="51"/>
      <c r="M497" s="16"/>
    </row>
    <row r="498" spans="1:13" ht="14.25" customHeight="1" x14ac:dyDescent="0.3">
      <c r="A498" s="5"/>
      <c r="C498" s="16"/>
      <c r="J498" s="51"/>
      <c r="M498" s="16"/>
    </row>
    <row r="499" spans="1:13" ht="14.25" customHeight="1" x14ac:dyDescent="0.3">
      <c r="A499" s="5"/>
      <c r="C499" s="16"/>
      <c r="J499" s="51"/>
      <c r="M499" s="16"/>
    </row>
    <row r="500" spans="1:13" ht="14.25" customHeight="1" x14ac:dyDescent="0.3">
      <c r="A500" s="5"/>
      <c r="C500" s="16"/>
      <c r="J500" s="51"/>
      <c r="M500" s="16"/>
    </row>
    <row r="501" spans="1:13" ht="14.25" customHeight="1" x14ac:dyDescent="0.3">
      <c r="A501" s="5"/>
      <c r="C501" s="16"/>
      <c r="J501" s="51"/>
      <c r="M501" s="16"/>
    </row>
    <row r="502" spans="1:13" ht="14.25" customHeight="1" x14ac:dyDescent="0.3">
      <c r="A502" s="5"/>
      <c r="C502" s="16"/>
      <c r="J502" s="51"/>
      <c r="M502" s="16"/>
    </row>
    <row r="503" spans="1:13" ht="14.25" customHeight="1" x14ac:dyDescent="0.3">
      <c r="A503" s="5"/>
      <c r="C503" s="16"/>
      <c r="J503" s="51"/>
      <c r="M503" s="16"/>
    </row>
    <row r="504" spans="1:13" ht="14.25" customHeight="1" x14ac:dyDescent="0.3">
      <c r="A504" s="5"/>
      <c r="C504" s="16"/>
      <c r="J504" s="51"/>
      <c r="M504" s="16"/>
    </row>
    <row r="505" spans="1:13" ht="14.25" customHeight="1" x14ac:dyDescent="0.3">
      <c r="A505" s="5"/>
      <c r="C505" s="16"/>
      <c r="J505" s="51"/>
      <c r="M505" s="16"/>
    </row>
    <row r="506" spans="1:13" ht="14.25" customHeight="1" x14ac:dyDescent="0.3">
      <c r="A506" s="5"/>
      <c r="C506" s="16"/>
      <c r="J506" s="51"/>
      <c r="M506" s="16"/>
    </row>
    <row r="507" spans="1:13" ht="14.25" customHeight="1" x14ac:dyDescent="0.3">
      <c r="A507" s="5"/>
      <c r="C507" s="16"/>
      <c r="J507" s="51"/>
      <c r="M507" s="16"/>
    </row>
    <row r="508" spans="1:13" ht="14.25" customHeight="1" x14ac:dyDescent="0.3">
      <c r="A508" s="5"/>
      <c r="C508" s="16"/>
      <c r="J508" s="51"/>
      <c r="M508" s="16"/>
    </row>
    <row r="509" spans="1:13" ht="14.25" customHeight="1" x14ac:dyDescent="0.3">
      <c r="A509" s="5"/>
      <c r="C509" s="16"/>
      <c r="J509" s="51"/>
      <c r="M509" s="16"/>
    </row>
    <row r="510" spans="1:13" ht="14.25" customHeight="1" x14ac:dyDescent="0.3">
      <c r="A510" s="5"/>
      <c r="C510" s="16"/>
      <c r="J510" s="51"/>
      <c r="M510" s="16"/>
    </row>
    <row r="511" spans="1:13" ht="14.25" customHeight="1" x14ac:dyDescent="0.3">
      <c r="A511" s="5"/>
      <c r="C511" s="16"/>
      <c r="J511" s="51"/>
      <c r="M511" s="16"/>
    </row>
    <row r="512" spans="1:13" ht="14.25" customHeight="1" x14ac:dyDescent="0.3">
      <c r="A512" s="5"/>
      <c r="C512" s="16"/>
      <c r="J512" s="51"/>
      <c r="M512" s="16"/>
    </row>
    <row r="513" spans="1:13" ht="14.25" customHeight="1" x14ac:dyDescent="0.3">
      <c r="A513" s="5"/>
      <c r="C513" s="16"/>
      <c r="J513" s="51"/>
      <c r="M513" s="16"/>
    </row>
    <row r="514" spans="1:13" ht="14.25" customHeight="1" x14ac:dyDescent="0.3">
      <c r="A514" s="5"/>
      <c r="C514" s="16"/>
      <c r="J514" s="51"/>
      <c r="M514" s="16"/>
    </row>
    <row r="515" spans="1:13" ht="14.25" customHeight="1" x14ac:dyDescent="0.3">
      <c r="A515" s="5"/>
      <c r="C515" s="16"/>
      <c r="J515" s="51"/>
      <c r="M515" s="16"/>
    </row>
    <row r="516" spans="1:13" ht="14.25" customHeight="1" x14ac:dyDescent="0.3">
      <c r="A516" s="5"/>
      <c r="C516" s="16"/>
      <c r="J516" s="51"/>
      <c r="M516" s="16"/>
    </row>
    <row r="517" spans="1:13" ht="14.25" customHeight="1" x14ac:dyDescent="0.3">
      <c r="A517" s="5"/>
      <c r="C517" s="16"/>
      <c r="J517" s="51"/>
      <c r="M517" s="16"/>
    </row>
    <row r="518" spans="1:13" ht="14.25" customHeight="1" x14ac:dyDescent="0.3">
      <c r="A518" s="5"/>
      <c r="C518" s="16"/>
      <c r="J518" s="51"/>
      <c r="M518" s="16"/>
    </row>
    <row r="519" spans="1:13" ht="14.25" customHeight="1" x14ac:dyDescent="0.3">
      <c r="A519" s="5"/>
      <c r="C519" s="16"/>
      <c r="J519" s="51"/>
      <c r="M519" s="16"/>
    </row>
    <row r="520" spans="1:13" ht="14.25" customHeight="1" x14ac:dyDescent="0.3">
      <c r="A520" s="5"/>
      <c r="C520" s="16"/>
      <c r="J520" s="51"/>
      <c r="M520" s="16"/>
    </row>
    <row r="521" spans="1:13" ht="14.25" customHeight="1" x14ac:dyDescent="0.3">
      <c r="A521" s="5"/>
      <c r="C521" s="16"/>
      <c r="J521" s="51"/>
      <c r="M521" s="16"/>
    </row>
    <row r="522" spans="1:13" ht="14.25" customHeight="1" x14ac:dyDescent="0.3">
      <c r="A522" s="5"/>
      <c r="C522" s="16"/>
      <c r="J522" s="51"/>
      <c r="M522" s="16"/>
    </row>
    <row r="523" spans="1:13" ht="14.25" customHeight="1" x14ac:dyDescent="0.3">
      <c r="A523" s="5"/>
      <c r="C523" s="16"/>
      <c r="J523" s="51"/>
      <c r="M523" s="16"/>
    </row>
    <row r="524" spans="1:13" ht="14.25" customHeight="1" x14ac:dyDescent="0.3">
      <c r="A524" s="5"/>
      <c r="C524" s="16"/>
      <c r="J524" s="51"/>
      <c r="M524" s="16"/>
    </row>
    <row r="525" spans="1:13" ht="14.25" customHeight="1" x14ac:dyDescent="0.3">
      <c r="A525" s="5"/>
      <c r="C525" s="16"/>
      <c r="J525" s="51"/>
      <c r="M525" s="16"/>
    </row>
    <row r="526" spans="1:13" ht="14.25" customHeight="1" x14ac:dyDescent="0.3">
      <c r="A526" s="5"/>
      <c r="C526" s="16"/>
      <c r="J526" s="51"/>
      <c r="M526" s="16"/>
    </row>
    <row r="527" spans="1:13" ht="14.25" customHeight="1" x14ac:dyDescent="0.3">
      <c r="A527" s="5"/>
      <c r="C527" s="16"/>
      <c r="J527" s="51"/>
      <c r="M527" s="16"/>
    </row>
    <row r="528" spans="1:13" ht="14.25" customHeight="1" x14ac:dyDescent="0.3">
      <c r="A528" s="5"/>
      <c r="C528" s="16"/>
      <c r="J528" s="51"/>
      <c r="M528" s="16"/>
    </row>
    <row r="529" spans="1:13" ht="14.25" customHeight="1" x14ac:dyDescent="0.3">
      <c r="A529" s="5"/>
      <c r="C529" s="16"/>
      <c r="J529" s="51"/>
      <c r="M529" s="16"/>
    </row>
    <row r="530" spans="1:13" ht="14.25" customHeight="1" x14ac:dyDescent="0.3">
      <c r="A530" s="5"/>
      <c r="C530" s="16"/>
      <c r="J530" s="51"/>
      <c r="M530" s="16"/>
    </row>
    <row r="531" spans="1:13" ht="14.25" customHeight="1" x14ac:dyDescent="0.3">
      <c r="A531" s="5"/>
      <c r="C531" s="16"/>
      <c r="J531" s="51"/>
      <c r="M531" s="16"/>
    </row>
    <row r="532" spans="1:13" ht="14.25" customHeight="1" x14ac:dyDescent="0.3">
      <c r="A532" s="5"/>
      <c r="C532" s="16"/>
      <c r="J532" s="51"/>
      <c r="M532" s="16"/>
    </row>
    <row r="533" spans="1:13" ht="14.25" customHeight="1" x14ac:dyDescent="0.3">
      <c r="A533" s="5"/>
      <c r="C533" s="16"/>
      <c r="J533" s="51"/>
      <c r="M533" s="16"/>
    </row>
    <row r="534" spans="1:13" ht="14.25" customHeight="1" x14ac:dyDescent="0.3">
      <c r="A534" s="5"/>
      <c r="C534" s="16"/>
      <c r="J534" s="51"/>
      <c r="M534" s="16"/>
    </row>
    <row r="535" spans="1:13" ht="14.25" customHeight="1" x14ac:dyDescent="0.3">
      <c r="A535" s="5"/>
      <c r="C535" s="16"/>
      <c r="J535" s="51"/>
      <c r="M535" s="16"/>
    </row>
    <row r="536" spans="1:13" ht="14.25" customHeight="1" x14ac:dyDescent="0.3">
      <c r="A536" s="5"/>
      <c r="C536" s="16"/>
      <c r="J536" s="51"/>
      <c r="M536" s="16"/>
    </row>
    <row r="537" spans="1:13" ht="14.25" customHeight="1" x14ac:dyDescent="0.3">
      <c r="A537" s="5"/>
      <c r="C537" s="16"/>
      <c r="J537" s="51"/>
      <c r="M537" s="16"/>
    </row>
    <row r="538" spans="1:13" ht="14.25" customHeight="1" x14ac:dyDescent="0.3">
      <c r="A538" s="5"/>
      <c r="C538" s="16"/>
      <c r="J538" s="51"/>
      <c r="M538" s="16"/>
    </row>
    <row r="539" spans="1:13" ht="14.25" customHeight="1" x14ac:dyDescent="0.3">
      <c r="A539" s="5"/>
      <c r="C539" s="16"/>
      <c r="J539" s="51"/>
      <c r="M539" s="16"/>
    </row>
    <row r="540" spans="1:13" ht="14.25" customHeight="1" x14ac:dyDescent="0.3">
      <c r="A540" s="5"/>
      <c r="C540" s="16"/>
      <c r="J540" s="51"/>
      <c r="M540" s="16"/>
    </row>
    <row r="541" spans="1:13" ht="14.25" customHeight="1" x14ac:dyDescent="0.3">
      <c r="A541" s="5"/>
      <c r="C541" s="16"/>
      <c r="J541" s="51"/>
      <c r="M541" s="16"/>
    </row>
    <row r="542" spans="1:13" ht="14.25" customHeight="1" x14ac:dyDescent="0.3">
      <c r="A542" s="5"/>
      <c r="C542" s="16"/>
      <c r="J542" s="51"/>
      <c r="M542" s="16"/>
    </row>
    <row r="543" spans="1:13" ht="14.25" customHeight="1" x14ac:dyDescent="0.3">
      <c r="A543" s="5"/>
      <c r="C543" s="16"/>
      <c r="J543" s="51"/>
      <c r="M543" s="16"/>
    </row>
    <row r="544" spans="1:13" ht="14.25" customHeight="1" x14ac:dyDescent="0.3">
      <c r="A544" s="5"/>
      <c r="C544" s="16"/>
      <c r="J544" s="51"/>
      <c r="M544" s="16"/>
    </row>
    <row r="545" spans="1:13" ht="14.25" customHeight="1" x14ac:dyDescent="0.3">
      <c r="A545" s="5"/>
      <c r="C545" s="16"/>
      <c r="J545" s="51"/>
      <c r="M545" s="16"/>
    </row>
    <row r="546" spans="1:13" ht="14.25" customHeight="1" x14ac:dyDescent="0.3">
      <c r="A546" s="5"/>
      <c r="C546" s="16"/>
      <c r="J546" s="51"/>
      <c r="M546" s="16"/>
    </row>
    <row r="547" spans="1:13" ht="14.25" customHeight="1" x14ac:dyDescent="0.3">
      <c r="A547" s="5"/>
      <c r="C547" s="16"/>
      <c r="J547" s="51"/>
      <c r="M547" s="16"/>
    </row>
    <row r="548" spans="1:13" ht="14.25" customHeight="1" x14ac:dyDescent="0.3">
      <c r="A548" s="5"/>
      <c r="C548" s="16"/>
      <c r="J548" s="51"/>
      <c r="M548" s="16"/>
    </row>
    <row r="549" spans="1:13" ht="14.25" customHeight="1" x14ac:dyDescent="0.3">
      <c r="A549" s="5"/>
      <c r="C549" s="16"/>
      <c r="J549" s="51"/>
      <c r="M549" s="16"/>
    </row>
    <row r="550" spans="1:13" ht="14.25" customHeight="1" x14ac:dyDescent="0.3">
      <c r="A550" s="5"/>
      <c r="C550" s="16"/>
      <c r="J550" s="51"/>
      <c r="M550" s="16"/>
    </row>
    <row r="551" spans="1:13" ht="14.25" customHeight="1" x14ac:dyDescent="0.3">
      <c r="A551" s="5"/>
      <c r="C551" s="16"/>
      <c r="J551" s="51"/>
      <c r="M551" s="16"/>
    </row>
    <row r="552" spans="1:13" ht="14.25" customHeight="1" x14ac:dyDescent="0.3">
      <c r="A552" s="5"/>
      <c r="C552" s="16"/>
      <c r="J552" s="51"/>
      <c r="M552" s="16"/>
    </row>
    <row r="553" spans="1:13" ht="14.25" customHeight="1" x14ac:dyDescent="0.3">
      <c r="A553" s="5"/>
      <c r="C553" s="16"/>
      <c r="J553" s="51"/>
      <c r="M553" s="16"/>
    </row>
    <row r="554" spans="1:13" ht="14.25" customHeight="1" x14ac:dyDescent="0.3">
      <c r="A554" s="5"/>
      <c r="C554" s="16"/>
      <c r="J554" s="51"/>
      <c r="M554" s="16"/>
    </row>
    <row r="555" spans="1:13" ht="14.25" customHeight="1" x14ac:dyDescent="0.3">
      <c r="A555" s="5"/>
      <c r="C555" s="16"/>
      <c r="J555" s="51"/>
      <c r="M555" s="16"/>
    </row>
    <row r="556" spans="1:13" ht="14.25" customHeight="1" x14ac:dyDescent="0.3">
      <c r="A556" s="5"/>
      <c r="C556" s="16"/>
      <c r="J556" s="51"/>
      <c r="M556" s="16"/>
    </row>
    <row r="557" spans="1:13" ht="14.25" customHeight="1" x14ac:dyDescent="0.3">
      <c r="A557" s="5"/>
      <c r="C557" s="16"/>
      <c r="J557" s="51"/>
      <c r="M557" s="16"/>
    </row>
    <row r="558" spans="1:13" ht="14.25" customHeight="1" x14ac:dyDescent="0.3">
      <c r="A558" s="5"/>
      <c r="C558" s="16"/>
      <c r="J558" s="51"/>
      <c r="M558" s="16"/>
    </row>
    <row r="559" spans="1:13" ht="14.25" customHeight="1" x14ac:dyDescent="0.3">
      <c r="A559" s="5"/>
      <c r="C559" s="16"/>
      <c r="J559" s="51"/>
      <c r="M559" s="16"/>
    </row>
    <row r="560" spans="1:13" ht="14.25" customHeight="1" x14ac:dyDescent="0.3">
      <c r="A560" s="5"/>
      <c r="C560" s="16"/>
      <c r="J560" s="51"/>
      <c r="M560" s="16"/>
    </row>
    <row r="561" spans="1:13" ht="14.25" customHeight="1" x14ac:dyDescent="0.3">
      <c r="A561" s="5"/>
      <c r="C561" s="16"/>
      <c r="J561" s="51"/>
      <c r="M561" s="16"/>
    </row>
    <row r="562" spans="1:13" ht="14.25" customHeight="1" x14ac:dyDescent="0.3">
      <c r="A562" s="5"/>
      <c r="C562" s="16"/>
      <c r="J562" s="51"/>
      <c r="M562" s="16"/>
    </row>
    <row r="563" spans="1:13" ht="14.25" customHeight="1" x14ac:dyDescent="0.3">
      <c r="A563" s="5"/>
      <c r="C563" s="16"/>
      <c r="J563" s="51"/>
      <c r="M563" s="16"/>
    </row>
    <row r="564" spans="1:13" ht="14.25" customHeight="1" x14ac:dyDescent="0.3">
      <c r="A564" s="5"/>
      <c r="C564" s="16"/>
      <c r="J564" s="51"/>
      <c r="M564" s="16"/>
    </row>
    <row r="565" spans="1:13" ht="14.25" customHeight="1" x14ac:dyDescent="0.3">
      <c r="A565" s="5"/>
      <c r="C565" s="16"/>
      <c r="J565" s="51"/>
      <c r="M565" s="16"/>
    </row>
    <row r="566" spans="1:13" ht="14.25" customHeight="1" x14ac:dyDescent="0.3">
      <c r="A566" s="5"/>
      <c r="C566" s="16"/>
      <c r="J566" s="51"/>
      <c r="M566" s="16"/>
    </row>
    <row r="567" spans="1:13" ht="14.25" customHeight="1" x14ac:dyDescent="0.3">
      <c r="A567" s="5"/>
      <c r="C567" s="16"/>
      <c r="J567" s="51"/>
      <c r="M567" s="16"/>
    </row>
    <row r="568" spans="1:13" ht="14.25" customHeight="1" x14ac:dyDescent="0.3">
      <c r="A568" s="5"/>
      <c r="C568" s="16"/>
      <c r="J568" s="51"/>
      <c r="M568" s="16"/>
    </row>
    <row r="569" spans="1:13" ht="14.25" customHeight="1" x14ac:dyDescent="0.3">
      <c r="A569" s="5"/>
      <c r="C569" s="16"/>
      <c r="J569" s="51"/>
      <c r="M569" s="16"/>
    </row>
    <row r="570" spans="1:13" ht="14.25" customHeight="1" x14ac:dyDescent="0.3">
      <c r="A570" s="5"/>
      <c r="C570" s="16"/>
      <c r="J570" s="51"/>
      <c r="M570" s="16"/>
    </row>
    <row r="571" spans="1:13" ht="14.25" customHeight="1" x14ac:dyDescent="0.3">
      <c r="A571" s="5"/>
      <c r="C571" s="16"/>
      <c r="J571" s="51"/>
      <c r="M571" s="16"/>
    </row>
    <row r="572" spans="1:13" ht="14.25" customHeight="1" x14ac:dyDescent="0.3">
      <c r="A572" s="5"/>
      <c r="C572" s="16"/>
      <c r="J572" s="51"/>
      <c r="M572" s="16"/>
    </row>
    <row r="573" spans="1:13" ht="14.25" customHeight="1" x14ac:dyDescent="0.3">
      <c r="A573" s="5"/>
      <c r="C573" s="16"/>
      <c r="J573" s="51"/>
      <c r="M573" s="16"/>
    </row>
    <row r="574" spans="1:13" ht="14.25" customHeight="1" x14ac:dyDescent="0.3">
      <c r="A574" s="5"/>
      <c r="C574" s="16"/>
      <c r="J574" s="51"/>
      <c r="M574" s="16"/>
    </row>
    <row r="575" spans="1:13" ht="14.25" customHeight="1" x14ac:dyDescent="0.3">
      <c r="A575" s="5"/>
      <c r="C575" s="16"/>
      <c r="J575" s="51"/>
      <c r="M575" s="16"/>
    </row>
    <row r="576" spans="1:13" ht="14.25" customHeight="1" x14ac:dyDescent="0.3">
      <c r="A576" s="5"/>
      <c r="C576" s="16"/>
      <c r="J576" s="51"/>
      <c r="M576" s="16"/>
    </row>
    <row r="577" spans="1:13" ht="14.25" customHeight="1" x14ac:dyDescent="0.3">
      <c r="A577" s="5"/>
      <c r="C577" s="16"/>
      <c r="J577" s="51"/>
      <c r="M577" s="16"/>
    </row>
    <row r="578" spans="1:13" ht="14.25" customHeight="1" x14ac:dyDescent="0.3">
      <c r="A578" s="5"/>
      <c r="C578" s="16"/>
      <c r="J578" s="51"/>
      <c r="M578" s="16"/>
    </row>
    <row r="579" spans="1:13" ht="14.25" customHeight="1" x14ac:dyDescent="0.3">
      <c r="A579" s="5"/>
      <c r="C579" s="16"/>
      <c r="J579" s="51"/>
      <c r="M579" s="16"/>
    </row>
    <row r="580" spans="1:13" ht="14.25" customHeight="1" x14ac:dyDescent="0.3">
      <c r="A580" s="5"/>
      <c r="C580" s="16"/>
      <c r="J580" s="51"/>
      <c r="M580" s="16"/>
    </row>
    <row r="581" spans="1:13" ht="14.25" customHeight="1" x14ac:dyDescent="0.3">
      <c r="A581" s="5"/>
      <c r="C581" s="16"/>
      <c r="J581" s="51"/>
      <c r="M581" s="16"/>
    </row>
    <row r="582" spans="1:13" ht="14.25" customHeight="1" x14ac:dyDescent="0.3">
      <c r="A582" s="5"/>
      <c r="C582" s="16"/>
      <c r="J582" s="51"/>
      <c r="M582" s="16"/>
    </row>
    <row r="583" spans="1:13" ht="14.25" customHeight="1" x14ac:dyDescent="0.3">
      <c r="A583" s="5"/>
      <c r="C583" s="16"/>
      <c r="J583" s="51"/>
      <c r="M583" s="16"/>
    </row>
    <row r="584" spans="1:13" ht="14.25" customHeight="1" x14ac:dyDescent="0.3">
      <c r="A584" s="5"/>
      <c r="C584" s="16"/>
      <c r="J584" s="51"/>
      <c r="M584" s="16"/>
    </row>
    <row r="585" spans="1:13" ht="14.25" customHeight="1" x14ac:dyDescent="0.3">
      <c r="A585" s="5"/>
      <c r="C585" s="16"/>
      <c r="J585" s="51"/>
      <c r="M585" s="16"/>
    </row>
    <row r="586" spans="1:13" ht="14.25" customHeight="1" x14ac:dyDescent="0.3">
      <c r="A586" s="5"/>
      <c r="C586" s="16"/>
      <c r="J586" s="51"/>
      <c r="M586" s="16"/>
    </row>
    <row r="587" spans="1:13" ht="14.25" customHeight="1" x14ac:dyDescent="0.3">
      <c r="A587" s="5"/>
      <c r="C587" s="16"/>
      <c r="J587" s="51"/>
      <c r="M587" s="16"/>
    </row>
    <row r="588" spans="1:13" ht="14.25" customHeight="1" x14ac:dyDescent="0.3">
      <c r="A588" s="5"/>
      <c r="C588" s="16"/>
      <c r="J588" s="51"/>
      <c r="M588" s="16"/>
    </row>
    <row r="589" spans="1:13" ht="14.25" customHeight="1" x14ac:dyDescent="0.3">
      <c r="A589" s="5"/>
      <c r="C589" s="16"/>
      <c r="J589" s="51"/>
      <c r="M589" s="16"/>
    </row>
    <row r="590" spans="1:13" ht="14.25" customHeight="1" x14ac:dyDescent="0.3">
      <c r="A590" s="5"/>
      <c r="C590" s="16"/>
      <c r="J590" s="51"/>
      <c r="M590" s="16"/>
    </row>
    <row r="591" spans="1:13" ht="14.25" customHeight="1" x14ac:dyDescent="0.3">
      <c r="A591" s="5"/>
      <c r="C591" s="16"/>
      <c r="J591" s="51"/>
      <c r="M591" s="16"/>
    </row>
    <row r="592" spans="1:13" ht="14.25" customHeight="1" x14ac:dyDescent="0.3">
      <c r="A592" s="5"/>
      <c r="C592" s="16"/>
      <c r="J592" s="51"/>
      <c r="M592" s="16"/>
    </row>
    <row r="593" spans="1:13" ht="14.25" customHeight="1" x14ac:dyDescent="0.3">
      <c r="A593" s="5"/>
      <c r="C593" s="16"/>
      <c r="J593" s="51"/>
      <c r="M593" s="16"/>
    </row>
    <row r="594" spans="1:13" ht="14.25" customHeight="1" x14ac:dyDescent="0.3">
      <c r="A594" s="5"/>
      <c r="C594" s="16"/>
      <c r="J594" s="51"/>
      <c r="M594" s="16"/>
    </row>
    <row r="595" spans="1:13" ht="14.25" customHeight="1" x14ac:dyDescent="0.3">
      <c r="A595" s="5"/>
      <c r="C595" s="16"/>
      <c r="J595" s="51"/>
      <c r="M595" s="16"/>
    </row>
    <row r="596" spans="1:13" ht="14.25" customHeight="1" x14ac:dyDescent="0.3">
      <c r="A596" s="5"/>
      <c r="C596" s="16"/>
      <c r="J596" s="51"/>
      <c r="M596" s="16"/>
    </row>
    <row r="597" spans="1:13" ht="14.25" customHeight="1" x14ac:dyDescent="0.3">
      <c r="A597" s="5"/>
      <c r="C597" s="16"/>
      <c r="J597" s="51"/>
      <c r="M597" s="16"/>
    </row>
    <row r="598" spans="1:13" ht="14.25" customHeight="1" x14ac:dyDescent="0.3">
      <c r="A598" s="5"/>
      <c r="C598" s="16"/>
      <c r="J598" s="51"/>
      <c r="M598" s="16"/>
    </row>
    <row r="599" spans="1:13" ht="14.25" customHeight="1" x14ac:dyDescent="0.3">
      <c r="A599" s="5"/>
      <c r="C599" s="16"/>
      <c r="J599" s="51"/>
      <c r="M599" s="16"/>
    </row>
    <row r="600" spans="1:13" ht="14.25" customHeight="1" x14ac:dyDescent="0.3">
      <c r="A600" s="5"/>
      <c r="C600" s="16"/>
      <c r="J600" s="51"/>
      <c r="M600" s="16"/>
    </row>
    <row r="601" spans="1:13" ht="14.25" customHeight="1" x14ac:dyDescent="0.3">
      <c r="A601" s="5"/>
      <c r="C601" s="16"/>
      <c r="J601" s="51"/>
      <c r="M601" s="16"/>
    </row>
    <row r="602" spans="1:13" ht="14.25" customHeight="1" x14ac:dyDescent="0.3">
      <c r="A602" s="5"/>
      <c r="C602" s="16"/>
      <c r="J602" s="51"/>
      <c r="M602" s="16"/>
    </row>
    <row r="603" spans="1:13" ht="14.25" customHeight="1" x14ac:dyDescent="0.3">
      <c r="A603" s="5"/>
      <c r="C603" s="16"/>
      <c r="J603" s="51"/>
      <c r="M603" s="16"/>
    </row>
    <row r="604" spans="1:13" ht="14.25" customHeight="1" x14ac:dyDescent="0.3">
      <c r="A604" s="5"/>
      <c r="C604" s="16"/>
      <c r="J604" s="51"/>
      <c r="M604" s="16"/>
    </row>
    <row r="605" spans="1:13" ht="14.25" customHeight="1" x14ac:dyDescent="0.3">
      <c r="A605" s="5"/>
      <c r="C605" s="16"/>
      <c r="J605" s="51"/>
      <c r="M605" s="16"/>
    </row>
    <row r="606" spans="1:13" ht="14.25" customHeight="1" x14ac:dyDescent="0.3">
      <c r="A606" s="5"/>
      <c r="C606" s="16"/>
      <c r="J606" s="51"/>
      <c r="M606" s="16"/>
    </row>
    <row r="607" spans="1:13" ht="14.25" customHeight="1" x14ac:dyDescent="0.3">
      <c r="A607" s="5"/>
      <c r="C607" s="16"/>
      <c r="J607" s="51"/>
      <c r="M607" s="16"/>
    </row>
    <row r="608" spans="1:13" ht="14.25" customHeight="1" x14ac:dyDescent="0.3">
      <c r="A608" s="5"/>
      <c r="C608" s="16"/>
      <c r="J608" s="51"/>
      <c r="M608" s="16"/>
    </row>
    <row r="609" spans="1:13" ht="14.25" customHeight="1" x14ac:dyDescent="0.3">
      <c r="A609" s="5"/>
      <c r="C609" s="16"/>
      <c r="J609" s="51"/>
      <c r="M609" s="16"/>
    </row>
    <row r="610" spans="1:13" ht="14.25" customHeight="1" x14ac:dyDescent="0.3">
      <c r="A610" s="5"/>
      <c r="C610" s="16"/>
      <c r="J610" s="51"/>
      <c r="M610" s="16"/>
    </row>
    <row r="611" spans="1:13" ht="14.25" customHeight="1" x14ac:dyDescent="0.3">
      <c r="A611" s="5"/>
      <c r="C611" s="16"/>
      <c r="J611" s="51"/>
      <c r="M611" s="16"/>
    </row>
    <row r="612" spans="1:13" ht="14.25" customHeight="1" x14ac:dyDescent="0.3">
      <c r="A612" s="5"/>
      <c r="C612" s="16"/>
      <c r="J612" s="51"/>
      <c r="M612" s="16"/>
    </row>
    <row r="613" spans="1:13" ht="14.25" customHeight="1" x14ac:dyDescent="0.3">
      <c r="A613" s="5"/>
      <c r="C613" s="16"/>
      <c r="J613" s="51"/>
      <c r="M613" s="16"/>
    </row>
    <row r="614" spans="1:13" ht="14.25" customHeight="1" x14ac:dyDescent="0.3">
      <c r="A614" s="5"/>
      <c r="C614" s="16"/>
      <c r="J614" s="51"/>
      <c r="M614" s="16"/>
    </row>
    <row r="615" spans="1:13" ht="14.25" customHeight="1" x14ac:dyDescent="0.3">
      <c r="A615" s="5"/>
      <c r="C615" s="16"/>
      <c r="J615" s="51"/>
      <c r="M615" s="16"/>
    </row>
    <row r="616" spans="1:13" ht="14.25" customHeight="1" x14ac:dyDescent="0.3">
      <c r="A616" s="5"/>
      <c r="C616" s="16"/>
      <c r="J616" s="51"/>
      <c r="M616" s="16"/>
    </row>
    <row r="617" spans="1:13" ht="14.25" customHeight="1" x14ac:dyDescent="0.3">
      <c r="A617" s="5"/>
      <c r="C617" s="16"/>
      <c r="J617" s="51"/>
      <c r="M617" s="16"/>
    </row>
    <row r="618" spans="1:13" ht="14.25" customHeight="1" x14ac:dyDescent="0.3">
      <c r="A618" s="5"/>
      <c r="C618" s="16"/>
      <c r="J618" s="51"/>
      <c r="M618" s="16"/>
    </row>
    <row r="619" spans="1:13" ht="14.25" customHeight="1" x14ac:dyDescent="0.3">
      <c r="A619" s="5"/>
      <c r="C619" s="16"/>
      <c r="J619" s="51"/>
      <c r="M619" s="16"/>
    </row>
    <row r="620" spans="1:13" ht="14.25" customHeight="1" x14ac:dyDescent="0.3">
      <c r="A620" s="5"/>
      <c r="C620" s="16"/>
      <c r="J620" s="51"/>
      <c r="M620" s="16"/>
    </row>
    <row r="621" spans="1:13" ht="14.25" customHeight="1" x14ac:dyDescent="0.3">
      <c r="A621" s="5"/>
      <c r="C621" s="16"/>
      <c r="J621" s="51"/>
      <c r="M621" s="16"/>
    </row>
    <row r="622" spans="1:13" ht="14.25" customHeight="1" x14ac:dyDescent="0.3">
      <c r="A622" s="5"/>
      <c r="C622" s="16"/>
      <c r="J622" s="51"/>
      <c r="M622" s="16"/>
    </row>
    <row r="623" spans="1:13" ht="14.25" customHeight="1" x14ac:dyDescent="0.3">
      <c r="A623" s="5"/>
      <c r="C623" s="16"/>
      <c r="J623" s="51"/>
      <c r="M623" s="16"/>
    </row>
    <row r="624" spans="1:13" ht="14.25" customHeight="1" x14ac:dyDescent="0.3">
      <c r="A624" s="5"/>
      <c r="C624" s="16"/>
      <c r="J624" s="51"/>
      <c r="M624" s="16"/>
    </row>
    <row r="625" spans="1:13" ht="14.25" customHeight="1" x14ac:dyDescent="0.3">
      <c r="A625" s="5"/>
      <c r="C625" s="16"/>
      <c r="J625" s="51"/>
      <c r="M625" s="16"/>
    </row>
    <row r="626" spans="1:13" ht="14.25" customHeight="1" x14ac:dyDescent="0.3">
      <c r="A626" s="5"/>
      <c r="C626" s="16"/>
      <c r="J626" s="51"/>
      <c r="M626" s="16"/>
    </row>
    <row r="627" spans="1:13" ht="14.25" customHeight="1" x14ac:dyDescent="0.3">
      <c r="A627" s="5"/>
      <c r="C627" s="16"/>
      <c r="J627" s="51"/>
      <c r="M627" s="16"/>
    </row>
    <row r="628" spans="1:13" ht="14.25" customHeight="1" x14ac:dyDescent="0.3">
      <c r="A628" s="5"/>
      <c r="C628" s="16"/>
      <c r="J628" s="51"/>
      <c r="M628" s="16"/>
    </row>
    <row r="629" spans="1:13" ht="14.25" customHeight="1" x14ac:dyDescent="0.3">
      <c r="A629" s="5"/>
      <c r="C629" s="16"/>
      <c r="J629" s="51"/>
      <c r="M629" s="16"/>
    </row>
    <row r="630" spans="1:13" ht="14.25" customHeight="1" x14ac:dyDescent="0.3">
      <c r="A630" s="5"/>
      <c r="C630" s="16"/>
      <c r="J630" s="51"/>
      <c r="M630" s="16"/>
    </row>
    <row r="631" spans="1:13" ht="14.25" customHeight="1" x14ac:dyDescent="0.3">
      <c r="A631" s="5"/>
      <c r="C631" s="16"/>
      <c r="J631" s="51"/>
      <c r="M631" s="16"/>
    </row>
    <row r="632" spans="1:13" ht="14.25" customHeight="1" x14ac:dyDescent="0.3">
      <c r="A632" s="5"/>
      <c r="C632" s="16"/>
      <c r="J632" s="51"/>
      <c r="M632" s="16"/>
    </row>
    <row r="633" spans="1:13" ht="14.25" customHeight="1" x14ac:dyDescent="0.3">
      <c r="A633" s="5"/>
      <c r="C633" s="16"/>
      <c r="J633" s="51"/>
      <c r="M633" s="16"/>
    </row>
    <row r="634" spans="1:13" ht="14.25" customHeight="1" x14ac:dyDescent="0.3">
      <c r="A634" s="5"/>
      <c r="C634" s="16"/>
      <c r="J634" s="51"/>
      <c r="M634" s="16"/>
    </row>
    <row r="635" spans="1:13" ht="14.25" customHeight="1" x14ac:dyDescent="0.3">
      <c r="A635" s="5"/>
      <c r="C635" s="16"/>
      <c r="J635" s="51"/>
      <c r="M635" s="16"/>
    </row>
    <row r="636" spans="1:13" ht="14.25" customHeight="1" x14ac:dyDescent="0.3">
      <c r="A636" s="5"/>
      <c r="C636" s="16"/>
      <c r="J636" s="51"/>
      <c r="M636" s="16"/>
    </row>
    <row r="637" spans="1:13" ht="14.25" customHeight="1" x14ac:dyDescent="0.3">
      <c r="A637" s="5"/>
      <c r="C637" s="16"/>
      <c r="J637" s="51"/>
      <c r="M637" s="16"/>
    </row>
    <row r="638" spans="1:13" ht="14.25" customHeight="1" x14ac:dyDescent="0.3">
      <c r="A638" s="5"/>
      <c r="C638" s="16"/>
      <c r="J638" s="51"/>
      <c r="M638" s="16"/>
    </row>
    <row r="639" spans="1:13" ht="14.25" customHeight="1" x14ac:dyDescent="0.3">
      <c r="A639" s="5"/>
      <c r="C639" s="16"/>
      <c r="J639" s="51"/>
      <c r="M639" s="16"/>
    </row>
    <row r="640" spans="1:13" ht="14.25" customHeight="1" x14ac:dyDescent="0.3">
      <c r="A640" s="5"/>
      <c r="C640" s="16"/>
      <c r="J640" s="51"/>
      <c r="M640" s="16"/>
    </row>
    <row r="641" spans="1:13" ht="14.25" customHeight="1" x14ac:dyDescent="0.3">
      <c r="A641" s="5"/>
      <c r="C641" s="16"/>
      <c r="J641" s="51"/>
      <c r="M641" s="16"/>
    </row>
    <row r="642" spans="1:13" ht="14.25" customHeight="1" x14ac:dyDescent="0.3">
      <c r="A642" s="5"/>
      <c r="C642" s="16"/>
      <c r="J642" s="51"/>
      <c r="M642" s="16"/>
    </row>
    <row r="643" spans="1:13" ht="14.25" customHeight="1" x14ac:dyDescent="0.3">
      <c r="A643" s="5"/>
      <c r="C643" s="16"/>
      <c r="J643" s="51"/>
      <c r="M643" s="16"/>
    </row>
    <row r="644" spans="1:13" ht="14.25" customHeight="1" x14ac:dyDescent="0.3">
      <c r="A644" s="5"/>
      <c r="C644" s="16"/>
      <c r="J644" s="51"/>
      <c r="M644" s="16"/>
    </row>
    <row r="645" spans="1:13" ht="14.25" customHeight="1" x14ac:dyDescent="0.3">
      <c r="A645" s="5"/>
      <c r="C645" s="16"/>
      <c r="J645" s="51"/>
      <c r="M645" s="16"/>
    </row>
    <row r="646" spans="1:13" ht="14.25" customHeight="1" x14ac:dyDescent="0.3">
      <c r="A646" s="5"/>
      <c r="C646" s="16"/>
      <c r="J646" s="51"/>
      <c r="M646" s="16"/>
    </row>
    <row r="647" spans="1:13" ht="14.25" customHeight="1" x14ac:dyDescent="0.3">
      <c r="A647" s="5"/>
      <c r="C647" s="16"/>
      <c r="J647" s="51"/>
      <c r="M647" s="16"/>
    </row>
    <row r="648" spans="1:13" ht="14.25" customHeight="1" x14ac:dyDescent="0.3">
      <c r="A648" s="5"/>
      <c r="C648" s="16"/>
      <c r="J648" s="51"/>
      <c r="M648" s="16"/>
    </row>
    <row r="649" spans="1:13" ht="14.25" customHeight="1" x14ac:dyDescent="0.3">
      <c r="A649" s="5"/>
      <c r="C649" s="16"/>
      <c r="J649" s="51"/>
      <c r="M649" s="16"/>
    </row>
    <row r="650" spans="1:13" ht="14.25" customHeight="1" x14ac:dyDescent="0.3">
      <c r="A650" s="5"/>
      <c r="C650" s="16"/>
      <c r="J650" s="51"/>
      <c r="M650" s="16"/>
    </row>
    <row r="651" spans="1:13" ht="14.25" customHeight="1" x14ac:dyDescent="0.3">
      <c r="A651" s="5"/>
      <c r="C651" s="16"/>
      <c r="J651" s="51"/>
      <c r="M651" s="16"/>
    </row>
    <row r="652" spans="1:13" ht="14.25" customHeight="1" x14ac:dyDescent="0.3">
      <c r="A652" s="5"/>
      <c r="C652" s="16"/>
      <c r="J652" s="51"/>
      <c r="M652" s="16"/>
    </row>
    <row r="653" spans="1:13" ht="14.25" customHeight="1" x14ac:dyDescent="0.3">
      <c r="A653" s="5"/>
      <c r="C653" s="16"/>
      <c r="J653" s="51"/>
      <c r="M653" s="16"/>
    </row>
    <row r="654" spans="1:13" ht="14.25" customHeight="1" x14ac:dyDescent="0.3">
      <c r="A654" s="5"/>
      <c r="C654" s="16"/>
      <c r="J654" s="51"/>
      <c r="M654" s="16"/>
    </row>
    <row r="655" spans="1:13" ht="14.25" customHeight="1" x14ac:dyDescent="0.3">
      <c r="A655" s="5"/>
      <c r="C655" s="16"/>
      <c r="J655" s="51"/>
      <c r="M655" s="16"/>
    </row>
    <row r="656" spans="1:13" ht="14.25" customHeight="1" x14ac:dyDescent="0.3">
      <c r="A656" s="5"/>
      <c r="C656" s="16"/>
      <c r="J656" s="51"/>
      <c r="M656" s="16"/>
    </row>
    <row r="657" spans="1:13" ht="14.25" customHeight="1" x14ac:dyDescent="0.3">
      <c r="A657" s="5"/>
      <c r="C657" s="16"/>
      <c r="J657" s="51"/>
      <c r="M657" s="16"/>
    </row>
    <row r="658" spans="1:13" ht="14.25" customHeight="1" x14ac:dyDescent="0.3">
      <c r="A658" s="5"/>
      <c r="C658" s="16"/>
      <c r="J658" s="51"/>
      <c r="M658" s="16"/>
    </row>
    <row r="659" spans="1:13" ht="14.25" customHeight="1" x14ac:dyDescent="0.3">
      <c r="A659" s="5"/>
      <c r="C659" s="16"/>
      <c r="J659" s="51"/>
      <c r="M659" s="16"/>
    </row>
    <row r="660" spans="1:13" ht="14.25" customHeight="1" x14ac:dyDescent="0.3">
      <c r="A660" s="5"/>
      <c r="C660" s="16"/>
      <c r="J660" s="51"/>
      <c r="M660" s="16"/>
    </row>
    <row r="661" spans="1:13" ht="14.25" customHeight="1" x14ac:dyDescent="0.3">
      <c r="A661" s="5"/>
      <c r="C661" s="16"/>
      <c r="J661" s="51"/>
      <c r="M661" s="16"/>
    </row>
    <row r="662" spans="1:13" ht="14.25" customHeight="1" x14ac:dyDescent="0.3">
      <c r="A662" s="5"/>
      <c r="C662" s="16"/>
      <c r="J662" s="51"/>
      <c r="M662" s="16"/>
    </row>
    <row r="663" spans="1:13" ht="14.25" customHeight="1" x14ac:dyDescent="0.3">
      <c r="A663" s="5"/>
      <c r="C663" s="16"/>
      <c r="J663" s="51"/>
      <c r="M663" s="16"/>
    </row>
    <row r="664" spans="1:13" ht="14.25" customHeight="1" x14ac:dyDescent="0.3">
      <c r="A664" s="5"/>
      <c r="C664" s="16"/>
      <c r="J664" s="51"/>
      <c r="M664" s="16"/>
    </row>
    <row r="665" spans="1:13" ht="14.25" customHeight="1" x14ac:dyDescent="0.3">
      <c r="A665" s="5"/>
      <c r="C665" s="16"/>
      <c r="J665" s="51"/>
      <c r="M665" s="16"/>
    </row>
    <row r="666" spans="1:13" ht="14.25" customHeight="1" x14ac:dyDescent="0.3">
      <c r="A666" s="5"/>
      <c r="C666" s="16"/>
      <c r="J666" s="51"/>
      <c r="M666" s="16"/>
    </row>
    <row r="667" spans="1:13" ht="14.25" customHeight="1" x14ac:dyDescent="0.3">
      <c r="A667" s="5"/>
      <c r="C667" s="16"/>
      <c r="J667" s="51"/>
      <c r="M667" s="16"/>
    </row>
    <row r="668" spans="1:13" ht="14.25" customHeight="1" x14ac:dyDescent="0.3">
      <c r="A668" s="5"/>
      <c r="C668" s="16"/>
      <c r="J668" s="51"/>
      <c r="M668" s="16"/>
    </row>
    <row r="669" spans="1:13" ht="14.25" customHeight="1" x14ac:dyDescent="0.3">
      <c r="A669" s="5"/>
      <c r="C669" s="16"/>
      <c r="J669" s="51"/>
      <c r="M669" s="16"/>
    </row>
    <row r="670" spans="1:13" ht="14.25" customHeight="1" x14ac:dyDescent="0.3">
      <c r="A670" s="5"/>
      <c r="C670" s="16"/>
      <c r="J670" s="51"/>
      <c r="M670" s="16"/>
    </row>
    <row r="671" spans="1:13" ht="14.25" customHeight="1" x14ac:dyDescent="0.3">
      <c r="A671" s="5"/>
      <c r="C671" s="16"/>
      <c r="J671" s="51"/>
      <c r="M671" s="16"/>
    </row>
    <row r="672" spans="1:13" ht="14.25" customHeight="1" x14ac:dyDescent="0.3">
      <c r="A672" s="5"/>
      <c r="C672" s="16"/>
      <c r="J672" s="51"/>
      <c r="M672" s="16"/>
    </row>
    <row r="673" spans="1:13" ht="14.25" customHeight="1" x14ac:dyDescent="0.3">
      <c r="A673" s="5"/>
      <c r="C673" s="16"/>
      <c r="J673" s="51"/>
      <c r="M673" s="16"/>
    </row>
    <row r="674" spans="1:13" ht="14.25" customHeight="1" x14ac:dyDescent="0.3">
      <c r="A674" s="5"/>
      <c r="C674" s="16"/>
      <c r="J674" s="51"/>
      <c r="M674" s="16"/>
    </row>
    <row r="675" spans="1:13" ht="14.25" customHeight="1" x14ac:dyDescent="0.3">
      <c r="A675" s="5"/>
      <c r="C675" s="16"/>
      <c r="J675" s="51"/>
      <c r="M675" s="16"/>
    </row>
    <row r="676" spans="1:13" ht="14.25" customHeight="1" x14ac:dyDescent="0.3">
      <c r="A676" s="5"/>
      <c r="C676" s="16"/>
      <c r="J676" s="51"/>
      <c r="M676" s="16"/>
    </row>
    <row r="677" spans="1:13" ht="14.25" customHeight="1" x14ac:dyDescent="0.3">
      <c r="A677" s="5"/>
      <c r="C677" s="16"/>
      <c r="J677" s="51"/>
      <c r="M677" s="16"/>
    </row>
    <row r="678" spans="1:13" ht="14.25" customHeight="1" x14ac:dyDescent="0.3">
      <c r="A678" s="5"/>
      <c r="C678" s="16"/>
      <c r="J678" s="51"/>
      <c r="M678" s="16"/>
    </row>
    <row r="679" spans="1:13" ht="14.25" customHeight="1" x14ac:dyDescent="0.3">
      <c r="A679" s="5"/>
      <c r="C679" s="16"/>
      <c r="J679" s="51"/>
      <c r="M679" s="16"/>
    </row>
    <row r="680" spans="1:13" ht="14.25" customHeight="1" x14ac:dyDescent="0.3">
      <c r="A680" s="5"/>
      <c r="C680" s="16"/>
      <c r="J680" s="51"/>
      <c r="M680" s="16"/>
    </row>
    <row r="681" spans="1:13" ht="14.25" customHeight="1" x14ac:dyDescent="0.3">
      <c r="A681" s="5"/>
      <c r="C681" s="16"/>
      <c r="J681" s="51"/>
      <c r="M681" s="16"/>
    </row>
    <row r="682" spans="1:13" ht="14.25" customHeight="1" x14ac:dyDescent="0.3">
      <c r="A682" s="5"/>
      <c r="C682" s="16"/>
      <c r="J682" s="51"/>
      <c r="M682" s="16"/>
    </row>
    <row r="683" spans="1:13" ht="14.25" customHeight="1" x14ac:dyDescent="0.3">
      <c r="A683" s="5"/>
      <c r="C683" s="16"/>
      <c r="J683" s="51"/>
      <c r="M683" s="16"/>
    </row>
    <row r="684" spans="1:13" ht="14.25" customHeight="1" x14ac:dyDescent="0.3">
      <c r="A684" s="5"/>
      <c r="C684" s="16"/>
      <c r="J684" s="51"/>
      <c r="M684" s="16"/>
    </row>
    <row r="685" spans="1:13" ht="14.25" customHeight="1" x14ac:dyDescent="0.3">
      <c r="A685" s="5"/>
      <c r="C685" s="16"/>
      <c r="J685" s="51"/>
      <c r="M685" s="16"/>
    </row>
    <row r="686" spans="1:13" ht="14.25" customHeight="1" x14ac:dyDescent="0.3">
      <c r="A686" s="5"/>
      <c r="C686" s="16"/>
      <c r="J686" s="51"/>
      <c r="M686" s="16"/>
    </row>
    <row r="687" spans="1:13" ht="14.25" customHeight="1" x14ac:dyDescent="0.3">
      <c r="A687" s="5"/>
      <c r="C687" s="16"/>
      <c r="J687" s="51"/>
      <c r="M687" s="16"/>
    </row>
    <row r="688" spans="1:13" ht="14.25" customHeight="1" x14ac:dyDescent="0.3">
      <c r="A688" s="5"/>
      <c r="C688" s="16"/>
      <c r="J688" s="51"/>
      <c r="M688" s="16"/>
    </row>
    <row r="689" spans="1:13" ht="14.25" customHeight="1" x14ac:dyDescent="0.3">
      <c r="A689" s="5"/>
      <c r="C689" s="16"/>
      <c r="J689" s="51"/>
      <c r="M689" s="16"/>
    </row>
    <row r="690" spans="1:13" ht="14.25" customHeight="1" x14ac:dyDescent="0.3">
      <c r="A690" s="5"/>
      <c r="C690" s="16"/>
      <c r="J690" s="51"/>
      <c r="M690" s="16"/>
    </row>
    <row r="691" spans="1:13" ht="14.25" customHeight="1" x14ac:dyDescent="0.3">
      <c r="A691" s="5"/>
      <c r="C691" s="16"/>
      <c r="J691" s="51"/>
      <c r="M691" s="16"/>
    </row>
    <row r="692" spans="1:13" ht="14.25" customHeight="1" x14ac:dyDescent="0.3">
      <c r="A692" s="5"/>
      <c r="C692" s="16"/>
      <c r="J692" s="51"/>
      <c r="M692" s="16"/>
    </row>
    <row r="693" spans="1:13" ht="14.25" customHeight="1" x14ac:dyDescent="0.3">
      <c r="A693" s="5"/>
      <c r="C693" s="16"/>
      <c r="J693" s="51"/>
      <c r="M693" s="16"/>
    </row>
    <row r="694" spans="1:13" ht="14.25" customHeight="1" x14ac:dyDescent="0.3">
      <c r="A694" s="5"/>
      <c r="C694" s="16"/>
      <c r="J694" s="51"/>
      <c r="M694" s="16"/>
    </row>
    <row r="695" spans="1:13" ht="14.25" customHeight="1" x14ac:dyDescent="0.3">
      <c r="A695" s="5"/>
      <c r="C695" s="16"/>
      <c r="J695" s="51"/>
      <c r="M695" s="16"/>
    </row>
    <row r="696" spans="1:13" ht="14.25" customHeight="1" x14ac:dyDescent="0.3">
      <c r="A696" s="5"/>
      <c r="C696" s="16"/>
      <c r="J696" s="51"/>
      <c r="M696" s="16"/>
    </row>
    <row r="697" spans="1:13" ht="14.25" customHeight="1" x14ac:dyDescent="0.3">
      <c r="A697" s="5"/>
      <c r="C697" s="16"/>
      <c r="J697" s="51"/>
      <c r="M697" s="16"/>
    </row>
    <row r="698" spans="1:13" ht="14.25" customHeight="1" x14ac:dyDescent="0.3">
      <c r="A698" s="5"/>
      <c r="C698" s="16"/>
      <c r="J698" s="51"/>
      <c r="M698" s="16"/>
    </row>
    <row r="699" spans="1:13" ht="14.25" customHeight="1" x14ac:dyDescent="0.3">
      <c r="A699" s="5"/>
      <c r="C699" s="16"/>
      <c r="J699" s="51"/>
      <c r="M699" s="16"/>
    </row>
    <row r="700" spans="1:13" ht="14.25" customHeight="1" x14ac:dyDescent="0.3">
      <c r="A700" s="5"/>
      <c r="C700" s="16"/>
      <c r="J700" s="51"/>
      <c r="M700" s="16"/>
    </row>
    <row r="701" spans="1:13" ht="14.25" customHeight="1" x14ac:dyDescent="0.3">
      <c r="A701" s="5"/>
      <c r="C701" s="16"/>
      <c r="J701" s="51"/>
      <c r="M701" s="16"/>
    </row>
    <row r="702" spans="1:13" ht="14.25" customHeight="1" x14ac:dyDescent="0.3">
      <c r="A702" s="5"/>
      <c r="C702" s="16"/>
      <c r="J702" s="51"/>
      <c r="M702" s="16"/>
    </row>
    <row r="703" spans="1:13" ht="14.25" customHeight="1" x14ac:dyDescent="0.3">
      <c r="A703" s="5"/>
      <c r="C703" s="16"/>
      <c r="J703" s="51"/>
      <c r="M703" s="16"/>
    </row>
    <row r="704" spans="1:13" ht="14.25" customHeight="1" x14ac:dyDescent="0.3">
      <c r="A704" s="5"/>
      <c r="C704" s="16"/>
      <c r="J704" s="51"/>
      <c r="M704" s="16"/>
    </row>
    <row r="705" spans="1:13" ht="14.25" customHeight="1" x14ac:dyDescent="0.3">
      <c r="A705" s="5"/>
      <c r="C705" s="16"/>
      <c r="J705" s="51"/>
      <c r="M705" s="16"/>
    </row>
    <row r="706" spans="1:13" ht="14.25" customHeight="1" x14ac:dyDescent="0.3">
      <c r="A706" s="5"/>
      <c r="C706" s="16"/>
      <c r="J706" s="51"/>
      <c r="M706" s="16"/>
    </row>
    <row r="707" spans="1:13" ht="14.25" customHeight="1" x14ac:dyDescent="0.3">
      <c r="A707" s="5"/>
      <c r="C707" s="16"/>
      <c r="J707" s="51"/>
      <c r="M707" s="16"/>
    </row>
    <row r="708" spans="1:13" ht="14.25" customHeight="1" x14ac:dyDescent="0.3">
      <c r="A708" s="5"/>
      <c r="C708" s="16"/>
      <c r="J708" s="51"/>
      <c r="M708" s="16"/>
    </row>
    <row r="709" spans="1:13" ht="14.25" customHeight="1" x14ac:dyDescent="0.3">
      <c r="A709" s="5"/>
      <c r="C709" s="16"/>
      <c r="J709" s="51"/>
      <c r="M709" s="16"/>
    </row>
    <row r="710" spans="1:13" ht="14.25" customHeight="1" x14ac:dyDescent="0.3">
      <c r="A710" s="5"/>
      <c r="C710" s="16"/>
      <c r="J710" s="51"/>
      <c r="M710" s="16"/>
    </row>
    <row r="711" spans="1:13" ht="14.25" customHeight="1" x14ac:dyDescent="0.3">
      <c r="A711" s="5"/>
      <c r="C711" s="16"/>
      <c r="J711" s="51"/>
      <c r="M711" s="16"/>
    </row>
    <row r="712" spans="1:13" ht="14.25" customHeight="1" x14ac:dyDescent="0.3">
      <c r="A712" s="5"/>
      <c r="C712" s="16"/>
      <c r="J712" s="51"/>
      <c r="M712" s="16"/>
    </row>
    <row r="713" spans="1:13" ht="14.25" customHeight="1" x14ac:dyDescent="0.3">
      <c r="A713" s="5"/>
      <c r="C713" s="16"/>
      <c r="J713" s="51"/>
      <c r="M713" s="16"/>
    </row>
    <row r="714" spans="1:13" ht="14.25" customHeight="1" x14ac:dyDescent="0.3">
      <c r="A714" s="5"/>
      <c r="C714" s="16"/>
      <c r="J714" s="51"/>
      <c r="M714" s="16"/>
    </row>
    <row r="715" spans="1:13" ht="14.25" customHeight="1" x14ac:dyDescent="0.3">
      <c r="A715" s="5"/>
      <c r="C715" s="16"/>
      <c r="J715" s="51"/>
      <c r="M715" s="16"/>
    </row>
    <row r="716" spans="1:13" ht="14.25" customHeight="1" x14ac:dyDescent="0.3">
      <c r="A716" s="5"/>
      <c r="C716" s="16"/>
      <c r="J716" s="51"/>
      <c r="M716" s="16"/>
    </row>
    <row r="717" spans="1:13" ht="14.25" customHeight="1" x14ac:dyDescent="0.3">
      <c r="A717" s="5"/>
      <c r="C717" s="16"/>
      <c r="J717" s="51"/>
      <c r="M717" s="16"/>
    </row>
    <row r="718" spans="1:13" ht="14.25" customHeight="1" x14ac:dyDescent="0.3">
      <c r="A718" s="5"/>
      <c r="C718" s="16"/>
      <c r="J718" s="51"/>
      <c r="M718" s="16"/>
    </row>
    <row r="719" spans="1:13" ht="14.25" customHeight="1" x14ac:dyDescent="0.3">
      <c r="A719" s="5"/>
      <c r="C719" s="16"/>
      <c r="J719" s="51"/>
      <c r="M719" s="16"/>
    </row>
    <row r="720" spans="1:13" ht="14.25" customHeight="1" x14ac:dyDescent="0.3">
      <c r="A720" s="5"/>
      <c r="C720" s="16"/>
      <c r="J720" s="51"/>
      <c r="M720" s="16"/>
    </row>
    <row r="721" spans="1:13" ht="14.25" customHeight="1" x14ac:dyDescent="0.3">
      <c r="A721" s="5"/>
      <c r="C721" s="16"/>
      <c r="J721" s="51"/>
      <c r="M721" s="16"/>
    </row>
    <row r="722" spans="1:13" ht="14.25" customHeight="1" x14ac:dyDescent="0.3">
      <c r="A722" s="5"/>
      <c r="C722" s="16"/>
      <c r="J722" s="51"/>
      <c r="M722" s="16"/>
    </row>
    <row r="723" spans="1:13" ht="14.25" customHeight="1" x14ac:dyDescent="0.3">
      <c r="A723" s="5"/>
      <c r="C723" s="16"/>
      <c r="J723" s="51"/>
      <c r="M723" s="16"/>
    </row>
    <row r="724" spans="1:13" ht="14.25" customHeight="1" x14ac:dyDescent="0.3">
      <c r="A724" s="5"/>
      <c r="C724" s="16"/>
      <c r="J724" s="51"/>
      <c r="M724" s="16"/>
    </row>
    <row r="725" spans="1:13" ht="14.25" customHeight="1" x14ac:dyDescent="0.3">
      <c r="A725" s="5"/>
      <c r="C725" s="16"/>
      <c r="J725" s="51"/>
      <c r="M725" s="16"/>
    </row>
    <row r="726" spans="1:13" ht="14.25" customHeight="1" x14ac:dyDescent="0.3">
      <c r="A726" s="5"/>
      <c r="C726" s="16"/>
      <c r="J726" s="51"/>
      <c r="M726" s="16"/>
    </row>
    <row r="727" spans="1:13" ht="14.25" customHeight="1" x14ac:dyDescent="0.3">
      <c r="A727" s="5"/>
      <c r="C727" s="16"/>
      <c r="J727" s="51"/>
      <c r="M727" s="16"/>
    </row>
    <row r="728" spans="1:13" ht="14.25" customHeight="1" x14ac:dyDescent="0.3">
      <c r="A728" s="5"/>
      <c r="C728" s="16"/>
      <c r="J728" s="51"/>
      <c r="M728" s="16"/>
    </row>
    <row r="729" spans="1:13" ht="14.25" customHeight="1" x14ac:dyDescent="0.3">
      <c r="A729" s="5"/>
      <c r="C729" s="16"/>
      <c r="J729" s="51"/>
      <c r="M729" s="16"/>
    </row>
    <row r="730" spans="1:13" ht="14.25" customHeight="1" x14ac:dyDescent="0.3">
      <c r="A730" s="5"/>
      <c r="C730" s="16"/>
      <c r="J730" s="51"/>
      <c r="M730" s="16"/>
    </row>
    <row r="731" spans="1:13" ht="14.25" customHeight="1" x14ac:dyDescent="0.3">
      <c r="A731" s="5"/>
      <c r="C731" s="16"/>
      <c r="J731" s="51"/>
      <c r="M731" s="16"/>
    </row>
    <row r="732" spans="1:13" ht="14.25" customHeight="1" x14ac:dyDescent="0.3">
      <c r="A732" s="5"/>
      <c r="C732" s="16"/>
      <c r="J732" s="51"/>
      <c r="M732" s="16"/>
    </row>
    <row r="733" spans="1:13" ht="14.25" customHeight="1" x14ac:dyDescent="0.3">
      <c r="A733" s="5"/>
      <c r="C733" s="16"/>
      <c r="J733" s="51"/>
      <c r="M733" s="16"/>
    </row>
    <row r="734" spans="1:13" ht="14.25" customHeight="1" x14ac:dyDescent="0.3">
      <c r="A734" s="5"/>
      <c r="C734" s="16"/>
      <c r="J734" s="51"/>
      <c r="M734" s="16"/>
    </row>
    <row r="735" spans="1:13" ht="14.25" customHeight="1" x14ac:dyDescent="0.3">
      <c r="A735" s="5"/>
      <c r="C735" s="16"/>
      <c r="J735" s="51"/>
      <c r="M735" s="16"/>
    </row>
    <row r="736" spans="1:13" ht="14.25" customHeight="1" x14ac:dyDescent="0.3">
      <c r="A736" s="5"/>
      <c r="C736" s="16"/>
      <c r="J736" s="51"/>
      <c r="M736" s="16"/>
    </row>
    <row r="737" spans="1:13" ht="14.25" customHeight="1" x14ac:dyDescent="0.3">
      <c r="A737" s="5"/>
      <c r="C737" s="16"/>
      <c r="J737" s="51"/>
      <c r="M737" s="16"/>
    </row>
    <row r="738" spans="1:13" ht="14.25" customHeight="1" x14ac:dyDescent="0.3">
      <c r="A738" s="5"/>
      <c r="C738" s="16"/>
      <c r="J738" s="51"/>
      <c r="M738" s="16"/>
    </row>
    <row r="739" spans="1:13" ht="14.25" customHeight="1" x14ac:dyDescent="0.3">
      <c r="A739" s="5"/>
      <c r="C739" s="16"/>
      <c r="J739" s="51"/>
      <c r="M739" s="16"/>
    </row>
    <row r="740" spans="1:13" ht="14.25" customHeight="1" x14ac:dyDescent="0.3">
      <c r="A740" s="5"/>
      <c r="C740" s="16"/>
      <c r="J740" s="51"/>
      <c r="M740" s="16"/>
    </row>
    <row r="741" spans="1:13" ht="14.25" customHeight="1" x14ac:dyDescent="0.3">
      <c r="A741" s="5"/>
      <c r="C741" s="16"/>
      <c r="J741" s="51"/>
      <c r="M741" s="16"/>
    </row>
    <row r="742" spans="1:13" ht="14.25" customHeight="1" x14ac:dyDescent="0.3">
      <c r="A742" s="5"/>
      <c r="C742" s="16"/>
      <c r="J742" s="51"/>
      <c r="M742" s="16"/>
    </row>
    <row r="743" spans="1:13" ht="14.25" customHeight="1" x14ac:dyDescent="0.3">
      <c r="A743" s="5"/>
      <c r="C743" s="16"/>
      <c r="J743" s="51"/>
      <c r="M743" s="16"/>
    </row>
    <row r="744" spans="1:13" ht="14.25" customHeight="1" x14ac:dyDescent="0.3">
      <c r="A744" s="5"/>
      <c r="C744" s="16"/>
      <c r="J744" s="51"/>
      <c r="M744" s="16"/>
    </row>
    <row r="745" spans="1:13" ht="14.25" customHeight="1" x14ac:dyDescent="0.3">
      <c r="A745" s="5"/>
      <c r="C745" s="16"/>
      <c r="J745" s="51"/>
      <c r="M745" s="16"/>
    </row>
    <row r="746" spans="1:13" ht="14.25" customHeight="1" x14ac:dyDescent="0.3">
      <c r="A746" s="5"/>
      <c r="C746" s="16"/>
      <c r="J746" s="51"/>
      <c r="M746" s="16"/>
    </row>
    <row r="747" spans="1:13" ht="14.25" customHeight="1" x14ac:dyDescent="0.3">
      <c r="A747" s="5"/>
      <c r="C747" s="16"/>
      <c r="J747" s="51"/>
      <c r="M747" s="16"/>
    </row>
    <row r="748" spans="1:13" ht="14.25" customHeight="1" x14ac:dyDescent="0.3">
      <c r="A748" s="5"/>
      <c r="C748" s="16"/>
      <c r="J748" s="51"/>
      <c r="M748" s="16"/>
    </row>
    <row r="749" spans="1:13" ht="14.25" customHeight="1" x14ac:dyDescent="0.3">
      <c r="A749" s="5"/>
      <c r="C749" s="16"/>
      <c r="J749" s="51"/>
      <c r="M749" s="16"/>
    </row>
    <row r="750" spans="1:13" ht="14.25" customHeight="1" x14ac:dyDescent="0.3">
      <c r="A750" s="5"/>
      <c r="C750" s="16"/>
      <c r="J750" s="51"/>
      <c r="M750" s="16"/>
    </row>
    <row r="751" spans="1:13" ht="14.25" customHeight="1" x14ac:dyDescent="0.3">
      <c r="A751" s="5"/>
      <c r="C751" s="16"/>
      <c r="J751" s="51"/>
      <c r="M751" s="16"/>
    </row>
    <row r="752" spans="1:13" ht="14.25" customHeight="1" x14ac:dyDescent="0.3">
      <c r="A752" s="5"/>
      <c r="C752" s="16"/>
      <c r="J752" s="51"/>
      <c r="M752" s="16"/>
    </row>
    <row r="753" spans="1:13" ht="14.25" customHeight="1" x14ac:dyDescent="0.3">
      <c r="A753" s="5"/>
      <c r="C753" s="16"/>
      <c r="J753" s="51"/>
      <c r="M753" s="16"/>
    </row>
    <row r="754" spans="1:13" ht="14.25" customHeight="1" x14ac:dyDescent="0.3">
      <c r="A754" s="5"/>
      <c r="C754" s="16"/>
      <c r="J754" s="51"/>
      <c r="M754" s="16"/>
    </row>
    <row r="755" spans="1:13" ht="14.25" customHeight="1" x14ac:dyDescent="0.3">
      <c r="A755" s="5"/>
      <c r="C755" s="16"/>
      <c r="J755" s="51"/>
      <c r="M755" s="16"/>
    </row>
    <row r="756" spans="1:13" ht="14.25" customHeight="1" x14ac:dyDescent="0.3">
      <c r="A756" s="5"/>
      <c r="C756" s="16"/>
      <c r="J756" s="51"/>
      <c r="M756" s="16"/>
    </row>
    <row r="757" spans="1:13" ht="14.25" customHeight="1" x14ac:dyDescent="0.3">
      <c r="A757" s="5"/>
      <c r="C757" s="16"/>
      <c r="J757" s="51"/>
      <c r="M757" s="16"/>
    </row>
    <row r="758" spans="1:13" ht="14.25" customHeight="1" x14ac:dyDescent="0.3">
      <c r="A758" s="5"/>
      <c r="C758" s="16"/>
      <c r="J758" s="51"/>
      <c r="M758" s="16"/>
    </row>
    <row r="759" spans="1:13" ht="14.25" customHeight="1" x14ac:dyDescent="0.3">
      <c r="A759" s="5"/>
      <c r="C759" s="16"/>
      <c r="J759" s="51"/>
      <c r="M759" s="16"/>
    </row>
    <row r="760" spans="1:13" ht="14.25" customHeight="1" x14ac:dyDescent="0.3">
      <c r="A760" s="5"/>
      <c r="C760" s="16"/>
      <c r="J760" s="51"/>
      <c r="M760" s="16"/>
    </row>
    <row r="761" spans="1:13" ht="14.25" customHeight="1" x14ac:dyDescent="0.3">
      <c r="A761" s="5"/>
      <c r="C761" s="16"/>
      <c r="J761" s="51"/>
      <c r="M761" s="16"/>
    </row>
    <row r="762" spans="1:13" ht="14.25" customHeight="1" x14ac:dyDescent="0.3">
      <c r="A762" s="5"/>
      <c r="C762" s="16"/>
      <c r="J762" s="51"/>
      <c r="M762" s="16"/>
    </row>
    <row r="763" spans="1:13" ht="14.25" customHeight="1" x14ac:dyDescent="0.3">
      <c r="A763" s="5"/>
      <c r="C763" s="16"/>
      <c r="J763" s="51"/>
      <c r="M763" s="16"/>
    </row>
    <row r="764" spans="1:13" ht="14.25" customHeight="1" x14ac:dyDescent="0.3">
      <c r="A764" s="5"/>
      <c r="C764" s="16"/>
      <c r="J764" s="51"/>
      <c r="M764" s="16"/>
    </row>
    <row r="765" spans="1:13" ht="14.25" customHeight="1" x14ac:dyDescent="0.3">
      <c r="A765" s="5"/>
      <c r="C765" s="16"/>
      <c r="J765" s="51"/>
      <c r="M765" s="16"/>
    </row>
    <row r="766" spans="1:13" ht="14.25" customHeight="1" x14ac:dyDescent="0.3">
      <c r="A766" s="5"/>
      <c r="C766" s="16"/>
      <c r="J766" s="51"/>
      <c r="M766" s="16"/>
    </row>
    <row r="767" spans="1:13" ht="14.25" customHeight="1" x14ac:dyDescent="0.3">
      <c r="A767" s="5"/>
      <c r="C767" s="16"/>
      <c r="J767" s="51"/>
      <c r="M767" s="16"/>
    </row>
    <row r="768" spans="1:13" ht="14.25" customHeight="1" x14ac:dyDescent="0.3">
      <c r="A768" s="5"/>
      <c r="C768" s="16"/>
      <c r="J768" s="51"/>
      <c r="M768" s="16"/>
    </row>
    <row r="769" spans="1:13" ht="14.25" customHeight="1" x14ac:dyDescent="0.3">
      <c r="A769" s="5"/>
      <c r="C769" s="16"/>
      <c r="J769" s="51"/>
      <c r="M769" s="16"/>
    </row>
    <row r="770" spans="1:13" ht="14.25" customHeight="1" x14ac:dyDescent="0.3">
      <c r="A770" s="5"/>
      <c r="C770" s="16"/>
      <c r="J770" s="51"/>
      <c r="M770" s="16"/>
    </row>
    <row r="771" spans="1:13" ht="14.25" customHeight="1" x14ac:dyDescent="0.3">
      <c r="A771" s="5"/>
      <c r="C771" s="16"/>
      <c r="J771" s="51"/>
      <c r="M771" s="16"/>
    </row>
    <row r="772" spans="1:13" ht="14.25" customHeight="1" x14ac:dyDescent="0.3">
      <c r="A772" s="5"/>
      <c r="C772" s="16"/>
      <c r="J772" s="51"/>
      <c r="M772" s="16"/>
    </row>
    <row r="773" spans="1:13" ht="14.25" customHeight="1" x14ac:dyDescent="0.3">
      <c r="A773" s="5"/>
      <c r="C773" s="16"/>
      <c r="J773" s="51"/>
      <c r="M773" s="16"/>
    </row>
    <row r="774" spans="1:13" ht="14.25" customHeight="1" x14ac:dyDescent="0.3">
      <c r="A774" s="5"/>
      <c r="C774" s="16"/>
      <c r="J774" s="51"/>
      <c r="M774" s="16"/>
    </row>
    <row r="775" spans="1:13" ht="14.25" customHeight="1" x14ac:dyDescent="0.3">
      <c r="A775" s="5"/>
      <c r="C775" s="16"/>
      <c r="J775" s="51"/>
      <c r="M775" s="16"/>
    </row>
    <row r="776" spans="1:13" ht="14.25" customHeight="1" x14ac:dyDescent="0.3">
      <c r="A776" s="5"/>
      <c r="C776" s="16"/>
      <c r="J776" s="51"/>
      <c r="M776" s="16"/>
    </row>
    <row r="777" spans="1:13" ht="14.25" customHeight="1" x14ac:dyDescent="0.3">
      <c r="A777" s="5"/>
      <c r="C777" s="16"/>
      <c r="J777" s="51"/>
      <c r="M777" s="16"/>
    </row>
    <row r="778" spans="1:13" ht="14.25" customHeight="1" x14ac:dyDescent="0.3">
      <c r="A778" s="5"/>
      <c r="C778" s="16"/>
      <c r="J778" s="51"/>
      <c r="M778" s="16"/>
    </row>
    <row r="779" spans="1:13" ht="14.25" customHeight="1" x14ac:dyDescent="0.3">
      <c r="A779" s="5"/>
      <c r="C779" s="16"/>
      <c r="J779" s="51"/>
      <c r="M779" s="16"/>
    </row>
    <row r="780" spans="1:13" ht="14.25" customHeight="1" x14ac:dyDescent="0.3">
      <c r="A780" s="5"/>
      <c r="C780" s="16"/>
      <c r="J780" s="51"/>
      <c r="M780" s="16"/>
    </row>
    <row r="781" spans="1:13" ht="14.25" customHeight="1" x14ac:dyDescent="0.3">
      <c r="A781" s="5"/>
      <c r="C781" s="16"/>
      <c r="J781" s="51"/>
      <c r="M781" s="16"/>
    </row>
    <row r="782" spans="1:13" ht="14.25" customHeight="1" x14ac:dyDescent="0.3">
      <c r="A782" s="5"/>
      <c r="C782" s="16"/>
      <c r="J782" s="51"/>
      <c r="M782" s="16"/>
    </row>
    <row r="783" spans="1:13" ht="14.25" customHeight="1" x14ac:dyDescent="0.3">
      <c r="A783" s="5"/>
      <c r="C783" s="16"/>
      <c r="J783" s="51"/>
      <c r="M783" s="16"/>
    </row>
    <row r="784" spans="1:13" ht="14.25" customHeight="1" x14ac:dyDescent="0.3">
      <c r="A784" s="5"/>
      <c r="C784" s="16"/>
      <c r="J784" s="51"/>
      <c r="M784" s="16"/>
    </row>
    <row r="785" spans="1:13" ht="14.25" customHeight="1" x14ac:dyDescent="0.3">
      <c r="A785" s="5"/>
      <c r="C785" s="16"/>
      <c r="J785" s="51"/>
      <c r="M785" s="16"/>
    </row>
    <row r="786" spans="1:13" ht="14.25" customHeight="1" x14ac:dyDescent="0.3">
      <c r="A786" s="5"/>
      <c r="C786" s="16"/>
      <c r="J786" s="51"/>
      <c r="M786" s="16"/>
    </row>
    <row r="787" spans="1:13" ht="14.25" customHeight="1" x14ac:dyDescent="0.3">
      <c r="A787" s="5"/>
      <c r="C787" s="16"/>
      <c r="J787" s="51"/>
      <c r="M787" s="16"/>
    </row>
    <row r="788" spans="1:13" ht="14.25" customHeight="1" x14ac:dyDescent="0.3">
      <c r="A788" s="5"/>
      <c r="C788" s="16"/>
      <c r="J788" s="51"/>
      <c r="M788" s="16"/>
    </row>
    <row r="789" spans="1:13" ht="14.25" customHeight="1" x14ac:dyDescent="0.3">
      <c r="A789" s="5"/>
      <c r="C789" s="16"/>
      <c r="J789" s="51"/>
      <c r="M789" s="16"/>
    </row>
    <row r="790" spans="1:13" ht="14.25" customHeight="1" x14ac:dyDescent="0.3">
      <c r="A790" s="5"/>
      <c r="C790" s="16"/>
      <c r="J790" s="51"/>
      <c r="M790" s="16"/>
    </row>
    <row r="791" spans="1:13" ht="14.25" customHeight="1" x14ac:dyDescent="0.3">
      <c r="A791" s="5"/>
      <c r="C791" s="16"/>
      <c r="J791" s="51"/>
      <c r="M791" s="16"/>
    </row>
    <row r="792" spans="1:13" ht="14.25" customHeight="1" x14ac:dyDescent="0.3">
      <c r="A792" s="5"/>
      <c r="C792" s="16"/>
      <c r="J792" s="51"/>
      <c r="M792" s="16"/>
    </row>
    <row r="793" spans="1:13" ht="14.25" customHeight="1" x14ac:dyDescent="0.3">
      <c r="A793" s="5"/>
      <c r="C793" s="16"/>
      <c r="J793" s="51"/>
      <c r="M793" s="16"/>
    </row>
    <row r="794" spans="1:13" ht="14.25" customHeight="1" x14ac:dyDescent="0.3">
      <c r="A794" s="5"/>
      <c r="C794" s="16"/>
      <c r="J794" s="51"/>
      <c r="M794" s="16"/>
    </row>
    <row r="795" spans="1:13" ht="14.25" customHeight="1" x14ac:dyDescent="0.3">
      <c r="A795" s="5"/>
      <c r="C795" s="16"/>
      <c r="J795" s="51"/>
      <c r="M795" s="16"/>
    </row>
    <row r="796" spans="1:13" ht="14.25" customHeight="1" x14ac:dyDescent="0.3">
      <c r="A796" s="5"/>
      <c r="C796" s="16"/>
      <c r="J796" s="51"/>
      <c r="M796" s="16"/>
    </row>
    <row r="797" spans="1:13" ht="14.25" customHeight="1" x14ac:dyDescent="0.3">
      <c r="A797" s="5"/>
      <c r="C797" s="16"/>
      <c r="J797" s="51"/>
      <c r="M797" s="16"/>
    </row>
    <row r="798" spans="1:13" ht="14.25" customHeight="1" x14ac:dyDescent="0.3">
      <c r="A798" s="5"/>
      <c r="C798" s="16"/>
      <c r="J798" s="51"/>
      <c r="M798" s="16"/>
    </row>
    <row r="799" spans="1:13" ht="14.25" customHeight="1" x14ac:dyDescent="0.3">
      <c r="A799" s="5"/>
      <c r="C799" s="16"/>
      <c r="J799" s="51"/>
      <c r="M799" s="16"/>
    </row>
    <row r="800" spans="1:13" ht="14.25" customHeight="1" x14ac:dyDescent="0.3">
      <c r="A800" s="5"/>
      <c r="C800" s="16"/>
      <c r="J800" s="51"/>
      <c r="M800" s="16"/>
    </row>
    <row r="801" spans="1:13" ht="14.25" customHeight="1" x14ac:dyDescent="0.3">
      <c r="A801" s="5"/>
      <c r="C801" s="16"/>
      <c r="J801" s="51"/>
      <c r="M801" s="16"/>
    </row>
    <row r="802" spans="1:13" ht="14.25" customHeight="1" x14ac:dyDescent="0.3">
      <c r="A802" s="5"/>
      <c r="C802" s="16"/>
      <c r="J802" s="51"/>
      <c r="M802" s="16"/>
    </row>
    <row r="803" spans="1:13" ht="14.25" customHeight="1" x14ac:dyDescent="0.3">
      <c r="A803" s="5"/>
      <c r="C803" s="16"/>
      <c r="J803" s="51"/>
      <c r="M803" s="16"/>
    </row>
    <row r="804" spans="1:13" ht="14.25" customHeight="1" x14ac:dyDescent="0.3">
      <c r="A804" s="5"/>
      <c r="C804" s="16"/>
      <c r="J804" s="51"/>
      <c r="M804" s="16"/>
    </row>
    <row r="805" spans="1:13" ht="14.25" customHeight="1" x14ac:dyDescent="0.3">
      <c r="A805" s="5"/>
      <c r="C805" s="16"/>
      <c r="J805" s="51"/>
      <c r="M805" s="16"/>
    </row>
    <row r="806" spans="1:13" ht="14.25" customHeight="1" x14ac:dyDescent="0.3">
      <c r="A806" s="5"/>
      <c r="C806" s="16"/>
      <c r="J806" s="51"/>
      <c r="M806" s="16"/>
    </row>
    <row r="807" spans="1:13" ht="14.25" customHeight="1" x14ac:dyDescent="0.3">
      <c r="A807" s="5"/>
      <c r="C807" s="16"/>
      <c r="J807" s="51"/>
      <c r="M807" s="16"/>
    </row>
    <row r="808" spans="1:13" ht="14.25" customHeight="1" x14ac:dyDescent="0.3">
      <c r="A808" s="5"/>
      <c r="C808" s="16"/>
      <c r="J808" s="51"/>
      <c r="M808" s="16"/>
    </row>
    <row r="809" spans="1:13" ht="14.25" customHeight="1" x14ac:dyDescent="0.3">
      <c r="A809" s="5"/>
      <c r="C809" s="16"/>
      <c r="J809" s="51"/>
      <c r="M809" s="16"/>
    </row>
    <row r="810" spans="1:13" ht="14.25" customHeight="1" x14ac:dyDescent="0.3">
      <c r="A810" s="5"/>
      <c r="C810" s="16"/>
      <c r="J810" s="51"/>
      <c r="M810" s="16"/>
    </row>
    <row r="811" spans="1:13" ht="14.25" customHeight="1" x14ac:dyDescent="0.3">
      <c r="A811" s="5"/>
      <c r="C811" s="16"/>
      <c r="J811" s="51"/>
      <c r="M811" s="16"/>
    </row>
    <row r="812" spans="1:13" ht="14.25" customHeight="1" x14ac:dyDescent="0.3">
      <c r="A812" s="5"/>
      <c r="C812" s="16"/>
      <c r="J812" s="51"/>
      <c r="M812" s="16"/>
    </row>
    <row r="813" spans="1:13" ht="14.25" customHeight="1" x14ac:dyDescent="0.3">
      <c r="A813" s="5"/>
      <c r="C813" s="16"/>
      <c r="J813" s="51"/>
      <c r="M813" s="16"/>
    </row>
    <row r="814" spans="1:13" ht="14.25" customHeight="1" x14ac:dyDescent="0.3">
      <c r="A814" s="5"/>
      <c r="C814" s="16"/>
      <c r="J814" s="51"/>
      <c r="M814" s="16"/>
    </row>
    <row r="815" spans="1:13" ht="14.25" customHeight="1" x14ac:dyDescent="0.3">
      <c r="A815" s="5"/>
      <c r="C815" s="16"/>
      <c r="J815" s="51"/>
      <c r="M815" s="16"/>
    </row>
    <row r="816" spans="1:13" ht="14.25" customHeight="1" x14ac:dyDescent="0.3">
      <c r="A816" s="5"/>
      <c r="C816" s="16"/>
      <c r="J816" s="51"/>
      <c r="M816" s="16"/>
    </row>
    <row r="817" spans="1:13" ht="14.25" customHeight="1" x14ac:dyDescent="0.3">
      <c r="A817" s="5"/>
      <c r="C817" s="16"/>
      <c r="J817" s="51"/>
      <c r="M817" s="16"/>
    </row>
    <row r="818" spans="1:13" ht="14.25" customHeight="1" x14ac:dyDescent="0.3">
      <c r="A818" s="5"/>
      <c r="C818" s="16"/>
      <c r="J818" s="51"/>
      <c r="M818" s="16"/>
    </row>
    <row r="819" spans="1:13" ht="14.25" customHeight="1" x14ac:dyDescent="0.3">
      <c r="A819" s="5"/>
      <c r="C819" s="16"/>
      <c r="J819" s="51"/>
      <c r="M819" s="16"/>
    </row>
    <row r="820" spans="1:13" ht="14.25" customHeight="1" x14ac:dyDescent="0.3">
      <c r="A820" s="5"/>
      <c r="C820" s="16"/>
      <c r="J820" s="51"/>
      <c r="M820" s="16"/>
    </row>
    <row r="821" spans="1:13" ht="14.25" customHeight="1" x14ac:dyDescent="0.3">
      <c r="A821" s="5"/>
      <c r="C821" s="16"/>
      <c r="J821" s="51"/>
      <c r="M821" s="16"/>
    </row>
    <row r="822" spans="1:13" ht="14.25" customHeight="1" x14ac:dyDescent="0.3">
      <c r="A822" s="5"/>
      <c r="C822" s="16"/>
      <c r="J822" s="51"/>
      <c r="M822" s="16"/>
    </row>
    <row r="823" spans="1:13" ht="14.25" customHeight="1" x14ac:dyDescent="0.3">
      <c r="A823" s="5"/>
      <c r="C823" s="16"/>
      <c r="J823" s="51"/>
      <c r="M823" s="16"/>
    </row>
    <row r="824" spans="1:13" ht="14.25" customHeight="1" x14ac:dyDescent="0.3">
      <c r="A824" s="5"/>
      <c r="C824" s="16"/>
      <c r="J824" s="51"/>
      <c r="M824" s="16"/>
    </row>
    <row r="825" spans="1:13" ht="14.25" customHeight="1" x14ac:dyDescent="0.3">
      <c r="A825" s="5"/>
      <c r="C825" s="16"/>
      <c r="J825" s="51"/>
      <c r="M825" s="16"/>
    </row>
    <row r="826" spans="1:13" ht="14.25" customHeight="1" x14ac:dyDescent="0.3">
      <c r="A826" s="5"/>
      <c r="C826" s="16"/>
      <c r="J826" s="51"/>
      <c r="M826" s="16"/>
    </row>
    <row r="827" spans="1:13" ht="14.25" customHeight="1" x14ac:dyDescent="0.3">
      <c r="A827" s="5"/>
      <c r="C827" s="16"/>
      <c r="J827" s="51"/>
      <c r="M827" s="16"/>
    </row>
    <row r="828" spans="1:13" ht="14.25" customHeight="1" x14ac:dyDescent="0.3">
      <c r="A828" s="5"/>
      <c r="C828" s="16"/>
      <c r="J828" s="51"/>
      <c r="M828" s="16"/>
    </row>
    <row r="829" spans="1:13" ht="14.25" customHeight="1" x14ac:dyDescent="0.3">
      <c r="A829" s="5"/>
      <c r="C829" s="16"/>
      <c r="J829" s="51"/>
      <c r="M829" s="16"/>
    </row>
    <row r="830" spans="1:13" ht="14.25" customHeight="1" x14ac:dyDescent="0.3">
      <c r="A830" s="5"/>
      <c r="C830" s="16"/>
      <c r="J830" s="51"/>
      <c r="M830" s="16"/>
    </row>
    <row r="831" spans="1:13" ht="14.25" customHeight="1" x14ac:dyDescent="0.3">
      <c r="A831" s="5"/>
      <c r="C831" s="16"/>
      <c r="J831" s="51"/>
      <c r="M831" s="16"/>
    </row>
    <row r="832" spans="1:13" ht="14.25" customHeight="1" x14ac:dyDescent="0.3">
      <c r="A832" s="5"/>
      <c r="C832" s="16"/>
      <c r="J832" s="51"/>
      <c r="M832" s="16"/>
    </row>
    <row r="833" spans="1:13" ht="14.25" customHeight="1" x14ac:dyDescent="0.3">
      <c r="A833" s="5"/>
      <c r="C833" s="16"/>
      <c r="J833" s="51"/>
      <c r="M833" s="16"/>
    </row>
    <row r="834" spans="1:13" ht="14.25" customHeight="1" x14ac:dyDescent="0.3">
      <c r="A834" s="5"/>
      <c r="C834" s="16"/>
      <c r="J834" s="51"/>
      <c r="M834" s="16"/>
    </row>
    <row r="835" spans="1:13" ht="14.25" customHeight="1" x14ac:dyDescent="0.3">
      <c r="A835" s="5"/>
      <c r="C835" s="16"/>
      <c r="J835" s="51"/>
      <c r="M835" s="16"/>
    </row>
    <row r="836" spans="1:13" ht="14.25" customHeight="1" x14ac:dyDescent="0.3">
      <c r="A836" s="5"/>
      <c r="C836" s="16"/>
      <c r="J836" s="51"/>
      <c r="M836" s="16"/>
    </row>
    <row r="837" spans="1:13" ht="14.25" customHeight="1" x14ac:dyDescent="0.3">
      <c r="A837" s="5"/>
      <c r="C837" s="16"/>
      <c r="J837" s="51"/>
      <c r="M837" s="16"/>
    </row>
    <row r="838" spans="1:13" ht="14.25" customHeight="1" x14ac:dyDescent="0.3">
      <c r="A838" s="5"/>
      <c r="C838" s="16"/>
      <c r="J838" s="51"/>
      <c r="M838" s="16"/>
    </row>
    <row r="839" spans="1:13" ht="14.25" customHeight="1" x14ac:dyDescent="0.3">
      <c r="A839" s="5"/>
      <c r="C839" s="16"/>
      <c r="J839" s="51"/>
      <c r="M839" s="16"/>
    </row>
    <row r="840" spans="1:13" ht="14.25" customHeight="1" x14ac:dyDescent="0.3">
      <c r="A840" s="5"/>
      <c r="C840" s="16"/>
      <c r="J840" s="51"/>
      <c r="M840" s="16"/>
    </row>
    <row r="841" spans="1:13" ht="14.25" customHeight="1" x14ac:dyDescent="0.3">
      <c r="A841" s="5"/>
      <c r="C841" s="16"/>
      <c r="J841" s="51"/>
      <c r="M841" s="16"/>
    </row>
    <row r="842" spans="1:13" ht="14.25" customHeight="1" x14ac:dyDescent="0.3">
      <c r="A842" s="5"/>
      <c r="C842" s="16"/>
      <c r="J842" s="51"/>
      <c r="M842" s="16"/>
    </row>
    <row r="843" spans="1:13" ht="14.25" customHeight="1" x14ac:dyDescent="0.3">
      <c r="A843" s="5"/>
      <c r="C843" s="16"/>
      <c r="J843" s="51"/>
      <c r="M843" s="16"/>
    </row>
    <row r="844" spans="1:13" ht="14.25" customHeight="1" x14ac:dyDescent="0.3">
      <c r="A844" s="5"/>
      <c r="C844" s="16"/>
      <c r="J844" s="51"/>
      <c r="M844" s="16"/>
    </row>
    <row r="845" spans="1:13" ht="14.25" customHeight="1" x14ac:dyDescent="0.3">
      <c r="A845" s="5"/>
      <c r="C845" s="16"/>
      <c r="J845" s="51"/>
      <c r="M845" s="16"/>
    </row>
    <row r="846" spans="1:13" ht="14.25" customHeight="1" x14ac:dyDescent="0.3">
      <c r="A846" s="5"/>
      <c r="C846" s="16"/>
      <c r="J846" s="51"/>
      <c r="M846" s="16"/>
    </row>
    <row r="847" spans="1:13" ht="14.25" customHeight="1" x14ac:dyDescent="0.3">
      <c r="A847" s="5"/>
      <c r="C847" s="16"/>
      <c r="J847" s="51"/>
      <c r="M847" s="16"/>
    </row>
    <row r="848" spans="1:13" ht="14.25" customHeight="1" x14ac:dyDescent="0.3">
      <c r="A848" s="5"/>
      <c r="C848" s="16"/>
      <c r="J848" s="51"/>
      <c r="M848" s="16"/>
    </row>
    <row r="849" spans="1:13" ht="14.25" customHeight="1" x14ac:dyDescent="0.3">
      <c r="A849" s="5"/>
      <c r="C849" s="16"/>
      <c r="J849" s="51"/>
      <c r="M849" s="16"/>
    </row>
    <row r="850" spans="1:13" ht="14.25" customHeight="1" x14ac:dyDescent="0.3">
      <c r="A850" s="5"/>
      <c r="C850" s="16"/>
      <c r="J850" s="51"/>
      <c r="M850" s="16"/>
    </row>
    <row r="851" spans="1:13" ht="14.25" customHeight="1" x14ac:dyDescent="0.3">
      <c r="A851" s="5"/>
      <c r="C851" s="16"/>
      <c r="J851" s="51"/>
      <c r="M851" s="16"/>
    </row>
    <row r="852" spans="1:13" ht="14.25" customHeight="1" x14ac:dyDescent="0.3">
      <c r="A852" s="5"/>
      <c r="C852" s="16"/>
      <c r="J852" s="51"/>
      <c r="M852" s="16"/>
    </row>
    <row r="853" spans="1:13" ht="14.25" customHeight="1" x14ac:dyDescent="0.3">
      <c r="A853" s="5"/>
      <c r="C853" s="16"/>
      <c r="J853" s="51"/>
      <c r="M853" s="16"/>
    </row>
    <row r="854" spans="1:13" ht="14.25" customHeight="1" x14ac:dyDescent="0.3">
      <c r="A854" s="5"/>
      <c r="C854" s="16"/>
      <c r="J854" s="51"/>
      <c r="M854" s="16"/>
    </row>
    <row r="855" spans="1:13" ht="14.25" customHeight="1" x14ac:dyDescent="0.3">
      <c r="A855" s="5"/>
      <c r="C855" s="16"/>
      <c r="J855" s="51"/>
      <c r="M855" s="16"/>
    </row>
    <row r="856" spans="1:13" ht="14.25" customHeight="1" x14ac:dyDescent="0.3">
      <c r="A856" s="5"/>
      <c r="C856" s="16"/>
      <c r="J856" s="51"/>
      <c r="M856" s="16"/>
    </row>
    <row r="857" spans="1:13" ht="14.25" customHeight="1" x14ac:dyDescent="0.3">
      <c r="A857" s="5"/>
      <c r="C857" s="16"/>
      <c r="J857" s="51"/>
      <c r="M857" s="16"/>
    </row>
    <row r="858" spans="1:13" ht="14.25" customHeight="1" x14ac:dyDescent="0.3">
      <c r="A858" s="5"/>
      <c r="C858" s="16"/>
      <c r="J858" s="51"/>
      <c r="M858" s="16"/>
    </row>
    <row r="859" spans="1:13" ht="14.25" customHeight="1" x14ac:dyDescent="0.3">
      <c r="A859" s="5"/>
      <c r="C859" s="16"/>
      <c r="J859" s="51"/>
      <c r="M859" s="16"/>
    </row>
    <row r="860" spans="1:13" ht="14.25" customHeight="1" x14ac:dyDescent="0.3">
      <c r="A860" s="5"/>
      <c r="C860" s="16"/>
      <c r="J860" s="51"/>
      <c r="M860" s="16"/>
    </row>
    <row r="861" spans="1:13" ht="14.25" customHeight="1" x14ac:dyDescent="0.3">
      <c r="A861" s="5"/>
      <c r="C861" s="16"/>
      <c r="J861" s="51"/>
      <c r="M861" s="16"/>
    </row>
    <row r="862" spans="1:13" ht="14.25" customHeight="1" x14ac:dyDescent="0.3">
      <c r="A862" s="5"/>
      <c r="C862" s="16"/>
      <c r="J862" s="51"/>
      <c r="M862" s="16"/>
    </row>
    <row r="863" spans="1:13" ht="14.25" customHeight="1" x14ac:dyDescent="0.3">
      <c r="A863" s="5"/>
      <c r="C863" s="16"/>
      <c r="J863" s="51"/>
      <c r="M863" s="16"/>
    </row>
    <row r="864" spans="1:13" ht="14.25" customHeight="1" x14ac:dyDescent="0.3">
      <c r="A864" s="5"/>
      <c r="C864" s="16"/>
      <c r="J864" s="51"/>
      <c r="M864" s="16"/>
    </row>
    <row r="865" spans="1:13" ht="14.25" customHeight="1" x14ac:dyDescent="0.3">
      <c r="A865" s="5"/>
      <c r="C865" s="16"/>
      <c r="J865" s="51"/>
      <c r="M865" s="16"/>
    </row>
    <row r="866" spans="1:13" ht="14.25" customHeight="1" x14ac:dyDescent="0.3">
      <c r="A866" s="5"/>
      <c r="C866" s="16"/>
      <c r="J866" s="51"/>
      <c r="M866" s="16"/>
    </row>
    <row r="867" spans="1:13" ht="14.25" customHeight="1" x14ac:dyDescent="0.3">
      <c r="A867" s="5"/>
      <c r="C867" s="16"/>
      <c r="J867" s="51"/>
      <c r="M867" s="16"/>
    </row>
    <row r="868" spans="1:13" ht="14.25" customHeight="1" x14ac:dyDescent="0.3">
      <c r="A868" s="5"/>
      <c r="C868" s="16"/>
      <c r="J868" s="51"/>
      <c r="M868" s="16"/>
    </row>
    <row r="869" spans="1:13" ht="14.25" customHeight="1" x14ac:dyDescent="0.3">
      <c r="A869" s="5"/>
      <c r="C869" s="16"/>
      <c r="J869" s="51"/>
      <c r="M869" s="16"/>
    </row>
    <row r="870" spans="1:13" ht="14.25" customHeight="1" x14ac:dyDescent="0.3">
      <c r="A870" s="5"/>
      <c r="C870" s="16"/>
      <c r="J870" s="51"/>
      <c r="M870" s="16"/>
    </row>
    <row r="871" spans="1:13" ht="14.25" customHeight="1" x14ac:dyDescent="0.3">
      <c r="A871" s="5"/>
      <c r="C871" s="16"/>
      <c r="J871" s="51"/>
      <c r="M871" s="16"/>
    </row>
    <row r="872" spans="1:13" ht="14.25" customHeight="1" x14ac:dyDescent="0.3">
      <c r="A872" s="5"/>
      <c r="C872" s="16"/>
      <c r="J872" s="51"/>
      <c r="M872" s="16"/>
    </row>
    <row r="873" spans="1:13" ht="14.25" customHeight="1" x14ac:dyDescent="0.3">
      <c r="A873" s="5"/>
      <c r="C873" s="16"/>
      <c r="J873" s="51"/>
      <c r="M873" s="16"/>
    </row>
    <row r="874" spans="1:13" ht="14.25" customHeight="1" x14ac:dyDescent="0.3">
      <c r="A874" s="5"/>
      <c r="C874" s="16"/>
      <c r="J874" s="51"/>
      <c r="M874" s="16"/>
    </row>
    <row r="875" spans="1:13" ht="14.25" customHeight="1" x14ac:dyDescent="0.3">
      <c r="A875" s="5"/>
      <c r="C875" s="16"/>
      <c r="J875" s="51"/>
      <c r="M875" s="16"/>
    </row>
    <row r="876" spans="1:13" ht="14.25" customHeight="1" x14ac:dyDescent="0.3">
      <c r="A876" s="5"/>
      <c r="C876" s="16"/>
      <c r="J876" s="51"/>
      <c r="M876" s="16"/>
    </row>
    <row r="877" spans="1:13" ht="14.25" customHeight="1" x14ac:dyDescent="0.3">
      <c r="A877" s="5"/>
      <c r="C877" s="16"/>
      <c r="J877" s="51"/>
      <c r="M877" s="16"/>
    </row>
    <row r="878" spans="1:13" ht="14.25" customHeight="1" x14ac:dyDescent="0.3">
      <c r="A878" s="5"/>
      <c r="C878" s="16"/>
      <c r="J878" s="51"/>
      <c r="M878" s="16"/>
    </row>
    <row r="879" spans="1:13" ht="14.25" customHeight="1" x14ac:dyDescent="0.3">
      <c r="A879" s="5"/>
      <c r="C879" s="16"/>
      <c r="J879" s="51"/>
      <c r="M879" s="16"/>
    </row>
    <row r="880" spans="1:13" ht="14.25" customHeight="1" x14ac:dyDescent="0.3">
      <c r="A880" s="5"/>
      <c r="C880" s="16"/>
      <c r="J880" s="51"/>
      <c r="M880" s="16"/>
    </row>
    <row r="881" spans="1:13" ht="14.25" customHeight="1" x14ac:dyDescent="0.3">
      <c r="A881" s="5"/>
      <c r="C881" s="16"/>
      <c r="J881" s="51"/>
      <c r="M881" s="16"/>
    </row>
    <row r="882" spans="1:13" ht="14.25" customHeight="1" x14ac:dyDescent="0.3">
      <c r="A882" s="5"/>
      <c r="C882" s="16"/>
      <c r="J882" s="51"/>
      <c r="M882" s="16"/>
    </row>
    <row r="883" spans="1:13" ht="14.25" customHeight="1" x14ac:dyDescent="0.3">
      <c r="A883" s="5"/>
      <c r="C883" s="16"/>
      <c r="J883" s="51"/>
      <c r="M883" s="16"/>
    </row>
    <row r="884" spans="1:13" ht="14.25" customHeight="1" x14ac:dyDescent="0.3">
      <c r="A884" s="5"/>
      <c r="C884" s="16"/>
      <c r="J884" s="51"/>
      <c r="M884" s="16"/>
    </row>
    <row r="885" spans="1:13" ht="14.25" customHeight="1" x14ac:dyDescent="0.3">
      <c r="A885" s="5"/>
      <c r="C885" s="16"/>
      <c r="J885" s="51"/>
      <c r="M885" s="16"/>
    </row>
    <row r="886" spans="1:13" ht="14.25" customHeight="1" x14ac:dyDescent="0.3">
      <c r="A886" s="5"/>
      <c r="C886" s="16"/>
      <c r="J886" s="51"/>
      <c r="M886" s="16"/>
    </row>
    <row r="887" spans="1:13" ht="14.25" customHeight="1" x14ac:dyDescent="0.3">
      <c r="A887" s="5"/>
      <c r="C887" s="16"/>
      <c r="J887" s="51"/>
      <c r="M887" s="16"/>
    </row>
    <row r="888" spans="1:13" ht="14.25" customHeight="1" x14ac:dyDescent="0.3">
      <c r="A888" s="5"/>
      <c r="C888" s="16"/>
      <c r="J888" s="51"/>
      <c r="M888" s="16"/>
    </row>
    <row r="889" spans="1:13" ht="14.25" customHeight="1" x14ac:dyDescent="0.3">
      <c r="A889" s="5"/>
      <c r="C889" s="16"/>
      <c r="J889" s="51"/>
      <c r="M889" s="16"/>
    </row>
    <row r="890" spans="1:13" ht="14.25" customHeight="1" x14ac:dyDescent="0.3">
      <c r="A890" s="5"/>
      <c r="C890" s="16"/>
      <c r="J890" s="51"/>
      <c r="M890" s="16"/>
    </row>
    <row r="891" spans="1:13" ht="14.25" customHeight="1" x14ac:dyDescent="0.3">
      <c r="A891" s="5"/>
      <c r="C891" s="16"/>
      <c r="J891" s="51"/>
      <c r="M891" s="16"/>
    </row>
    <row r="892" spans="1:13" ht="14.25" customHeight="1" x14ac:dyDescent="0.3">
      <c r="A892" s="5"/>
      <c r="C892" s="16"/>
      <c r="J892" s="51"/>
      <c r="M892" s="16"/>
    </row>
    <row r="893" spans="1:13" ht="14.25" customHeight="1" x14ac:dyDescent="0.3">
      <c r="A893" s="5"/>
      <c r="C893" s="16"/>
      <c r="J893" s="51"/>
      <c r="M893" s="16"/>
    </row>
    <row r="894" spans="1:13" ht="14.25" customHeight="1" x14ac:dyDescent="0.3">
      <c r="A894" s="5"/>
      <c r="C894" s="16"/>
      <c r="J894" s="51"/>
      <c r="M894" s="16"/>
    </row>
    <row r="895" spans="1:13" ht="14.25" customHeight="1" x14ac:dyDescent="0.3">
      <c r="A895" s="5"/>
      <c r="C895" s="16"/>
      <c r="J895" s="51"/>
      <c r="M895" s="16"/>
    </row>
    <row r="896" spans="1:13" ht="14.25" customHeight="1" x14ac:dyDescent="0.3">
      <c r="A896" s="5"/>
      <c r="C896" s="16"/>
      <c r="J896" s="51"/>
      <c r="M896" s="16"/>
    </row>
    <row r="897" spans="1:13" ht="14.25" customHeight="1" x14ac:dyDescent="0.3">
      <c r="A897" s="5"/>
      <c r="C897" s="16"/>
      <c r="J897" s="51"/>
      <c r="M897" s="16"/>
    </row>
    <row r="898" spans="1:13" ht="14.25" customHeight="1" x14ac:dyDescent="0.3">
      <c r="A898" s="5"/>
      <c r="C898" s="16"/>
      <c r="J898" s="51"/>
      <c r="M898" s="16"/>
    </row>
    <row r="899" spans="1:13" ht="14.25" customHeight="1" x14ac:dyDescent="0.3">
      <c r="A899" s="5"/>
      <c r="C899" s="16"/>
      <c r="J899" s="51"/>
      <c r="M899" s="16"/>
    </row>
    <row r="900" spans="1:13" ht="14.25" customHeight="1" x14ac:dyDescent="0.3">
      <c r="A900" s="5"/>
      <c r="C900" s="16"/>
      <c r="J900" s="51"/>
      <c r="M900" s="16"/>
    </row>
    <row r="901" spans="1:13" ht="14.25" customHeight="1" x14ac:dyDescent="0.3">
      <c r="A901" s="5"/>
      <c r="C901" s="16"/>
      <c r="J901" s="51"/>
      <c r="M901" s="16"/>
    </row>
    <row r="902" spans="1:13" ht="14.25" customHeight="1" x14ac:dyDescent="0.3">
      <c r="A902" s="5"/>
      <c r="C902" s="16"/>
      <c r="J902" s="51"/>
      <c r="M902" s="16"/>
    </row>
    <row r="903" spans="1:13" ht="14.25" customHeight="1" x14ac:dyDescent="0.3">
      <c r="A903" s="5"/>
      <c r="C903" s="16"/>
      <c r="J903" s="51"/>
      <c r="M903" s="16"/>
    </row>
    <row r="904" spans="1:13" ht="14.25" customHeight="1" x14ac:dyDescent="0.3">
      <c r="A904" s="5"/>
      <c r="C904" s="16"/>
      <c r="J904" s="51"/>
      <c r="M904" s="16"/>
    </row>
    <row r="905" spans="1:13" ht="14.25" customHeight="1" x14ac:dyDescent="0.3">
      <c r="A905" s="5"/>
      <c r="C905" s="16"/>
      <c r="J905" s="51"/>
      <c r="M905" s="16"/>
    </row>
    <row r="906" spans="1:13" ht="14.25" customHeight="1" x14ac:dyDescent="0.3">
      <c r="A906" s="5"/>
      <c r="C906" s="16"/>
      <c r="J906" s="51"/>
      <c r="M906" s="16"/>
    </row>
    <row r="907" spans="1:13" ht="14.25" customHeight="1" x14ac:dyDescent="0.3">
      <c r="A907" s="5"/>
      <c r="C907" s="16"/>
      <c r="J907" s="51"/>
      <c r="M907" s="16"/>
    </row>
    <row r="908" spans="1:13" ht="14.25" customHeight="1" x14ac:dyDescent="0.3">
      <c r="A908" s="5"/>
      <c r="C908" s="16"/>
      <c r="J908" s="51"/>
      <c r="M908" s="16"/>
    </row>
    <row r="909" spans="1:13" ht="14.25" customHeight="1" x14ac:dyDescent="0.3">
      <c r="A909" s="5"/>
      <c r="C909" s="16"/>
      <c r="J909" s="51"/>
      <c r="M909" s="16"/>
    </row>
    <row r="910" spans="1:13" ht="14.25" customHeight="1" x14ac:dyDescent="0.3">
      <c r="A910" s="5"/>
      <c r="C910" s="16"/>
      <c r="J910" s="51"/>
      <c r="M910" s="16"/>
    </row>
    <row r="911" spans="1:13" ht="14.25" customHeight="1" x14ac:dyDescent="0.3">
      <c r="A911" s="5"/>
      <c r="C911" s="16"/>
      <c r="J911" s="51"/>
      <c r="M911" s="16"/>
    </row>
    <row r="912" spans="1:13" ht="14.25" customHeight="1" x14ac:dyDescent="0.3">
      <c r="A912" s="5"/>
      <c r="C912" s="16"/>
      <c r="J912" s="51"/>
      <c r="M912" s="16"/>
    </row>
    <row r="913" spans="1:13" ht="14.25" customHeight="1" x14ac:dyDescent="0.3">
      <c r="A913" s="5"/>
      <c r="C913" s="16"/>
      <c r="J913" s="51"/>
      <c r="M913" s="16"/>
    </row>
    <row r="914" spans="1:13" ht="14.25" customHeight="1" x14ac:dyDescent="0.3">
      <c r="A914" s="5"/>
      <c r="C914" s="16"/>
      <c r="J914" s="51"/>
      <c r="M914" s="16"/>
    </row>
    <row r="915" spans="1:13" ht="14.25" customHeight="1" x14ac:dyDescent="0.3">
      <c r="A915" s="5"/>
      <c r="C915" s="16"/>
      <c r="J915" s="51"/>
      <c r="M915" s="16"/>
    </row>
    <row r="916" spans="1:13" ht="14.25" customHeight="1" x14ac:dyDescent="0.3">
      <c r="A916" s="5"/>
      <c r="C916" s="16"/>
      <c r="J916" s="51"/>
      <c r="M916" s="16"/>
    </row>
    <row r="917" spans="1:13" ht="14.25" customHeight="1" x14ac:dyDescent="0.3">
      <c r="A917" s="5"/>
      <c r="C917" s="16"/>
      <c r="J917" s="51"/>
      <c r="M917" s="16"/>
    </row>
    <row r="918" spans="1:13" ht="14.25" customHeight="1" x14ac:dyDescent="0.3">
      <c r="A918" s="5"/>
      <c r="C918" s="16"/>
      <c r="J918" s="51"/>
      <c r="M918" s="16"/>
    </row>
    <row r="919" spans="1:13" ht="14.25" customHeight="1" x14ac:dyDescent="0.3">
      <c r="A919" s="5"/>
      <c r="C919" s="16"/>
      <c r="J919" s="51"/>
      <c r="M919" s="16"/>
    </row>
    <row r="920" spans="1:13" ht="14.25" customHeight="1" x14ac:dyDescent="0.3">
      <c r="A920" s="5"/>
      <c r="C920" s="16"/>
      <c r="J920" s="51"/>
      <c r="M920" s="16"/>
    </row>
    <row r="921" spans="1:13" ht="14.25" customHeight="1" x14ac:dyDescent="0.3">
      <c r="A921" s="5"/>
      <c r="C921" s="16"/>
      <c r="J921" s="51"/>
      <c r="M921" s="16"/>
    </row>
    <row r="922" spans="1:13" ht="14.25" customHeight="1" x14ac:dyDescent="0.3">
      <c r="A922" s="5"/>
      <c r="C922" s="16"/>
      <c r="J922" s="51"/>
      <c r="M922" s="16"/>
    </row>
    <row r="923" spans="1:13" ht="14.25" customHeight="1" x14ac:dyDescent="0.3">
      <c r="A923" s="5"/>
      <c r="C923" s="16"/>
      <c r="J923" s="51"/>
      <c r="M923" s="16"/>
    </row>
    <row r="924" spans="1:13" ht="14.25" customHeight="1" x14ac:dyDescent="0.3">
      <c r="A924" s="5"/>
      <c r="C924" s="16"/>
      <c r="J924" s="51"/>
      <c r="M924" s="16"/>
    </row>
    <row r="925" spans="1:13" ht="14.25" customHeight="1" x14ac:dyDescent="0.3">
      <c r="A925" s="5"/>
      <c r="C925" s="16"/>
      <c r="J925" s="51"/>
      <c r="M925" s="16"/>
    </row>
    <row r="926" spans="1:13" ht="14.25" customHeight="1" x14ac:dyDescent="0.3">
      <c r="A926" s="5"/>
      <c r="C926" s="16"/>
      <c r="J926" s="51"/>
      <c r="M926" s="16"/>
    </row>
    <row r="927" spans="1:13" ht="14.25" customHeight="1" x14ac:dyDescent="0.3">
      <c r="A927" s="5"/>
      <c r="C927" s="16"/>
      <c r="J927" s="51"/>
      <c r="M927" s="16"/>
    </row>
    <row r="928" spans="1:13" ht="14.25" customHeight="1" x14ac:dyDescent="0.3">
      <c r="A928" s="5"/>
      <c r="C928" s="16"/>
      <c r="J928" s="51"/>
      <c r="M928" s="16"/>
    </row>
    <row r="929" spans="1:13" ht="14.25" customHeight="1" x14ac:dyDescent="0.3">
      <c r="A929" s="5"/>
      <c r="C929" s="16"/>
      <c r="J929" s="51"/>
      <c r="M929" s="16"/>
    </row>
    <row r="930" spans="1:13" ht="14.25" customHeight="1" x14ac:dyDescent="0.3">
      <c r="A930" s="5"/>
      <c r="C930" s="16"/>
      <c r="J930" s="51"/>
      <c r="M930" s="16"/>
    </row>
    <row r="931" spans="1:13" ht="14.25" customHeight="1" x14ac:dyDescent="0.3">
      <c r="A931" s="5"/>
      <c r="C931" s="16"/>
      <c r="J931" s="51"/>
      <c r="M931" s="16"/>
    </row>
    <row r="932" spans="1:13" ht="14.25" customHeight="1" x14ac:dyDescent="0.3">
      <c r="A932" s="5"/>
      <c r="C932" s="16"/>
      <c r="J932" s="51"/>
      <c r="M932" s="16"/>
    </row>
    <row r="933" spans="1:13" ht="14.25" customHeight="1" x14ac:dyDescent="0.3">
      <c r="A933" s="5"/>
      <c r="C933" s="16"/>
      <c r="J933" s="51"/>
      <c r="M933" s="16"/>
    </row>
    <row r="934" spans="1:13" ht="14.25" customHeight="1" x14ac:dyDescent="0.3">
      <c r="A934" s="5"/>
      <c r="C934" s="16"/>
      <c r="J934" s="51"/>
      <c r="M934" s="16"/>
    </row>
    <row r="935" spans="1:13" ht="14.25" customHeight="1" x14ac:dyDescent="0.3">
      <c r="A935" s="5"/>
      <c r="C935" s="16"/>
      <c r="J935" s="51"/>
      <c r="M935" s="16"/>
    </row>
    <row r="936" spans="1:13" ht="14.25" customHeight="1" x14ac:dyDescent="0.3">
      <c r="A936" s="5"/>
      <c r="C936" s="16"/>
      <c r="J936" s="51"/>
      <c r="M936" s="16"/>
    </row>
    <row r="937" spans="1:13" ht="14.25" customHeight="1" x14ac:dyDescent="0.3">
      <c r="A937" s="5"/>
      <c r="C937" s="16"/>
      <c r="J937" s="51"/>
      <c r="M937" s="16"/>
    </row>
    <row r="938" spans="1:13" ht="14.25" customHeight="1" x14ac:dyDescent="0.3">
      <c r="A938" s="5"/>
      <c r="C938" s="16"/>
      <c r="J938" s="51"/>
      <c r="M938" s="16"/>
    </row>
    <row r="939" spans="1:13" ht="14.25" customHeight="1" x14ac:dyDescent="0.3">
      <c r="A939" s="5"/>
      <c r="C939" s="16"/>
      <c r="J939" s="51"/>
      <c r="M939" s="16"/>
    </row>
    <row r="940" spans="1:13" ht="14.25" customHeight="1" x14ac:dyDescent="0.3">
      <c r="A940" s="5"/>
      <c r="C940" s="16"/>
      <c r="J940" s="51"/>
      <c r="M940" s="16"/>
    </row>
    <row r="941" spans="1:13" ht="14.25" customHeight="1" x14ac:dyDescent="0.3">
      <c r="A941" s="5"/>
      <c r="C941" s="16"/>
      <c r="J941" s="51"/>
      <c r="M941" s="16"/>
    </row>
    <row r="942" spans="1:13" ht="14.25" customHeight="1" x14ac:dyDescent="0.3">
      <c r="A942" s="5"/>
      <c r="C942" s="16"/>
      <c r="J942" s="51"/>
      <c r="M942" s="16"/>
    </row>
    <row r="943" spans="1:13" ht="14.25" customHeight="1" x14ac:dyDescent="0.3">
      <c r="A943" s="5"/>
      <c r="C943" s="16"/>
      <c r="J943" s="51"/>
      <c r="M943" s="16"/>
    </row>
    <row r="944" spans="1:13" ht="14.25" customHeight="1" x14ac:dyDescent="0.3">
      <c r="A944" s="5"/>
      <c r="C944" s="16"/>
      <c r="J944" s="51"/>
      <c r="M944" s="16"/>
    </row>
    <row r="945" spans="1:13" ht="14.25" customHeight="1" x14ac:dyDescent="0.3">
      <c r="A945" s="5"/>
      <c r="C945" s="16"/>
      <c r="J945" s="51"/>
      <c r="M945" s="16"/>
    </row>
    <row r="946" spans="1:13" ht="14.25" customHeight="1" x14ac:dyDescent="0.3">
      <c r="A946" s="5"/>
      <c r="C946" s="16"/>
      <c r="J946" s="51"/>
      <c r="M946" s="16"/>
    </row>
    <row r="947" spans="1:13" ht="14.25" customHeight="1" x14ac:dyDescent="0.3">
      <c r="A947" s="5"/>
      <c r="C947" s="16"/>
      <c r="J947" s="51"/>
      <c r="M947" s="16"/>
    </row>
    <row r="948" spans="1:13" ht="14.25" customHeight="1" x14ac:dyDescent="0.3">
      <c r="A948" s="5"/>
      <c r="C948" s="16"/>
      <c r="J948" s="51"/>
      <c r="M948" s="16"/>
    </row>
    <row r="949" spans="1:13" ht="14.25" customHeight="1" x14ac:dyDescent="0.3">
      <c r="A949" s="5"/>
      <c r="C949" s="16"/>
      <c r="J949" s="51"/>
      <c r="M949" s="16"/>
    </row>
    <row r="950" spans="1:13" ht="14.25" customHeight="1" x14ac:dyDescent="0.3">
      <c r="A950" s="5"/>
      <c r="C950" s="16"/>
      <c r="J950" s="51"/>
      <c r="M950" s="16"/>
    </row>
    <row r="951" spans="1:13" ht="14.25" customHeight="1" x14ac:dyDescent="0.3">
      <c r="A951" s="5"/>
      <c r="C951" s="16"/>
      <c r="J951" s="51"/>
      <c r="M951" s="16"/>
    </row>
    <row r="952" spans="1:13" ht="14.25" customHeight="1" x14ac:dyDescent="0.3">
      <c r="A952" s="5"/>
      <c r="C952" s="16"/>
      <c r="J952" s="51"/>
      <c r="M952" s="16"/>
    </row>
    <row r="953" spans="1:13" ht="14.25" customHeight="1" x14ac:dyDescent="0.3">
      <c r="A953" s="5"/>
      <c r="C953" s="16"/>
      <c r="J953" s="51"/>
      <c r="M953" s="16"/>
    </row>
    <row r="954" spans="1:13" ht="14.25" customHeight="1" x14ac:dyDescent="0.3">
      <c r="A954" s="5"/>
      <c r="C954" s="16"/>
      <c r="J954" s="51"/>
      <c r="M954" s="16"/>
    </row>
    <row r="955" spans="1:13" ht="14.25" customHeight="1" x14ac:dyDescent="0.3">
      <c r="A955" s="5"/>
      <c r="C955" s="16"/>
      <c r="J955" s="51"/>
      <c r="M955" s="16"/>
    </row>
    <row r="956" spans="1:13" ht="14.25" customHeight="1" x14ac:dyDescent="0.3">
      <c r="A956" s="5"/>
      <c r="C956" s="16"/>
      <c r="J956" s="51"/>
      <c r="M956" s="16"/>
    </row>
    <row r="957" spans="1:13" ht="14.25" customHeight="1" x14ac:dyDescent="0.3">
      <c r="A957" s="5"/>
      <c r="C957" s="16"/>
      <c r="J957" s="51"/>
      <c r="M957" s="16"/>
    </row>
    <row r="958" spans="1:13" ht="14.25" customHeight="1" x14ac:dyDescent="0.3">
      <c r="A958" s="5"/>
      <c r="C958" s="16"/>
      <c r="J958" s="51"/>
      <c r="M958" s="16"/>
    </row>
    <row r="959" spans="1:13" ht="14.25" customHeight="1" x14ac:dyDescent="0.3">
      <c r="A959" s="5"/>
      <c r="C959" s="16"/>
      <c r="J959" s="51"/>
      <c r="M959" s="16"/>
    </row>
    <row r="960" spans="1:13" ht="14.25" customHeight="1" x14ac:dyDescent="0.3">
      <c r="A960" s="5"/>
      <c r="C960" s="16"/>
      <c r="J960" s="51"/>
      <c r="M960" s="16"/>
    </row>
    <row r="961" spans="1:13" ht="14.25" customHeight="1" x14ac:dyDescent="0.3">
      <c r="A961" s="5"/>
      <c r="C961" s="16"/>
      <c r="J961" s="51"/>
      <c r="M961" s="16"/>
    </row>
    <row r="962" spans="1:13" ht="14.25" customHeight="1" x14ac:dyDescent="0.3">
      <c r="A962" s="5"/>
      <c r="C962" s="16"/>
      <c r="J962" s="51"/>
      <c r="M962" s="16"/>
    </row>
    <row r="963" spans="1:13" ht="14.25" customHeight="1" x14ac:dyDescent="0.3">
      <c r="A963" s="5"/>
      <c r="C963" s="16"/>
      <c r="J963" s="51"/>
      <c r="M963" s="16"/>
    </row>
    <row r="964" spans="1:13" ht="14.25" customHeight="1" x14ac:dyDescent="0.3">
      <c r="A964" s="5"/>
      <c r="C964" s="16"/>
      <c r="J964" s="51"/>
      <c r="M964" s="16"/>
    </row>
    <row r="965" spans="1:13" ht="14.25" customHeight="1" x14ac:dyDescent="0.3">
      <c r="A965" s="5"/>
      <c r="C965" s="16"/>
      <c r="J965" s="51"/>
      <c r="M965" s="16"/>
    </row>
    <row r="966" spans="1:13" ht="14.25" customHeight="1" x14ac:dyDescent="0.3">
      <c r="A966" s="5"/>
      <c r="C966" s="16"/>
      <c r="J966" s="51"/>
      <c r="M966" s="16"/>
    </row>
    <row r="967" spans="1:13" ht="14.25" customHeight="1" x14ac:dyDescent="0.3">
      <c r="A967" s="5"/>
      <c r="C967" s="16"/>
      <c r="J967" s="51"/>
      <c r="M967" s="16"/>
    </row>
    <row r="968" spans="1:13" ht="14.25" customHeight="1" x14ac:dyDescent="0.3">
      <c r="A968" s="5"/>
      <c r="C968" s="16"/>
      <c r="J968" s="51"/>
      <c r="M968" s="16"/>
    </row>
    <row r="969" spans="1:13" ht="14.25" customHeight="1" x14ac:dyDescent="0.3">
      <c r="A969" s="5"/>
      <c r="C969" s="16"/>
      <c r="J969" s="51"/>
      <c r="M969" s="16"/>
    </row>
    <row r="970" spans="1:13" ht="14.25" customHeight="1" x14ac:dyDescent="0.3">
      <c r="A970" s="5"/>
      <c r="C970" s="16"/>
      <c r="J970" s="51"/>
      <c r="M970" s="16"/>
    </row>
    <row r="971" spans="1:13" ht="14.25" customHeight="1" x14ac:dyDescent="0.3">
      <c r="A971" s="5"/>
      <c r="C971" s="16"/>
      <c r="J971" s="51"/>
      <c r="M971" s="16"/>
    </row>
    <row r="972" spans="1:13" ht="14.25" customHeight="1" x14ac:dyDescent="0.3">
      <c r="A972" s="5"/>
      <c r="C972" s="16"/>
      <c r="J972" s="51"/>
      <c r="M972" s="16"/>
    </row>
    <row r="973" spans="1:13" ht="14.25" customHeight="1" x14ac:dyDescent="0.3">
      <c r="A973" s="5"/>
      <c r="C973" s="16"/>
      <c r="J973" s="51"/>
      <c r="M973" s="16"/>
    </row>
    <row r="974" spans="1:13" ht="14.25" customHeight="1" x14ac:dyDescent="0.3">
      <c r="A974" s="5"/>
      <c r="C974" s="16"/>
      <c r="J974" s="51"/>
      <c r="M974" s="16"/>
    </row>
    <row r="975" spans="1:13" ht="14.25" customHeight="1" x14ac:dyDescent="0.3">
      <c r="A975" s="5"/>
      <c r="C975" s="16"/>
      <c r="J975" s="51"/>
      <c r="M975" s="16"/>
    </row>
    <row r="976" spans="1:13" ht="14.25" customHeight="1" x14ac:dyDescent="0.3">
      <c r="A976" s="5"/>
      <c r="C976" s="16"/>
      <c r="J976" s="51"/>
      <c r="M976" s="16"/>
    </row>
    <row r="977" spans="1:13" ht="14.25" customHeight="1" x14ac:dyDescent="0.3">
      <c r="A977" s="5"/>
      <c r="C977" s="16"/>
      <c r="J977" s="51"/>
      <c r="M977" s="16"/>
    </row>
    <row r="978" spans="1:13" ht="14.25" customHeight="1" x14ac:dyDescent="0.3">
      <c r="A978" s="5"/>
      <c r="C978" s="16"/>
      <c r="J978" s="51"/>
      <c r="M978" s="16"/>
    </row>
    <row r="979" spans="1:13" ht="14.25" customHeight="1" x14ac:dyDescent="0.3">
      <c r="A979" s="5"/>
      <c r="C979" s="16"/>
      <c r="J979" s="51"/>
      <c r="M979" s="16"/>
    </row>
    <row r="980" spans="1:13" ht="14.25" customHeight="1" x14ac:dyDescent="0.3">
      <c r="A980" s="5"/>
      <c r="C980" s="16"/>
      <c r="J980" s="51"/>
      <c r="M980" s="16"/>
    </row>
    <row r="981" spans="1:13" ht="14.25" customHeight="1" x14ac:dyDescent="0.3">
      <c r="A981" s="5"/>
      <c r="C981" s="16"/>
      <c r="J981" s="51"/>
      <c r="M981" s="16"/>
    </row>
    <row r="982" spans="1:13" ht="14.25" customHeight="1" x14ac:dyDescent="0.3">
      <c r="A982" s="5"/>
      <c r="C982" s="16"/>
      <c r="J982" s="51"/>
      <c r="M982" s="16"/>
    </row>
    <row r="983" spans="1:13" ht="14.25" customHeight="1" x14ac:dyDescent="0.3">
      <c r="A983" s="5"/>
      <c r="C983" s="16"/>
      <c r="J983" s="51"/>
      <c r="M983" s="16"/>
    </row>
    <row r="984" spans="1:13" ht="14.25" customHeight="1" x14ac:dyDescent="0.3">
      <c r="A984" s="5"/>
      <c r="C984" s="16"/>
      <c r="J984" s="51"/>
      <c r="M984" s="16"/>
    </row>
    <row r="985" spans="1:13" ht="14.25" customHeight="1" x14ac:dyDescent="0.3">
      <c r="A985" s="5"/>
      <c r="C985" s="16"/>
      <c r="J985" s="51"/>
      <c r="M985" s="16"/>
    </row>
    <row r="986" spans="1:13" ht="14.25" customHeight="1" x14ac:dyDescent="0.3">
      <c r="A986" s="5"/>
      <c r="C986" s="16"/>
      <c r="J986" s="51"/>
      <c r="M986" s="16"/>
    </row>
    <row r="987" spans="1:13" ht="14.25" customHeight="1" x14ac:dyDescent="0.3">
      <c r="A987" s="5"/>
      <c r="C987" s="16"/>
      <c r="J987" s="51"/>
      <c r="M987" s="16"/>
    </row>
    <row r="988" spans="1:13" ht="14.25" customHeight="1" x14ac:dyDescent="0.3">
      <c r="A988" s="5"/>
      <c r="C988" s="16"/>
      <c r="J988" s="51"/>
      <c r="M988" s="16"/>
    </row>
    <row r="989" spans="1:13" ht="14.25" customHeight="1" x14ac:dyDescent="0.3">
      <c r="A989" s="5"/>
      <c r="C989" s="16"/>
      <c r="J989" s="51"/>
      <c r="M989" s="16"/>
    </row>
    <row r="990" spans="1:13" ht="14.25" customHeight="1" x14ac:dyDescent="0.3">
      <c r="A990" s="5"/>
      <c r="C990" s="16"/>
      <c r="J990" s="51"/>
      <c r="M990" s="16"/>
    </row>
    <row r="991" spans="1:13" ht="14.25" customHeight="1" x14ac:dyDescent="0.3">
      <c r="A991" s="5"/>
      <c r="C991" s="16"/>
      <c r="J991" s="51"/>
      <c r="M991" s="16"/>
    </row>
    <row r="992" spans="1:13" ht="14.25" customHeight="1" x14ac:dyDescent="0.3">
      <c r="A992" s="5"/>
      <c r="C992" s="16"/>
      <c r="J992" s="51"/>
      <c r="M992" s="16"/>
    </row>
    <row r="993" spans="1:13" ht="14.25" customHeight="1" x14ac:dyDescent="0.3">
      <c r="A993" s="5"/>
      <c r="C993" s="16"/>
      <c r="J993" s="51"/>
      <c r="M993" s="16"/>
    </row>
    <row r="994" spans="1:13" ht="14.25" customHeight="1" x14ac:dyDescent="0.3">
      <c r="A994" s="5"/>
      <c r="C994" s="16"/>
      <c r="J994" s="51"/>
      <c r="M994" s="16"/>
    </row>
    <row r="995" spans="1:13" ht="14.25" customHeight="1" x14ac:dyDescent="0.3">
      <c r="A995" s="5"/>
      <c r="C995" s="16"/>
      <c r="J995" s="51"/>
      <c r="M995" s="16"/>
    </row>
    <row r="996" spans="1:13" ht="14.25" customHeight="1" x14ac:dyDescent="0.3">
      <c r="A996" s="5"/>
      <c r="C996" s="16"/>
      <c r="J996" s="51"/>
      <c r="M996" s="16"/>
    </row>
    <row r="997" spans="1:13" ht="14.25" customHeight="1" x14ac:dyDescent="0.3">
      <c r="A997" s="5"/>
      <c r="C997" s="16"/>
      <c r="J997" s="51"/>
      <c r="M997" s="16"/>
    </row>
    <row r="998" spans="1:13" ht="14.25" customHeight="1" x14ac:dyDescent="0.3">
      <c r="A998" s="5"/>
      <c r="C998" s="16"/>
      <c r="J998" s="51"/>
      <c r="M998" s="16"/>
    </row>
    <row r="999" spans="1:13" ht="14.25" customHeight="1" x14ac:dyDescent="0.3">
      <c r="A999" s="5"/>
      <c r="C999" s="16"/>
      <c r="J999" s="51"/>
      <c r="M999" s="16"/>
    </row>
    <row r="1000" spans="1:13" ht="14.25" customHeight="1" x14ac:dyDescent="0.3">
      <c r="A1000" s="5"/>
      <c r="C1000" s="16"/>
      <c r="J1000" s="51"/>
      <c r="M1000" s="16"/>
    </row>
    <row r="1001" spans="1:13" ht="14.25" customHeight="1" x14ac:dyDescent="0.3">
      <c r="A1001" s="5"/>
      <c r="C1001" s="16"/>
      <c r="J1001" s="51"/>
      <c r="M1001" s="16"/>
    </row>
    <row r="1002" spans="1:13" ht="14.25" customHeight="1" x14ac:dyDescent="0.3">
      <c r="A1002" s="5"/>
      <c r="C1002" s="16"/>
      <c r="J1002" s="51"/>
      <c r="M1002" s="16"/>
    </row>
    <row r="1003" spans="1:13" ht="14.25" customHeight="1" x14ac:dyDescent="0.3">
      <c r="A1003" s="5"/>
      <c r="C1003" s="16"/>
      <c r="J1003" s="51"/>
      <c r="M1003" s="16"/>
    </row>
    <row r="1004" spans="1:13" ht="14.25" customHeight="1" x14ac:dyDescent="0.3">
      <c r="A1004" s="5"/>
      <c r="C1004" s="16"/>
      <c r="J1004" s="51"/>
      <c r="M1004" s="16"/>
    </row>
    <row r="1005" spans="1:13" ht="14.25" customHeight="1" x14ac:dyDescent="0.3">
      <c r="A1005" s="5"/>
      <c r="C1005" s="16"/>
      <c r="J1005" s="51"/>
      <c r="M1005" s="16"/>
    </row>
    <row r="1006" spans="1:13" ht="14.25" customHeight="1" x14ac:dyDescent="0.3">
      <c r="A1006" s="5"/>
      <c r="C1006" s="16"/>
      <c r="J1006" s="51"/>
      <c r="M1006" s="16"/>
    </row>
    <row r="1007" spans="1:13" ht="14.25" customHeight="1" x14ac:dyDescent="0.3">
      <c r="A1007" s="5"/>
      <c r="C1007" s="16"/>
      <c r="J1007" s="51"/>
      <c r="M1007" s="16"/>
    </row>
    <row r="1008" spans="1:13" ht="14.25" customHeight="1" x14ac:dyDescent="0.3">
      <c r="A1008" s="5"/>
      <c r="C1008" s="16"/>
      <c r="J1008" s="51"/>
      <c r="M1008" s="16"/>
    </row>
    <row r="1009" spans="1:13" ht="14.25" customHeight="1" x14ac:dyDescent="0.3">
      <c r="A1009" s="5"/>
      <c r="C1009" s="16"/>
      <c r="J1009" s="51"/>
      <c r="M1009" s="16"/>
    </row>
    <row r="1010" spans="1:13" ht="14.25" customHeight="1" x14ac:dyDescent="0.3">
      <c r="A1010" s="5"/>
      <c r="C1010" s="16"/>
      <c r="J1010" s="51"/>
      <c r="M1010" s="16"/>
    </row>
  </sheetData>
  <autoFilter ref="A1:AD174" xr:uid="{00000000-0009-0000-0000-000005000000}"/>
  <dataValidations count="1">
    <dataValidation type="list" allowBlank="1" showErrorMessage="1" sqref="B2:B413" xr:uid="{00000000-0002-0000-0500-000001000000}">
      <formula1>$I$2:$I$17</formula1>
    </dataValidation>
  </dataValidations>
  <hyperlinks>
    <hyperlink ref="D48" r:id="rId1" xr:uid="{00000000-0004-0000-0500-000000000000}"/>
    <hyperlink ref="D49" r:id="rId2" xr:uid="{00000000-0004-0000-0500-000001000000}"/>
  </hyperlinks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Ventas!$K$2:$K$4</xm:f>
          </x14:formula1>
          <xm:sqref>E2:E413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CAF50"/>
    <outlinePr summaryBelow="0" summaryRight="0"/>
  </sheetPr>
  <dimension ref="A1:C996"/>
  <sheetViews>
    <sheetView workbookViewId="0"/>
  </sheetViews>
  <sheetFormatPr baseColWidth="10" defaultColWidth="14.44140625" defaultRowHeight="15" customHeight="1" x14ac:dyDescent="0.3"/>
  <cols>
    <col min="1" max="1" width="33.109375" customWidth="1"/>
    <col min="2" max="2" width="14.5546875" customWidth="1"/>
    <col min="3" max="3" width="63.88671875" customWidth="1"/>
  </cols>
  <sheetData>
    <row r="1" spans="1:3" x14ac:dyDescent="0.3">
      <c r="A1" s="91" t="s">
        <v>695</v>
      </c>
      <c r="B1" s="6"/>
      <c r="C1" s="6"/>
    </row>
    <row r="2" spans="1:3" x14ac:dyDescent="0.3">
      <c r="A2" s="6"/>
      <c r="B2" s="6"/>
      <c r="C2" s="6"/>
    </row>
    <row r="3" spans="1:3" x14ac:dyDescent="0.3">
      <c r="A3" s="92" t="s">
        <v>696</v>
      </c>
      <c r="B3" s="92" t="s">
        <v>697</v>
      </c>
      <c r="C3" s="92" t="s">
        <v>698</v>
      </c>
    </row>
    <row r="4" spans="1:3" x14ac:dyDescent="0.3">
      <c r="A4" s="6" t="s">
        <v>699</v>
      </c>
      <c r="B4" s="93">
        <v>1210000</v>
      </c>
      <c r="C4" s="6"/>
    </row>
    <row r="5" spans="1:3" x14ac:dyDescent="0.3">
      <c r="A5" s="6" t="s">
        <v>700</v>
      </c>
      <c r="B5" s="94">
        <v>220000</v>
      </c>
      <c r="C5" s="6" t="s">
        <v>701</v>
      </c>
    </row>
    <row r="6" spans="1:3" x14ac:dyDescent="0.3">
      <c r="A6" s="6" t="s">
        <v>569</v>
      </c>
      <c r="B6" s="94">
        <v>69000</v>
      </c>
      <c r="C6" s="6" t="s">
        <v>702</v>
      </c>
    </row>
    <row r="7" spans="1:3" x14ac:dyDescent="0.3">
      <c r="A7" s="6" t="s">
        <v>703</v>
      </c>
      <c r="B7" s="95"/>
      <c r="C7" s="6" t="s">
        <v>704</v>
      </c>
    </row>
    <row r="8" spans="1:3" x14ac:dyDescent="0.3">
      <c r="A8" s="6" t="s">
        <v>705</v>
      </c>
      <c r="B8" s="94">
        <f>100000+53000+60000</f>
        <v>213000</v>
      </c>
      <c r="C8" s="6" t="s">
        <v>706</v>
      </c>
    </row>
    <row r="9" spans="1:3" x14ac:dyDescent="0.3">
      <c r="A9" s="6" t="s">
        <v>599</v>
      </c>
      <c r="B9" s="94">
        <v>103000</v>
      </c>
      <c r="C9" s="6"/>
    </row>
    <row r="10" spans="1:3" x14ac:dyDescent="0.3">
      <c r="A10" s="6" t="s">
        <v>591</v>
      </c>
      <c r="B10" s="94">
        <f>SUM(B4:B6)*0.1</f>
        <v>149900</v>
      </c>
      <c r="C10" s="6" t="s">
        <v>707</v>
      </c>
    </row>
    <row r="11" spans="1:3" x14ac:dyDescent="0.3">
      <c r="A11" s="6"/>
      <c r="B11" s="6"/>
      <c r="C11" s="6"/>
    </row>
    <row r="12" spans="1:3" x14ac:dyDescent="0.3">
      <c r="A12" s="96" t="s">
        <v>86</v>
      </c>
      <c r="B12" s="97">
        <f>SUM(B4:B10)</f>
        <v>1964900</v>
      </c>
      <c r="C12" s="6"/>
    </row>
    <row r="13" spans="1:3" x14ac:dyDescent="0.3">
      <c r="A13" s="6"/>
      <c r="B13" s="6"/>
      <c r="C13" s="6"/>
    </row>
    <row r="14" spans="1:3" x14ac:dyDescent="0.3">
      <c r="A14" s="6"/>
      <c r="B14" s="6"/>
      <c r="C14" s="6"/>
    </row>
    <row r="15" spans="1:3" x14ac:dyDescent="0.3">
      <c r="A15" s="6"/>
      <c r="B15" s="6"/>
      <c r="C15" s="6"/>
    </row>
    <row r="16" spans="1:3" x14ac:dyDescent="0.3">
      <c r="A16" s="6"/>
      <c r="B16" s="6"/>
      <c r="C16" s="6"/>
    </row>
    <row r="17" spans="1:3" x14ac:dyDescent="0.3">
      <c r="A17" s="6"/>
      <c r="B17" s="6"/>
      <c r="C17" s="6"/>
    </row>
    <row r="18" spans="1:3" x14ac:dyDescent="0.3">
      <c r="A18" s="6"/>
      <c r="B18" s="6"/>
      <c r="C18" s="6"/>
    </row>
    <row r="19" spans="1:3" x14ac:dyDescent="0.3">
      <c r="A19" s="6"/>
      <c r="B19" s="6"/>
      <c r="C19" s="6"/>
    </row>
    <row r="20" spans="1:3" x14ac:dyDescent="0.3">
      <c r="A20" s="6"/>
      <c r="B20" s="6"/>
      <c r="C20" s="6"/>
    </row>
    <row r="21" spans="1:3" x14ac:dyDescent="0.3">
      <c r="A21" s="6"/>
      <c r="B21" s="6"/>
      <c r="C21" s="6"/>
    </row>
    <row r="22" spans="1:3" x14ac:dyDescent="0.3">
      <c r="A22" s="6"/>
      <c r="B22" s="6"/>
      <c r="C22" s="6"/>
    </row>
    <row r="23" spans="1:3" x14ac:dyDescent="0.3">
      <c r="A23" s="6"/>
      <c r="B23" s="6"/>
      <c r="C23" s="6"/>
    </row>
    <row r="24" spans="1:3" x14ac:dyDescent="0.3">
      <c r="A24" s="6"/>
      <c r="B24" s="6"/>
      <c r="C24" s="6"/>
    </row>
    <row r="25" spans="1:3" x14ac:dyDescent="0.3">
      <c r="A25" s="6"/>
      <c r="B25" s="6"/>
      <c r="C25" s="6"/>
    </row>
    <row r="26" spans="1:3" x14ac:dyDescent="0.3">
      <c r="A26" s="6"/>
      <c r="B26" s="6"/>
      <c r="C26" s="6"/>
    </row>
    <row r="27" spans="1:3" x14ac:dyDescent="0.3">
      <c r="A27" s="6"/>
      <c r="B27" s="6"/>
      <c r="C27" s="6"/>
    </row>
    <row r="28" spans="1:3" x14ac:dyDescent="0.3">
      <c r="A28" s="6"/>
      <c r="B28" s="6"/>
      <c r="C28" s="6"/>
    </row>
    <row r="29" spans="1:3" x14ac:dyDescent="0.3">
      <c r="A29" s="6"/>
      <c r="B29" s="6"/>
      <c r="C29" s="6"/>
    </row>
    <row r="30" spans="1:3" x14ac:dyDescent="0.3">
      <c r="A30" s="6"/>
      <c r="B30" s="6"/>
      <c r="C30" s="6"/>
    </row>
    <row r="31" spans="1:3" x14ac:dyDescent="0.3">
      <c r="A31" s="6"/>
      <c r="B31" s="6"/>
      <c r="C31" s="6"/>
    </row>
    <row r="32" spans="1:3" x14ac:dyDescent="0.3">
      <c r="A32" s="6"/>
      <c r="B32" s="6"/>
      <c r="C32" s="6"/>
    </row>
    <row r="33" spans="1:3" x14ac:dyDescent="0.3">
      <c r="A33" s="6"/>
      <c r="B33" s="6"/>
      <c r="C33" s="6"/>
    </row>
    <row r="34" spans="1:3" x14ac:dyDescent="0.3">
      <c r="A34" s="6"/>
      <c r="B34" s="6"/>
      <c r="C34" s="6"/>
    </row>
    <row r="35" spans="1:3" x14ac:dyDescent="0.3">
      <c r="A35" s="6"/>
      <c r="B35" s="6"/>
      <c r="C35" s="6"/>
    </row>
    <row r="36" spans="1:3" x14ac:dyDescent="0.3">
      <c r="A36" s="6"/>
      <c r="B36" s="6"/>
      <c r="C36" s="6"/>
    </row>
    <row r="37" spans="1:3" x14ac:dyDescent="0.3">
      <c r="A37" s="6"/>
      <c r="B37" s="6"/>
      <c r="C37" s="6"/>
    </row>
    <row r="38" spans="1:3" x14ac:dyDescent="0.3">
      <c r="A38" s="6"/>
      <c r="B38" s="6"/>
      <c r="C38" s="6"/>
    </row>
    <row r="39" spans="1:3" x14ac:dyDescent="0.3">
      <c r="A39" s="6"/>
      <c r="B39" s="6"/>
      <c r="C39" s="6"/>
    </row>
    <row r="40" spans="1:3" x14ac:dyDescent="0.3">
      <c r="A40" s="6"/>
      <c r="B40" s="6"/>
      <c r="C40" s="6"/>
    </row>
    <row r="41" spans="1:3" x14ac:dyDescent="0.3">
      <c r="A41" s="6"/>
      <c r="B41" s="6"/>
      <c r="C41" s="6"/>
    </row>
    <row r="42" spans="1:3" x14ac:dyDescent="0.3">
      <c r="A42" s="6"/>
      <c r="B42" s="6"/>
      <c r="C42" s="6"/>
    </row>
    <row r="43" spans="1:3" x14ac:dyDescent="0.3">
      <c r="A43" s="6"/>
      <c r="B43" s="6"/>
      <c r="C43" s="6"/>
    </row>
    <row r="44" spans="1:3" x14ac:dyDescent="0.3">
      <c r="A44" s="6"/>
      <c r="B44" s="6"/>
      <c r="C44" s="6"/>
    </row>
    <row r="45" spans="1:3" x14ac:dyDescent="0.3">
      <c r="A45" s="6"/>
      <c r="B45" s="6"/>
      <c r="C45" s="6"/>
    </row>
    <row r="46" spans="1:3" x14ac:dyDescent="0.3">
      <c r="A46" s="6"/>
      <c r="B46" s="6"/>
      <c r="C46" s="6"/>
    </row>
    <row r="47" spans="1:3" x14ac:dyDescent="0.3">
      <c r="A47" s="6"/>
      <c r="B47" s="6"/>
      <c r="C47" s="6"/>
    </row>
    <row r="48" spans="1:3" x14ac:dyDescent="0.3">
      <c r="A48" s="6"/>
      <c r="B48" s="6"/>
      <c r="C48" s="6"/>
    </row>
    <row r="49" spans="1:3" x14ac:dyDescent="0.3">
      <c r="A49" s="6"/>
      <c r="B49" s="6"/>
      <c r="C49" s="6"/>
    </row>
    <row r="50" spans="1:3" x14ac:dyDescent="0.3">
      <c r="A50" s="6"/>
      <c r="B50" s="6"/>
      <c r="C50" s="6"/>
    </row>
    <row r="51" spans="1:3" x14ac:dyDescent="0.3">
      <c r="A51" s="6"/>
      <c r="B51" s="6"/>
      <c r="C51" s="6"/>
    </row>
    <row r="52" spans="1:3" x14ac:dyDescent="0.3">
      <c r="A52" s="6"/>
      <c r="B52" s="6"/>
      <c r="C52" s="6"/>
    </row>
    <row r="53" spans="1:3" x14ac:dyDescent="0.3">
      <c r="A53" s="6"/>
      <c r="B53" s="6"/>
      <c r="C53" s="6"/>
    </row>
    <row r="54" spans="1:3" x14ac:dyDescent="0.3">
      <c r="A54" s="6"/>
      <c r="B54" s="6"/>
      <c r="C54" s="6"/>
    </row>
    <row r="55" spans="1:3" x14ac:dyDescent="0.3">
      <c r="A55" s="6"/>
      <c r="B55" s="6"/>
      <c r="C55" s="6"/>
    </row>
    <row r="56" spans="1:3" x14ac:dyDescent="0.3">
      <c r="A56" s="6"/>
      <c r="B56" s="6"/>
      <c r="C56" s="6"/>
    </row>
    <row r="57" spans="1:3" x14ac:dyDescent="0.3">
      <c r="A57" s="6"/>
      <c r="B57" s="6"/>
      <c r="C57" s="6"/>
    </row>
    <row r="58" spans="1:3" x14ac:dyDescent="0.3">
      <c r="A58" s="6"/>
      <c r="B58" s="6"/>
      <c r="C58" s="6"/>
    </row>
    <row r="59" spans="1:3" x14ac:dyDescent="0.3">
      <c r="A59" s="6"/>
      <c r="B59" s="6"/>
      <c r="C59" s="6"/>
    </row>
    <row r="60" spans="1:3" x14ac:dyDescent="0.3">
      <c r="A60" s="6"/>
      <c r="B60" s="6"/>
      <c r="C60" s="6"/>
    </row>
    <row r="61" spans="1:3" x14ac:dyDescent="0.3">
      <c r="A61" s="6"/>
      <c r="B61" s="6"/>
      <c r="C61" s="6"/>
    </row>
    <row r="62" spans="1:3" x14ac:dyDescent="0.3">
      <c r="A62" s="6"/>
      <c r="B62" s="6"/>
      <c r="C62" s="6"/>
    </row>
    <row r="63" spans="1:3" x14ac:dyDescent="0.3">
      <c r="A63" s="6"/>
      <c r="B63" s="6"/>
      <c r="C63" s="6"/>
    </row>
    <row r="64" spans="1:3" x14ac:dyDescent="0.3">
      <c r="A64" s="6"/>
      <c r="B64" s="6"/>
      <c r="C64" s="6"/>
    </row>
    <row r="65" spans="1:3" x14ac:dyDescent="0.3">
      <c r="A65" s="6"/>
      <c r="B65" s="6"/>
      <c r="C65" s="6"/>
    </row>
    <row r="66" spans="1:3" x14ac:dyDescent="0.3">
      <c r="A66" s="6"/>
      <c r="B66" s="6"/>
      <c r="C66" s="6"/>
    </row>
    <row r="67" spans="1:3" x14ac:dyDescent="0.3">
      <c r="A67" s="6"/>
      <c r="B67" s="6"/>
      <c r="C67" s="6"/>
    </row>
    <row r="68" spans="1:3" x14ac:dyDescent="0.3">
      <c r="A68" s="6"/>
      <c r="B68" s="6"/>
      <c r="C68" s="6"/>
    </row>
    <row r="69" spans="1:3" x14ac:dyDescent="0.3">
      <c r="A69" s="6"/>
      <c r="B69" s="6"/>
      <c r="C69" s="6"/>
    </row>
    <row r="70" spans="1:3" x14ac:dyDescent="0.3">
      <c r="A70" s="6"/>
      <c r="B70" s="6"/>
      <c r="C70" s="6"/>
    </row>
    <row r="71" spans="1:3" x14ac:dyDescent="0.3">
      <c r="A71" s="6"/>
      <c r="B71" s="6"/>
      <c r="C71" s="6"/>
    </row>
    <row r="72" spans="1:3" x14ac:dyDescent="0.3">
      <c r="A72" s="6"/>
      <c r="B72" s="6"/>
      <c r="C72" s="6"/>
    </row>
    <row r="73" spans="1:3" x14ac:dyDescent="0.3">
      <c r="A73" s="6"/>
      <c r="B73" s="6"/>
      <c r="C73" s="6"/>
    </row>
    <row r="74" spans="1:3" x14ac:dyDescent="0.3">
      <c r="A74" s="6"/>
      <c r="B74" s="6"/>
      <c r="C74" s="6"/>
    </row>
    <row r="75" spans="1:3" x14ac:dyDescent="0.3">
      <c r="A75" s="6"/>
      <c r="B75" s="6"/>
      <c r="C75" s="6"/>
    </row>
    <row r="76" spans="1:3" x14ac:dyDescent="0.3">
      <c r="A76" s="6"/>
      <c r="B76" s="6"/>
      <c r="C76" s="6"/>
    </row>
    <row r="77" spans="1:3" x14ac:dyDescent="0.3">
      <c r="A77" s="6"/>
      <c r="B77" s="6"/>
      <c r="C77" s="6"/>
    </row>
    <row r="78" spans="1:3" x14ac:dyDescent="0.3">
      <c r="A78" s="6"/>
      <c r="B78" s="6"/>
      <c r="C78" s="6"/>
    </row>
    <row r="79" spans="1:3" x14ac:dyDescent="0.3">
      <c r="A79" s="6"/>
      <c r="B79" s="6"/>
      <c r="C79" s="6"/>
    </row>
    <row r="80" spans="1:3" x14ac:dyDescent="0.3">
      <c r="A80" s="6"/>
      <c r="B80" s="6"/>
      <c r="C80" s="6"/>
    </row>
    <row r="81" spans="1:3" x14ac:dyDescent="0.3">
      <c r="A81" s="6"/>
      <c r="B81" s="6"/>
      <c r="C81" s="6"/>
    </row>
    <row r="82" spans="1:3" x14ac:dyDescent="0.3">
      <c r="A82" s="6"/>
      <c r="B82" s="6"/>
      <c r="C82" s="6"/>
    </row>
    <row r="83" spans="1:3" x14ac:dyDescent="0.3">
      <c r="A83" s="6"/>
      <c r="B83" s="6"/>
      <c r="C83" s="6"/>
    </row>
    <row r="84" spans="1:3" x14ac:dyDescent="0.3">
      <c r="A84" s="6"/>
      <c r="B84" s="6"/>
      <c r="C84" s="6"/>
    </row>
    <row r="85" spans="1:3" x14ac:dyDescent="0.3">
      <c r="A85" s="6"/>
      <c r="B85" s="6"/>
      <c r="C85" s="6"/>
    </row>
    <row r="86" spans="1:3" x14ac:dyDescent="0.3">
      <c r="A86" s="6"/>
      <c r="B86" s="6"/>
      <c r="C86" s="6"/>
    </row>
    <row r="87" spans="1:3" x14ac:dyDescent="0.3">
      <c r="A87" s="6"/>
      <c r="B87" s="6"/>
      <c r="C87" s="6"/>
    </row>
    <row r="88" spans="1:3" x14ac:dyDescent="0.3">
      <c r="A88" s="6"/>
      <c r="B88" s="6"/>
      <c r="C88" s="6"/>
    </row>
    <row r="89" spans="1:3" x14ac:dyDescent="0.3">
      <c r="A89" s="6"/>
      <c r="B89" s="6"/>
      <c r="C89" s="6"/>
    </row>
    <row r="90" spans="1:3" x14ac:dyDescent="0.3">
      <c r="A90" s="6"/>
      <c r="B90" s="6"/>
      <c r="C90" s="6"/>
    </row>
    <row r="91" spans="1:3" x14ac:dyDescent="0.3">
      <c r="A91" s="6"/>
      <c r="B91" s="6"/>
      <c r="C91" s="6"/>
    </row>
    <row r="92" spans="1:3" x14ac:dyDescent="0.3">
      <c r="A92" s="6"/>
      <c r="B92" s="6"/>
      <c r="C92" s="6"/>
    </row>
    <row r="93" spans="1:3" x14ac:dyDescent="0.3">
      <c r="A93" s="6"/>
      <c r="B93" s="6"/>
      <c r="C93" s="6"/>
    </row>
    <row r="94" spans="1:3" x14ac:dyDescent="0.3">
      <c r="A94" s="6"/>
      <c r="B94" s="6"/>
      <c r="C94" s="6"/>
    </row>
    <row r="95" spans="1:3" x14ac:dyDescent="0.3">
      <c r="A95" s="6"/>
      <c r="B95" s="6"/>
      <c r="C95" s="6"/>
    </row>
    <row r="96" spans="1:3" x14ac:dyDescent="0.3">
      <c r="A96" s="6"/>
      <c r="B96" s="6"/>
      <c r="C96" s="6"/>
    </row>
    <row r="97" spans="1:3" x14ac:dyDescent="0.3">
      <c r="A97" s="6"/>
      <c r="B97" s="6"/>
      <c r="C97" s="6"/>
    </row>
    <row r="98" spans="1:3" x14ac:dyDescent="0.3">
      <c r="A98" s="6"/>
      <c r="B98" s="6"/>
      <c r="C98" s="6"/>
    </row>
    <row r="99" spans="1:3" x14ac:dyDescent="0.3">
      <c r="A99" s="6"/>
      <c r="B99" s="6"/>
      <c r="C99" s="6"/>
    </row>
    <row r="100" spans="1:3" x14ac:dyDescent="0.3">
      <c r="A100" s="6"/>
      <c r="B100" s="6"/>
      <c r="C100" s="6"/>
    </row>
    <row r="101" spans="1:3" x14ac:dyDescent="0.3">
      <c r="A101" s="6"/>
      <c r="B101" s="6"/>
      <c r="C101" s="6"/>
    </row>
    <row r="102" spans="1:3" x14ac:dyDescent="0.3">
      <c r="A102" s="6"/>
      <c r="B102" s="6"/>
      <c r="C102" s="6"/>
    </row>
    <row r="103" spans="1:3" x14ac:dyDescent="0.3">
      <c r="A103" s="6"/>
      <c r="B103" s="6"/>
      <c r="C103" s="6"/>
    </row>
    <row r="104" spans="1:3" x14ac:dyDescent="0.3">
      <c r="A104" s="6"/>
      <c r="B104" s="6"/>
      <c r="C104" s="6"/>
    </row>
    <row r="105" spans="1:3" x14ac:dyDescent="0.3">
      <c r="A105" s="6"/>
      <c r="B105" s="6"/>
      <c r="C105" s="6"/>
    </row>
    <row r="106" spans="1:3" x14ac:dyDescent="0.3">
      <c r="A106" s="6"/>
      <c r="B106" s="6"/>
      <c r="C106" s="6"/>
    </row>
    <row r="107" spans="1:3" x14ac:dyDescent="0.3">
      <c r="A107" s="6"/>
      <c r="B107" s="6"/>
      <c r="C107" s="6"/>
    </row>
    <row r="108" spans="1:3" x14ac:dyDescent="0.3">
      <c r="A108" s="6"/>
      <c r="B108" s="6"/>
      <c r="C108" s="6"/>
    </row>
    <row r="109" spans="1:3" x14ac:dyDescent="0.3">
      <c r="A109" s="6"/>
      <c r="B109" s="6"/>
      <c r="C109" s="6"/>
    </row>
    <row r="110" spans="1:3" x14ac:dyDescent="0.3">
      <c r="A110" s="6"/>
      <c r="B110" s="6"/>
      <c r="C110" s="6"/>
    </row>
    <row r="111" spans="1:3" x14ac:dyDescent="0.3">
      <c r="A111" s="6"/>
      <c r="B111" s="6"/>
      <c r="C111" s="6"/>
    </row>
    <row r="112" spans="1:3" x14ac:dyDescent="0.3">
      <c r="A112" s="6"/>
      <c r="B112" s="6"/>
      <c r="C112" s="6"/>
    </row>
    <row r="113" spans="1:3" x14ac:dyDescent="0.3">
      <c r="A113" s="6"/>
      <c r="B113" s="6"/>
      <c r="C113" s="6"/>
    </row>
    <row r="114" spans="1:3" x14ac:dyDescent="0.3">
      <c r="A114" s="6"/>
      <c r="B114" s="6"/>
      <c r="C114" s="6"/>
    </row>
    <row r="115" spans="1:3" x14ac:dyDescent="0.3">
      <c r="A115" s="6"/>
      <c r="B115" s="6"/>
      <c r="C115" s="6"/>
    </row>
    <row r="116" spans="1:3" x14ac:dyDescent="0.3">
      <c r="A116" s="6"/>
      <c r="B116" s="6"/>
      <c r="C116" s="6"/>
    </row>
    <row r="117" spans="1:3" x14ac:dyDescent="0.3">
      <c r="A117" s="6"/>
      <c r="B117" s="6"/>
      <c r="C117" s="6"/>
    </row>
    <row r="118" spans="1:3" x14ac:dyDescent="0.3">
      <c r="A118" s="6"/>
      <c r="B118" s="6"/>
      <c r="C118" s="6"/>
    </row>
    <row r="119" spans="1:3" x14ac:dyDescent="0.3">
      <c r="A119" s="6"/>
      <c r="B119" s="6"/>
      <c r="C119" s="6"/>
    </row>
    <row r="120" spans="1:3" x14ac:dyDescent="0.3">
      <c r="A120" s="6"/>
      <c r="B120" s="6"/>
      <c r="C120" s="6"/>
    </row>
    <row r="121" spans="1:3" x14ac:dyDescent="0.3">
      <c r="A121" s="6"/>
      <c r="B121" s="6"/>
      <c r="C121" s="6"/>
    </row>
    <row r="122" spans="1:3" x14ac:dyDescent="0.3">
      <c r="A122" s="6"/>
      <c r="B122" s="6"/>
      <c r="C122" s="6"/>
    </row>
    <row r="123" spans="1:3" x14ac:dyDescent="0.3">
      <c r="A123" s="6"/>
      <c r="B123" s="6"/>
      <c r="C123" s="6"/>
    </row>
    <row r="124" spans="1:3" x14ac:dyDescent="0.3">
      <c r="A124" s="6"/>
      <c r="B124" s="6"/>
      <c r="C124" s="6"/>
    </row>
    <row r="125" spans="1:3" x14ac:dyDescent="0.3">
      <c r="A125" s="6"/>
      <c r="B125" s="6"/>
      <c r="C125" s="6"/>
    </row>
    <row r="126" spans="1:3" x14ac:dyDescent="0.3">
      <c r="A126" s="6"/>
      <c r="B126" s="6"/>
      <c r="C126" s="6"/>
    </row>
    <row r="127" spans="1:3" x14ac:dyDescent="0.3">
      <c r="A127" s="6"/>
      <c r="B127" s="6"/>
      <c r="C127" s="6"/>
    </row>
    <row r="128" spans="1:3" x14ac:dyDescent="0.3">
      <c r="A128" s="6"/>
      <c r="B128" s="6"/>
      <c r="C128" s="6"/>
    </row>
    <row r="129" spans="1:3" x14ac:dyDescent="0.3">
      <c r="A129" s="6"/>
      <c r="B129" s="6"/>
      <c r="C129" s="6"/>
    </row>
    <row r="130" spans="1:3" x14ac:dyDescent="0.3">
      <c r="A130" s="6"/>
      <c r="B130" s="6"/>
      <c r="C130" s="6"/>
    </row>
    <row r="131" spans="1:3" x14ac:dyDescent="0.3">
      <c r="A131" s="6"/>
      <c r="B131" s="6"/>
      <c r="C131" s="6"/>
    </row>
    <row r="132" spans="1:3" x14ac:dyDescent="0.3">
      <c r="A132" s="6"/>
      <c r="B132" s="6"/>
      <c r="C132" s="6"/>
    </row>
    <row r="133" spans="1:3" x14ac:dyDescent="0.3">
      <c r="A133" s="6"/>
      <c r="B133" s="6"/>
      <c r="C133" s="6"/>
    </row>
    <row r="134" spans="1:3" x14ac:dyDescent="0.3">
      <c r="A134" s="6"/>
      <c r="B134" s="6"/>
      <c r="C134" s="6"/>
    </row>
    <row r="135" spans="1:3" x14ac:dyDescent="0.3">
      <c r="A135" s="6"/>
      <c r="B135" s="6"/>
      <c r="C135" s="6"/>
    </row>
    <row r="136" spans="1:3" x14ac:dyDescent="0.3">
      <c r="A136" s="6"/>
      <c r="B136" s="6"/>
      <c r="C136" s="6"/>
    </row>
    <row r="137" spans="1:3" x14ac:dyDescent="0.3">
      <c r="A137" s="6"/>
      <c r="B137" s="6"/>
      <c r="C137" s="6"/>
    </row>
    <row r="138" spans="1:3" x14ac:dyDescent="0.3">
      <c r="A138" s="6"/>
      <c r="B138" s="6"/>
      <c r="C138" s="6"/>
    </row>
    <row r="139" spans="1:3" x14ac:dyDescent="0.3">
      <c r="A139" s="6"/>
      <c r="B139" s="6"/>
      <c r="C139" s="6"/>
    </row>
    <row r="140" spans="1:3" x14ac:dyDescent="0.3">
      <c r="A140" s="6"/>
      <c r="B140" s="6"/>
      <c r="C140" s="6"/>
    </row>
    <row r="141" spans="1:3" x14ac:dyDescent="0.3">
      <c r="A141" s="6"/>
      <c r="B141" s="6"/>
      <c r="C141" s="6"/>
    </row>
    <row r="142" spans="1:3" x14ac:dyDescent="0.3">
      <c r="A142" s="6"/>
      <c r="B142" s="6"/>
      <c r="C142" s="6"/>
    </row>
    <row r="143" spans="1:3" x14ac:dyDescent="0.3">
      <c r="A143" s="6"/>
      <c r="B143" s="6"/>
      <c r="C143" s="6"/>
    </row>
    <row r="144" spans="1:3" x14ac:dyDescent="0.3">
      <c r="A144" s="6"/>
      <c r="B144" s="6"/>
      <c r="C144" s="6"/>
    </row>
    <row r="145" spans="1:3" x14ac:dyDescent="0.3">
      <c r="A145" s="6"/>
      <c r="B145" s="6"/>
      <c r="C145" s="6"/>
    </row>
    <row r="146" spans="1:3" x14ac:dyDescent="0.3">
      <c r="A146" s="6"/>
      <c r="B146" s="6"/>
      <c r="C146" s="6"/>
    </row>
    <row r="147" spans="1:3" x14ac:dyDescent="0.3">
      <c r="A147" s="6"/>
      <c r="B147" s="6"/>
      <c r="C147" s="6"/>
    </row>
    <row r="148" spans="1:3" x14ac:dyDescent="0.3">
      <c r="A148" s="6"/>
      <c r="B148" s="6"/>
      <c r="C148" s="6"/>
    </row>
    <row r="149" spans="1:3" x14ac:dyDescent="0.3">
      <c r="A149" s="6"/>
      <c r="B149" s="6"/>
      <c r="C149" s="6"/>
    </row>
    <row r="150" spans="1:3" x14ac:dyDescent="0.3">
      <c r="A150" s="6"/>
      <c r="B150" s="6"/>
      <c r="C150" s="6"/>
    </row>
    <row r="151" spans="1:3" x14ac:dyDescent="0.3">
      <c r="A151" s="6"/>
      <c r="B151" s="6"/>
      <c r="C151" s="6"/>
    </row>
    <row r="152" spans="1:3" x14ac:dyDescent="0.3">
      <c r="A152" s="6"/>
      <c r="B152" s="6"/>
      <c r="C152" s="6"/>
    </row>
    <row r="153" spans="1:3" x14ac:dyDescent="0.3">
      <c r="A153" s="6"/>
      <c r="B153" s="6"/>
      <c r="C153" s="6"/>
    </row>
    <row r="154" spans="1:3" x14ac:dyDescent="0.3">
      <c r="A154" s="6"/>
      <c r="B154" s="6"/>
      <c r="C154" s="6"/>
    </row>
    <row r="155" spans="1:3" x14ac:dyDescent="0.3">
      <c r="A155" s="6"/>
      <c r="B155" s="6"/>
      <c r="C155" s="6"/>
    </row>
    <row r="156" spans="1:3" x14ac:dyDescent="0.3">
      <c r="A156" s="6"/>
      <c r="B156" s="6"/>
      <c r="C156" s="6"/>
    </row>
    <row r="157" spans="1:3" x14ac:dyDescent="0.3">
      <c r="A157" s="6"/>
      <c r="B157" s="6"/>
      <c r="C157" s="6"/>
    </row>
    <row r="158" spans="1:3" x14ac:dyDescent="0.3">
      <c r="A158" s="6"/>
      <c r="B158" s="6"/>
      <c r="C158" s="6"/>
    </row>
    <row r="159" spans="1:3" x14ac:dyDescent="0.3">
      <c r="A159" s="6"/>
      <c r="B159" s="6"/>
      <c r="C159" s="6"/>
    </row>
    <row r="160" spans="1:3" x14ac:dyDescent="0.3">
      <c r="A160" s="6"/>
      <c r="B160" s="6"/>
      <c r="C160" s="6"/>
    </row>
    <row r="161" spans="1:3" x14ac:dyDescent="0.3">
      <c r="A161" s="6"/>
      <c r="B161" s="6"/>
      <c r="C161" s="6"/>
    </row>
    <row r="162" spans="1:3" x14ac:dyDescent="0.3">
      <c r="A162" s="6"/>
      <c r="B162" s="6"/>
      <c r="C162" s="6"/>
    </row>
    <row r="163" spans="1:3" x14ac:dyDescent="0.3">
      <c r="A163" s="6"/>
      <c r="B163" s="6"/>
      <c r="C163" s="6"/>
    </row>
    <row r="164" spans="1:3" x14ac:dyDescent="0.3">
      <c r="A164" s="6"/>
      <c r="B164" s="6"/>
      <c r="C164" s="6"/>
    </row>
    <row r="165" spans="1:3" x14ac:dyDescent="0.3">
      <c r="A165" s="6"/>
      <c r="B165" s="6"/>
      <c r="C165" s="6"/>
    </row>
    <row r="166" spans="1:3" x14ac:dyDescent="0.3">
      <c r="A166" s="6"/>
      <c r="B166" s="6"/>
      <c r="C166" s="6"/>
    </row>
    <row r="167" spans="1:3" x14ac:dyDescent="0.3">
      <c r="A167" s="6"/>
      <c r="B167" s="6"/>
      <c r="C167" s="6"/>
    </row>
    <row r="168" spans="1:3" x14ac:dyDescent="0.3">
      <c r="A168" s="6"/>
      <c r="B168" s="6"/>
      <c r="C168" s="6"/>
    </row>
    <row r="169" spans="1:3" x14ac:dyDescent="0.3">
      <c r="A169" s="6"/>
      <c r="B169" s="6"/>
      <c r="C169" s="6"/>
    </row>
    <row r="170" spans="1:3" x14ac:dyDescent="0.3">
      <c r="A170" s="6"/>
      <c r="B170" s="6"/>
      <c r="C170" s="6"/>
    </row>
    <row r="171" spans="1:3" x14ac:dyDescent="0.3">
      <c r="A171" s="6"/>
      <c r="B171" s="6"/>
      <c r="C171" s="6"/>
    </row>
    <row r="172" spans="1:3" x14ac:dyDescent="0.3">
      <c r="A172" s="6"/>
      <c r="B172" s="6"/>
      <c r="C172" s="6"/>
    </row>
    <row r="173" spans="1:3" x14ac:dyDescent="0.3">
      <c r="A173" s="6"/>
      <c r="B173" s="6"/>
      <c r="C173" s="6"/>
    </row>
    <row r="174" spans="1:3" x14ac:dyDescent="0.3">
      <c r="A174" s="6"/>
      <c r="B174" s="6"/>
      <c r="C174" s="6"/>
    </row>
    <row r="175" spans="1:3" x14ac:dyDescent="0.3">
      <c r="A175" s="6"/>
      <c r="B175" s="6"/>
      <c r="C175" s="6"/>
    </row>
    <row r="176" spans="1:3" x14ac:dyDescent="0.3">
      <c r="A176" s="6"/>
      <c r="B176" s="6"/>
      <c r="C176" s="6"/>
    </row>
    <row r="177" spans="1:3" x14ac:dyDescent="0.3">
      <c r="A177" s="6"/>
      <c r="B177" s="6"/>
      <c r="C177" s="6"/>
    </row>
    <row r="178" spans="1:3" x14ac:dyDescent="0.3">
      <c r="A178" s="6"/>
      <c r="B178" s="6"/>
      <c r="C178" s="6"/>
    </row>
    <row r="179" spans="1:3" x14ac:dyDescent="0.3">
      <c r="A179" s="6"/>
      <c r="B179" s="6"/>
      <c r="C179" s="6"/>
    </row>
    <row r="180" spans="1:3" x14ac:dyDescent="0.3">
      <c r="A180" s="6"/>
      <c r="B180" s="6"/>
      <c r="C180" s="6"/>
    </row>
    <row r="181" spans="1:3" x14ac:dyDescent="0.3">
      <c r="A181" s="6"/>
      <c r="B181" s="6"/>
      <c r="C181" s="6"/>
    </row>
    <row r="182" spans="1:3" x14ac:dyDescent="0.3">
      <c r="A182" s="6"/>
      <c r="B182" s="6"/>
      <c r="C182" s="6"/>
    </row>
    <row r="183" spans="1:3" x14ac:dyDescent="0.3">
      <c r="A183" s="6"/>
      <c r="B183" s="6"/>
      <c r="C183" s="6"/>
    </row>
    <row r="184" spans="1:3" x14ac:dyDescent="0.3">
      <c r="A184" s="6"/>
      <c r="B184" s="6"/>
      <c r="C184" s="6"/>
    </row>
    <row r="185" spans="1:3" x14ac:dyDescent="0.3">
      <c r="A185" s="6"/>
      <c r="B185" s="6"/>
      <c r="C185" s="6"/>
    </row>
    <row r="186" spans="1:3" x14ac:dyDescent="0.3">
      <c r="A186" s="6"/>
      <c r="B186" s="6"/>
      <c r="C186" s="6"/>
    </row>
    <row r="187" spans="1:3" x14ac:dyDescent="0.3">
      <c r="A187" s="6"/>
      <c r="B187" s="6"/>
      <c r="C187" s="6"/>
    </row>
    <row r="188" spans="1:3" x14ac:dyDescent="0.3">
      <c r="A188" s="6"/>
      <c r="B188" s="6"/>
      <c r="C188" s="6"/>
    </row>
    <row r="189" spans="1:3" x14ac:dyDescent="0.3">
      <c r="A189" s="6"/>
      <c r="B189" s="6"/>
      <c r="C189" s="6"/>
    </row>
    <row r="190" spans="1:3" x14ac:dyDescent="0.3">
      <c r="A190" s="6"/>
      <c r="B190" s="6"/>
      <c r="C190" s="6"/>
    </row>
    <row r="191" spans="1:3" x14ac:dyDescent="0.3">
      <c r="A191" s="6"/>
      <c r="B191" s="6"/>
      <c r="C191" s="6"/>
    </row>
    <row r="192" spans="1:3" x14ac:dyDescent="0.3">
      <c r="A192" s="6"/>
      <c r="B192" s="6"/>
      <c r="C192" s="6"/>
    </row>
    <row r="193" spans="1:3" x14ac:dyDescent="0.3">
      <c r="A193" s="6"/>
      <c r="B193" s="6"/>
      <c r="C193" s="6"/>
    </row>
    <row r="194" spans="1:3" x14ac:dyDescent="0.3">
      <c r="A194" s="6"/>
      <c r="B194" s="6"/>
      <c r="C194" s="6"/>
    </row>
    <row r="195" spans="1:3" x14ac:dyDescent="0.3">
      <c r="A195" s="6"/>
      <c r="B195" s="6"/>
      <c r="C195" s="6"/>
    </row>
    <row r="196" spans="1:3" x14ac:dyDescent="0.3">
      <c r="A196" s="6"/>
      <c r="B196" s="6"/>
      <c r="C196" s="6"/>
    </row>
    <row r="197" spans="1:3" x14ac:dyDescent="0.3">
      <c r="A197" s="6"/>
      <c r="B197" s="6"/>
      <c r="C197" s="6"/>
    </row>
    <row r="198" spans="1:3" x14ac:dyDescent="0.3">
      <c r="A198" s="6"/>
      <c r="B198" s="6"/>
      <c r="C198" s="6"/>
    </row>
    <row r="199" spans="1:3" x14ac:dyDescent="0.3">
      <c r="A199" s="6"/>
      <c r="B199" s="6"/>
      <c r="C199" s="6"/>
    </row>
    <row r="200" spans="1:3" x14ac:dyDescent="0.3">
      <c r="A200" s="6"/>
      <c r="B200" s="6"/>
      <c r="C200" s="6"/>
    </row>
    <row r="201" spans="1:3" x14ac:dyDescent="0.3">
      <c r="A201" s="6"/>
      <c r="B201" s="6"/>
      <c r="C201" s="6"/>
    </row>
    <row r="202" spans="1:3" x14ac:dyDescent="0.3">
      <c r="A202" s="6"/>
      <c r="B202" s="6"/>
      <c r="C202" s="6"/>
    </row>
    <row r="203" spans="1:3" x14ac:dyDescent="0.3">
      <c r="A203" s="6"/>
      <c r="B203" s="6"/>
      <c r="C203" s="6"/>
    </row>
    <row r="204" spans="1:3" x14ac:dyDescent="0.3">
      <c r="A204" s="6"/>
      <c r="B204" s="6"/>
      <c r="C204" s="6"/>
    </row>
    <row r="205" spans="1:3" x14ac:dyDescent="0.3">
      <c r="A205" s="6"/>
      <c r="B205" s="6"/>
      <c r="C205" s="6"/>
    </row>
    <row r="206" spans="1:3" x14ac:dyDescent="0.3">
      <c r="A206" s="6"/>
      <c r="B206" s="6"/>
      <c r="C206" s="6"/>
    </row>
    <row r="207" spans="1:3" x14ac:dyDescent="0.3">
      <c r="A207" s="6"/>
      <c r="B207" s="6"/>
      <c r="C207" s="6"/>
    </row>
    <row r="208" spans="1:3" x14ac:dyDescent="0.3">
      <c r="A208" s="6"/>
      <c r="B208" s="6"/>
      <c r="C208" s="6"/>
    </row>
    <row r="209" spans="1:3" x14ac:dyDescent="0.3">
      <c r="A209" s="6"/>
      <c r="B209" s="6"/>
      <c r="C209" s="6"/>
    </row>
    <row r="210" spans="1:3" x14ac:dyDescent="0.3">
      <c r="A210" s="6"/>
      <c r="B210" s="6"/>
      <c r="C210" s="6"/>
    </row>
    <row r="211" spans="1:3" x14ac:dyDescent="0.3">
      <c r="A211" s="6"/>
      <c r="B211" s="6"/>
      <c r="C211" s="6"/>
    </row>
    <row r="212" spans="1:3" x14ac:dyDescent="0.3">
      <c r="A212" s="6"/>
      <c r="B212" s="6"/>
      <c r="C212" s="6"/>
    </row>
    <row r="213" spans="1:3" x14ac:dyDescent="0.3">
      <c r="A213" s="6"/>
      <c r="B213" s="6"/>
      <c r="C213" s="6"/>
    </row>
    <row r="214" spans="1:3" x14ac:dyDescent="0.3">
      <c r="A214" s="6"/>
      <c r="B214" s="6"/>
      <c r="C214" s="6"/>
    </row>
    <row r="215" spans="1:3" x14ac:dyDescent="0.3">
      <c r="A215" s="6"/>
      <c r="B215" s="6"/>
      <c r="C215" s="6"/>
    </row>
    <row r="216" spans="1:3" x14ac:dyDescent="0.3">
      <c r="A216" s="6"/>
      <c r="B216" s="6"/>
      <c r="C216" s="6"/>
    </row>
    <row r="217" spans="1:3" x14ac:dyDescent="0.3">
      <c r="A217" s="6"/>
      <c r="B217" s="6"/>
      <c r="C217" s="6"/>
    </row>
    <row r="218" spans="1:3" x14ac:dyDescent="0.3">
      <c r="A218" s="6"/>
      <c r="B218" s="6"/>
      <c r="C218" s="6"/>
    </row>
    <row r="219" spans="1:3" x14ac:dyDescent="0.3">
      <c r="A219" s="6"/>
      <c r="B219" s="6"/>
      <c r="C219" s="6"/>
    </row>
    <row r="220" spans="1:3" x14ac:dyDescent="0.3">
      <c r="A220" s="6"/>
      <c r="B220" s="6"/>
      <c r="C220" s="6"/>
    </row>
    <row r="221" spans="1:3" x14ac:dyDescent="0.3">
      <c r="A221" s="6"/>
      <c r="B221" s="6"/>
      <c r="C221" s="6"/>
    </row>
    <row r="222" spans="1:3" x14ac:dyDescent="0.3">
      <c r="A222" s="6"/>
      <c r="B222" s="6"/>
      <c r="C222" s="6"/>
    </row>
    <row r="223" spans="1:3" x14ac:dyDescent="0.3">
      <c r="A223" s="6"/>
      <c r="B223" s="6"/>
      <c r="C223" s="6"/>
    </row>
    <row r="224" spans="1:3" x14ac:dyDescent="0.3">
      <c r="A224" s="6"/>
      <c r="B224" s="6"/>
      <c r="C224" s="6"/>
    </row>
    <row r="225" spans="1:3" x14ac:dyDescent="0.3">
      <c r="A225" s="6"/>
      <c r="B225" s="6"/>
      <c r="C225" s="6"/>
    </row>
    <row r="226" spans="1:3" x14ac:dyDescent="0.3">
      <c r="A226" s="6"/>
      <c r="B226" s="6"/>
      <c r="C226" s="6"/>
    </row>
    <row r="227" spans="1:3" x14ac:dyDescent="0.3">
      <c r="A227" s="6"/>
      <c r="B227" s="6"/>
      <c r="C227" s="6"/>
    </row>
    <row r="228" spans="1:3" x14ac:dyDescent="0.3">
      <c r="A228" s="6"/>
      <c r="B228" s="6"/>
      <c r="C228" s="6"/>
    </row>
    <row r="229" spans="1:3" x14ac:dyDescent="0.3">
      <c r="A229" s="6"/>
      <c r="B229" s="6"/>
      <c r="C229" s="6"/>
    </row>
    <row r="230" spans="1:3" x14ac:dyDescent="0.3">
      <c r="A230" s="6"/>
      <c r="B230" s="6"/>
      <c r="C230" s="6"/>
    </row>
    <row r="231" spans="1:3" x14ac:dyDescent="0.3">
      <c r="A231" s="6"/>
      <c r="B231" s="6"/>
      <c r="C231" s="6"/>
    </row>
    <row r="232" spans="1:3" x14ac:dyDescent="0.3">
      <c r="A232" s="6"/>
      <c r="B232" s="6"/>
      <c r="C232" s="6"/>
    </row>
    <row r="233" spans="1:3" x14ac:dyDescent="0.3">
      <c r="A233" s="6"/>
      <c r="B233" s="6"/>
      <c r="C233" s="6"/>
    </row>
    <row r="234" spans="1:3" x14ac:dyDescent="0.3">
      <c r="A234" s="6"/>
      <c r="B234" s="6"/>
      <c r="C234" s="6"/>
    </row>
    <row r="235" spans="1:3" x14ac:dyDescent="0.3">
      <c r="A235" s="6"/>
      <c r="B235" s="6"/>
      <c r="C235" s="6"/>
    </row>
    <row r="236" spans="1:3" x14ac:dyDescent="0.3">
      <c r="A236" s="6"/>
      <c r="B236" s="6"/>
      <c r="C236" s="6"/>
    </row>
    <row r="237" spans="1:3" x14ac:dyDescent="0.3">
      <c r="A237" s="6"/>
      <c r="B237" s="6"/>
      <c r="C237" s="6"/>
    </row>
    <row r="238" spans="1:3" x14ac:dyDescent="0.3">
      <c r="A238" s="6"/>
      <c r="B238" s="6"/>
      <c r="C238" s="6"/>
    </row>
    <row r="239" spans="1:3" x14ac:dyDescent="0.3">
      <c r="A239" s="6"/>
      <c r="B239" s="6"/>
      <c r="C239" s="6"/>
    </row>
    <row r="240" spans="1:3" x14ac:dyDescent="0.3">
      <c r="A240" s="6"/>
      <c r="B240" s="6"/>
      <c r="C240" s="6"/>
    </row>
    <row r="241" spans="1:3" x14ac:dyDescent="0.3">
      <c r="A241" s="6"/>
      <c r="B241" s="6"/>
      <c r="C241" s="6"/>
    </row>
    <row r="242" spans="1:3" x14ac:dyDescent="0.3">
      <c r="A242" s="6"/>
      <c r="B242" s="6"/>
      <c r="C242" s="6"/>
    </row>
    <row r="243" spans="1:3" x14ac:dyDescent="0.3">
      <c r="A243" s="6"/>
      <c r="B243" s="6"/>
      <c r="C243" s="6"/>
    </row>
    <row r="244" spans="1:3" x14ac:dyDescent="0.3">
      <c r="A244" s="6"/>
      <c r="B244" s="6"/>
      <c r="C244" s="6"/>
    </row>
    <row r="245" spans="1:3" x14ac:dyDescent="0.3">
      <c r="A245" s="6"/>
      <c r="B245" s="6"/>
      <c r="C245" s="6"/>
    </row>
    <row r="246" spans="1:3" x14ac:dyDescent="0.3">
      <c r="A246" s="6"/>
      <c r="B246" s="6"/>
      <c r="C246" s="6"/>
    </row>
    <row r="247" spans="1:3" x14ac:dyDescent="0.3">
      <c r="A247" s="6"/>
      <c r="B247" s="6"/>
      <c r="C247" s="6"/>
    </row>
    <row r="248" spans="1:3" x14ac:dyDescent="0.3">
      <c r="A248" s="6"/>
      <c r="B248" s="6"/>
      <c r="C248" s="6"/>
    </row>
    <row r="249" spans="1:3" x14ac:dyDescent="0.3">
      <c r="A249" s="6"/>
      <c r="B249" s="6"/>
      <c r="C249" s="6"/>
    </row>
    <row r="250" spans="1:3" x14ac:dyDescent="0.3">
      <c r="A250" s="6"/>
      <c r="B250" s="6"/>
      <c r="C250" s="6"/>
    </row>
    <row r="251" spans="1:3" x14ac:dyDescent="0.3">
      <c r="A251" s="6"/>
      <c r="B251" s="6"/>
      <c r="C251" s="6"/>
    </row>
    <row r="252" spans="1:3" x14ac:dyDescent="0.3">
      <c r="A252" s="6"/>
      <c r="B252" s="6"/>
      <c r="C252" s="6"/>
    </row>
    <row r="253" spans="1:3" x14ac:dyDescent="0.3">
      <c r="A253" s="6"/>
      <c r="B253" s="6"/>
      <c r="C253" s="6"/>
    </row>
    <row r="254" spans="1:3" x14ac:dyDescent="0.3">
      <c r="A254" s="6"/>
      <c r="B254" s="6"/>
      <c r="C254" s="6"/>
    </row>
    <row r="255" spans="1:3" x14ac:dyDescent="0.3">
      <c r="A255" s="6"/>
      <c r="B255" s="6"/>
      <c r="C255" s="6"/>
    </row>
    <row r="256" spans="1:3" x14ac:dyDescent="0.3">
      <c r="A256" s="6"/>
      <c r="B256" s="6"/>
      <c r="C256" s="6"/>
    </row>
    <row r="257" spans="1:3" x14ac:dyDescent="0.3">
      <c r="A257" s="6"/>
      <c r="B257" s="6"/>
      <c r="C257" s="6"/>
    </row>
    <row r="258" spans="1:3" x14ac:dyDescent="0.3">
      <c r="A258" s="6"/>
      <c r="B258" s="6"/>
      <c r="C258" s="6"/>
    </row>
    <row r="259" spans="1:3" x14ac:dyDescent="0.3">
      <c r="A259" s="6"/>
      <c r="B259" s="6"/>
      <c r="C259" s="6"/>
    </row>
    <row r="260" spans="1:3" x14ac:dyDescent="0.3">
      <c r="A260" s="6"/>
      <c r="B260" s="6"/>
      <c r="C260" s="6"/>
    </row>
    <row r="261" spans="1:3" x14ac:dyDescent="0.3">
      <c r="A261" s="6"/>
      <c r="B261" s="6"/>
      <c r="C261" s="6"/>
    </row>
    <row r="262" spans="1:3" x14ac:dyDescent="0.3">
      <c r="A262" s="6"/>
      <c r="B262" s="6"/>
      <c r="C262" s="6"/>
    </row>
    <row r="263" spans="1:3" x14ac:dyDescent="0.3">
      <c r="A263" s="6"/>
      <c r="B263" s="6"/>
      <c r="C263" s="6"/>
    </row>
    <row r="264" spans="1:3" x14ac:dyDescent="0.3">
      <c r="A264" s="6"/>
      <c r="B264" s="6"/>
      <c r="C264" s="6"/>
    </row>
    <row r="265" spans="1:3" x14ac:dyDescent="0.3">
      <c r="A265" s="6"/>
      <c r="B265" s="6"/>
      <c r="C265" s="6"/>
    </row>
    <row r="266" spans="1:3" x14ac:dyDescent="0.3">
      <c r="A266" s="6"/>
      <c r="B266" s="6"/>
      <c r="C266" s="6"/>
    </row>
    <row r="267" spans="1:3" x14ac:dyDescent="0.3">
      <c r="A267" s="6"/>
      <c r="B267" s="6"/>
      <c r="C267" s="6"/>
    </row>
    <row r="268" spans="1:3" x14ac:dyDescent="0.3">
      <c r="A268" s="6"/>
      <c r="B268" s="6"/>
      <c r="C268" s="6"/>
    </row>
    <row r="269" spans="1:3" x14ac:dyDescent="0.3">
      <c r="A269" s="6"/>
      <c r="B269" s="6"/>
      <c r="C269" s="6"/>
    </row>
    <row r="270" spans="1:3" x14ac:dyDescent="0.3">
      <c r="A270" s="6"/>
      <c r="B270" s="6"/>
      <c r="C270" s="6"/>
    </row>
    <row r="271" spans="1:3" x14ac:dyDescent="0.3">
      <c r="A271" s="6"/>
      <c r="B271" s="6"/>
      <c r="C271" s="6"/>
    </row>
    <row r="272" spans="1:3" x14ac:dyDescent="0.3">
      <c r="A272" s="6"/>
      <c r="B272" s="6"/>
      <c r="C272" s="6"/>
    </row>
    <row r="273" spans="1:3" x14ac:dyDescent="0.3">
      <c r="A273" s="6"/>
      <c r="B273" s="6"/>
      <c r="C273" s="6"/>
    </row>
    <row r="274" spans="1:3" x14ac:dyDescent="0.3">
      <c r="A274" s="6"/>
      <c r="B274" s="6"/>
      <c r="C274" s="6"/>
    </row>
    <row r="275" spans="1:3" x14ac:dyDescent="0.3">
      <c r="A275" s="6"/>
      <c r="B275" s="6"/>
      <c r="C275" s="6"/>
    </row>
    <row r="276" spans="1:3" x14ac:dyDescent="0.3">
      <c r="A276" s="6"/>
      <c r="B276" s="6"/>
      <c r="C276" s="6"/>
    </row>
    <row r="277" spans="1:3" x14ac:dyDescent="0.3">
      <c r="A277" s="6"/>
      <c r="B277" s="6"/>
      <c r="C277" s="6"/>
    </row>
    <row r="278" spans="1:3" x14ac:dyDescent="0.3">
      <c r="A278" s="6"/>
      <c r="B278" s="6"/>
      <c r="C278" s="6"/>
    </row>
    <row r="279" spans="1:3" x14ac:dyDescent="0.3">
      <c r="A279" s="6"/>
      <c r="B279" s="6"/>
      <c r="C279" s="6"/>
    </row>
    <row r="280" spans="1:3" x14ac:dyDescent="0.3">
      <c r="A280" s="6"/>
      <c r="B280" s="6"/>
      <c r="C280" s="6"/>
    </row>
    <row r="281" spans="1:3" x14ac:dyDescent="0.3">
      <c r="A281" s="6"/>
      <c r="B281" s="6"/>
      <c r="C281" s="6"/>
    </row>
    <row r="282" spans="1:3" x14ac:dyDescent="0.3">
      <c r="A282" s="6"/>
      <c r="B282" s="6"/>
      <c r="C282" s="6"/>
    </row>
    <row r="283" spans="1:3" x14ac:dyDescent="0.3">
      <c r="A283" s="6"/>
      <c r="B283" s="6"/>
      <c r="C283" s="6"/>
    </row>
    <row r="284" spans="1:3" x14ac:dyDescent="0.3">
      <c r="A284" s="6"/>
      <c r="B284" s="6"/>
      <c r="C284" s="6"/>
    </row>
    <row r="285" spans="1:3" x14ac:dyDescent="0.3">
      <c r="A285" s="6"/>
      <c r="B285" s="6"/>
      <c r="C285" s="6"/>
    </row>
    <row r="286" spans="1:3" x14ac:dyDescent="0.3">
      <c r="A286" s="6"/>
      <c r="B286" s="6"/>
      <c r="C286" s="6"/>
    </row>
    <row r="287" spans="1:3" x14ac:dyDescent="0.3">
      <c r="A287" s="6"/>
      <c r="B287" s="6"/>
      <c r="C287" s="6"/>
    </row>
    <row r="288" spans="1:3" x14ac:dyDescent="0.3">
      <c r="A288" s="6"/>
      <c r="B288" s="6"/>
      <c r="C288" s="6"/>
    </row>
    <row r="289" spans="1:3" x14ac:dyDescent="0.3">
      <c r="A289" s="6"/>
      <c r="B289" s="6"/>
      <c r="C289" s="6"/>
    </row>
    <row r="290" spans="1:3" x14ac:dyDescent="0.3">
      <c r="A290" s="6"/>
      <c r="B290" s="6"/>
      <c r="C290" s="6"/>
    </row>
    <row r="291" spans="1:3" x14ac:dyDescent="0.3">
      <c r="A291" s="6"/>
      <c r="B291" s="6"/>
      <c r="C291" s="6"/>
    </row>
    <row r="292" spans="1:3" x14ac:dyDescent="0.3">
      <c r="A292" s="6"/>
      <c r="B292" s="6"/>
      <c r="C292" s="6"/>
    </row>
    <row r="293" spans="1:3" x14ac:dyDescent="0.3">
      <c r="A293" s="6"/>
      <c r="B293" s="6"/>
      <c r="C293" s="6"/>
    </row>
    <row r="294" spans="1:3" x14ac:dyDescent="0.3">
      <c r="A294" s="6"/>
      <c r="B294" s="6"/>
      <c r="C294" s="6"/>
    </row>
    <row r="295" spans="1:3" x14ac:dyDescent="0.3">
      <c r="A295" s="6"/>
      <c r="B295" s="6"/>
      <c r="C295" s="6"/>
    </row>
    <row r="296" spans="1:3" x14ac:dyDescent="0.3">
      <c r="A296" s="6"/>
      <c r="B296" s="6"/>
      <c r="C296" s="6"/>
    </row>
    <row r="297" spans="1:3" x14ac:dyDescent="0.3">
      <c r="A297" s="6"/>
      <c r="B297" s="6"/>
      <c r="C297" s="6"/>
    </row>
    <row r="298" spans="1:3" x14ac:dyDescent="0.3">
      <c r="A298" s="6"/>
      <c r="B298" s="6"/>
      <c r="C298" s="6"/>
    </row>
    <row r="299" spans="1:3" x14ac:dyDescent="0.3">
      <c r="A299" s="6"/>
      <c r="B299" s="6"/>
      <c r="C299" s="6"/>
    </row>
    <row r="300" spans="1:3" x14ac:dyDescent="0.3">
      <c r="A300" s="6"/>
      <c r="B300" s="6"/>
      <c r="C300" s="6"/>
    </row>
    <row r="301" spans="1:3" x14ac:dyDescent="0.3">
      <c r="A301" s="6"/>
      <c r="B301" s="6"/>
      <c r="C301" s="6"/>
    </row>
    <row r="302" spans="1:3" x14ac:dyDescent="0.3">
      <c r="A302" s="6"/>
      <c r="B302" s="6"/>
      <c r="C302" s="6"/>
    </row>
    <row r="303" spans="1:3" x14ac:dyDescent="0.3">
      <c r="A303" s="6"/>
      <c r="B303" s="6"/>
      <c r="C303" s="6"/>
    </row>
    <row r="304" spans="1:3" x14ac:dyDescent="0.3">
      <c r="A304" s="6"/>
      <c r="B304" s="6"/>
      <c r="C304" s="6"/>
    </row>
    <row r="305" spans="1:3" x14ac:dyDescent="0.3">
      <c r="A305" s="6"/>
      <c r="B305" s="6"/>
      <c r="C305" s="6"/>
    </row>
    <row r="306" spans="1:3" x14ac:dyDescent="0.3">
      <c r="A306" s="6"/>
      <c r="B306" s="6"/>
      <c r="C306" s="6"/>
    </row>
    <row r="307" spans="1:3" x14ac:dyDescent="0.3">
      <c r="A307" s="6"/>
      <c r="B307" s="6"/>
      <c r="C307" s="6"/>
    </row>
    <row r="308" spans="1:3" x14ac:dyDescent="0.3">
      <c r="A308" s="6"/>
      <c r="B308" s="6"/>
      <c r="C308" s="6"/>
    </row>
    <row r="309" spans="1:3" x14ac:dyDescent="0.3">
      <c r="A309" s="6"/>
      <c r="B309" s="6"/>
      <c r="C309" s="6"/>
    </row>
    <row r="310" spans="1:3" x14ac:dyDescent="0.3">
      <c r="A310" s="6"/>
      <c r="B310" s="6"/>
      <c r="C310" s="6"/>
    </row>
    <row r="311" spans="1:3" x14ac:dyDescent="0.3">
      <c r="A311" s="6"/>
      <c r="B311" s="6"/>
      <c r="C311" s="6"/>
    </row>
    <row r="312" spans="1:3" x14ac:dyDescent="0.3">
      <c r="A312" s="6"/>
      <c r="B312" s="6"/>
      <c r="C312" s="6"/>
    </row>
    <row r="313" spans="1:3" x14ac:dyDescent="0.3">
      <c r="A313" s="6"/>
      <c r="B313" s="6"/>
      <c r="C313" s="6"/>
    </row>
    <row r="314" spans="1:3" x14ac:dyDescent="0.3">
      <c r="A314" s="6"/>
      <c r="B314" s="6"/>
      <c r="C314" s="6"/>
    </row>
    <row r="315" spans="1:3" x14ac:dyDescent="0.3">
      <c r="A315" s="6"/>
      <c r="B315" s="6"/>
      <c r="C315" s="6"/>
    </row>
    <row r="316" spans="1:3" x14ac:dyDescent="0.3">
      <c r="A316" s="6"/>
      <c r="B316" s="6"/>
      <c r="C316" s="6"/>
    </row>
    <row r="317" spans="1:3" x14ac:dyDescent="0.3">
      <c r="A317" s="6"/>
      <c r="B317" s="6"/>
      <c r="C317" s="6"/>
    </row>
    <row r="318" spans="1:3" x14ac:dyDescent="0.3">
      <c r="A318" s="6"/>
      <c r="B318" s="6"/>
      <c r="C318" s="6"/>
    </row>
    <row r="319" spans="1:3" x14ac:dyDescent="0.3">
      <c r="A319" s="6"/>
      <c r="B319" s="6"/>
      <c r="C319" s="6"/>
    </row>
    <row r="320" spans="1:3" x14ac:dyDescent="0.3">
      <c r="A320" s="6"/>
      <c r="B320" s="6"/>
      <c r="C320" s="6"/>
    </row>
    <row r="321" spans="1:3" x14ac:dyDescent="0.3">
      <c r="A321" s="6"/>
      <c r="B321" s="6"/>
      <c r="C321" s="6"/>
    </row>
    <row r="322" spans="1:3" x14ac:dyDescent="0.3">
      <c r="A322" s="6"/>
      <c r="B322" s="6"/>
      <c r="C322" s="6"/>
    </row>
    <row r="323" spans="1:3" x14ac:dyDescent="0.3">
      <c r="A323" s="6"/>
      <c r="B323" s="6"/>
      <c r="C323" s="6"/>
    </row>
    <row r="324" spans="1:3" x14ac:dyDescent="0.3">
      <c r="A324" s="6"/>
      <c r="B324" s="6"/>
      <c r="C324" s="6"/>
    </row>
    <row r="325" spans="1:3" x14ac:dyDescent="0.3">
      <c r="A325" s="6"/>
      <c r="B325" s="6"/>
      <c r="C325" s="6"/>
    </row>
    <row r="326" spans="1:3" x14ac:dyDescent="0.3">
      <c r="A326" s="6"/>
      <c r="B326" s="6"/>
      <c r="C326" s="6"/>
    </row>
    <row r="327" spans="1:3" x14ac:dyDescent="0.3">
      <c r="A327" s="6"/>
      <c r="B327" s="6"/>
      <c r="C327" s="6"/>
    </row>
    <row r="328" spans="1:3" x14ac:dyDescent="0.3">
      <c r="A328" s="6"/>
      <c r="B328" s="6"/>
      <c r="C328" s="6"/>
    </row>
    <row r="329" spans="1:3" x14ac:dyDescent="0.3">
      <c r="A329" s="6"/>
      <c r="B329" s="6"/>
      <c r="C329" s="6"/>
    </row>
    <row r="330" spans="1:3" x14ac:dyDescent="0.3">
      <c r="A330" s="6"/>
      <c r="B330" s="6"/>
      <c r="C330" s="6"/>
    </row>
    <row r="331" spans="1:3" x14ac:dyDescent="0.3">
      <c r="A331" s="6"/>
      <c r="B331" s="6"/>
      <c r="C331" s="6"/>
    </row>
    <row r="332" spans="1:3" x14ac:dyDescent="0.3">
      <c r="A332" s="6"/>
      <c r="B332" s="6"/>
      <c r="C332" s="6"/>
    </row>
    <row r="333" spans="1:3" x14ac:dyDescent="0.3">
      <c r="A333" s="6"/>
      <c r="B333" s="6"/>
      <c r="C333" s="6"/>
    </row>
    <row r="334" spans="1:3" x14ac:dyDescent="0.3">
      <c r="A334" s="6"/>
      <c r="B334" s="6"/>
      <c r="C334" s="6"/>
    </row>
    <row r="335" spans="1:3" x14ac:dyDescent="0.3">
      <c r="A335" s="6"/>
      <c r="B335" s="6"/>
      <c r="C335" s="6"/>
    </row>
    <row r="336" spans="1:3" x14ac:dyDescent="0.3">
      <c r="A336" s="6"/>
      <c r="B336" s="6"/>
      <c r="C336" s="6"/>
    </row>
    <row r="337" spans="1:3" x14ac:dyDescent="0.3">
      <c r="A337" s="6"/>
      <c r="B337" s="6"/>
      <c r="C337" s="6"/>
    </row>
    <row r="338" spans="1:3" x14ac:dyDescent="0.3">
      <c r="A338" s="6"/>
      <c r="B338" s="6"/>
      <c r="C338" s="6"/>
    </row>
    <row r="339" spans="1:3" x14ac:dyDescent="0.3">
      <c r="A339" s="6"/>
      <c r="B339" s="6"/>
      <c r="C339" s="6"/>
    </row>
    <row r="340" spans="1:3" x14ac:dyDescent="0.3">
      <c r="A340" s="6"/>
      <c r="B340" s="6"/>
      <c r="C340" s="6"/>
    </row>
    <row r="341" spans="1:3" x14ac:dyDescent="0.3">
      <c r="A341" s="6"/>
      <c r="B341" s="6"/>
      <c r="C341" s="6"/>
    </row>
    <row r="342" spans="1:3" x14ac:dyDescent="0.3">
      <c r="A342" s="6"/>
      <c r="B342" s="6"/>
      <c r="C342" s="6"/>
    </row>
    <row r="343" spans="1:3" x14ac:dyDescent="0.3">
      <c r="A343" s="6"/>
      <c r="B343" s="6"/>
      <c r="C343" s="6"/>
    </row>
    <row r="344" spans="1:3" x14ac:dyDescent="0.3">
      <c r="A344" s="6"/>
      <c r="B344" s="6"/>
      <c r="C344" s="6"/>
    </row>
    <row r="345" spans="1:3" x14ac:dyDescent="0.3">
      <c r="A345" s="6"/>
      <c r="B345" s="6"/>
      <c r="C345" s="6"/>
    </row>
    <row r="346" spans="1:3" x14ac:dyDescent="0.3">
      <c r="A346" s="6"/>
      <c r="B346" s="6"/>
      <c r="C346" s="6"/>
    </row>
    <row r="347" spans="1:3" x14ac:dyDescent="0.3">
      <c r="A347" s="6"/>
      <c r="B347" s="6"/>
      <c r="C347" s="6"/>
    </row>
    <row r="348" spans="1:3" x14ac:dyDescent="0.3">
      <c r="A348" s="6"/>
      <c r="B348" s="6"/>
      <c r="C348" s="6"/>
    </row>
    <row r="349" spans="1:3" x14ac:dyDescent="0.3">
      <c r="A349" s="6"/>
      <c r="B349" s="6"/>
      <c r="C349" s="6"/>
    </row>
    <row r="350" spans="1:3" x14ac:dyDescent="0.3">
      <c r="A350" s="6"/>
      <c r="B350" s="6"/>
      <c r="C350" s="6"/>
    </row>
    <row r="351" spans="1:3" x14ac:dyDescent="0.3">
      <c r="A351" s="6"/>
      <c r="B351" s="6"/>
      <c r="C351" s="6"/>
    </row>
    <row r="352" spans="1:3" x14ac:dyDescent="0.3">
      <c r="A352" s="6"/>
      <c r="B352" s="6"/>
      <c r="C352" s="6"/>
    </row>
    <row r="353" spans="1:3" x14ac:dyDescent="0.3">
      <c r="A353" s="6"/>
      <c r="B353" s="6"/>
      <c r="C353" s="6"/>
    </row>
    <row r="354" spans="1:3" x14ac:dyDescent="0.3">
      <c r="A354" s="6"/>
      <c r="B354" s="6"/>
      <c r="C354" s="6"/>
    </row>
    <row r="355" spans="1:3" x14ac:dyDescent="0.3">
      <c r="A355" s="6"/>
      <c r="B355" s="6"/>
      <c r="C355" s="6"/>
    </row>
    <row r="356" spans="1:3" x14ac:dyDescent="0.3">
      <c r="A356" s="6"/>
      <c r="B356" s="6"/>
      <c r="C356" s="6"/>
    </row>
    <row r="357" spans="1:3" x14ac:dyDescent="0.3">
      <c r="A357" s="6"/>
      <c r="B357" s="6"/>
      <c r="C357" s="6"/>
    </row>
    <row r="358" spans="1:3" x14ac:dyDescent="0.3">
      <c r="A358" s="6"/>
      <c r="B358" s="6"/>
      <c r="C358" s="6"/>
    </row>
    <row r="359" spans="1:3" x14ac:dyDescent="0.3">
      <c r="A359" s="6"/>
      <c r="B359" s="6"/>
      <c r="C359" s="6"/>
    </row>
    <row r="360" spans="1:3" x14ac:dyDescent="0.3">
      <c r="A360" s="6"/>
      <c r="B360" s="6"/>
      <c r="C360" s="6"/>
    </row>
    <row r="361" spans="1:3" x14ac:dyDescent="0.3">
      <c r="A361" s="6"/>
      <c r="B361" s="6"/>
      <c r="C361" s="6"/>
    </row>
    <row r="362" spans="1:3" x14ac:dyDescent="0.3">
      <c r="A362" s="6"/>
      <c r="B362" s="6"/>
      <c r="C362" s="6"/>
    </row>
    <row r="363" spans="1:3" x14ac:dyDescent="0.3">
      <c r="A363" s="6"/>
      <c r="B363" s="6"/>
      <c r="C363" s="6"/>
    </row>
    <row r="364" spans="1:3" x14ac:dyDescent="0.3">
      <c r="A364" s="6"/>
      <c r="B364" s="6"/>
      <c r="C364" s="6"/>
    </row>
    <row r="365" spans="1:3" x14ac:dyDescent="0.3">
      <c r="A365" s="6"/>
      <c r="B365" s="6"/>
      <c r="C365" s="6"/>
    </row>
    <row r="366" spans="1:3" x14ac:dyDescent="0.3">
      <c r="A366" s="6"/>
      <c r="B366" s="6"/>
      <c r="C366" s="6"/>
    </row>
    <row r="367" spans="1:3" x14ac:dyDescent="0.3">
      <c r="A367" s="6"/>
      <c r="B367" s="6"/>
      <c r="C367" s="6"/>
    </row>
    <row r="368" spans="1:3" x14ac:dyDescent="0.3">
      <c r="A368" s="6"/>
      <c r="B368" s="6"/>
      <c r="C368" s="6"/>
    </row>
    <row r="369" spans="1:3" x14ac:dyDescent="0.3">
      <c r="A369" s="6"/>
      <c r="B369" s="6"/>
      <c r="C369" s="6"/>
    </row>
    <row r="370" spans="1:3" x14ac:dyDescent="0.3">
      <c r="A370" s="6"/>
      <c r="B370" s="6"/>
      <c r="C370" s="6"/>
    </row>
    <row r="371" spans="1:3" x14ac:dyDescent="0.3">
      <c r="A371" s="6"/>
      <c r="B371" s="6"/>
      <c r="C371" s="6"/>
    </row>
    <row r="372" spans="1:3" x14ac:dyDescent="0.3">
      <c r="A372" s="6"/>
      <c r="B372" s="6"/>
      <c r="C372" s="6"/>
    </row>
    <row r="373" spans="1:3" x14ac:dyDescent="0.3">
      <c r="A373" s="6"/>
      <c r="B373" s="6"/>
      <c r="C373" s="6"/>
    </row>
    <row r="374" spans="1:3" x14ac:dyDescent="0.3">
      <c r="A374" s="6"/>
      <c r="B374" s="6"/>
      <c r="C374" s="6"/>
    </row>
    <row r="375" spans="1:3" x14ac:dyDescent="0.3">
      <c r="A375" s="6"/>
      <c r="B375" s="6"/>
      <c r="C375" s="6"/>
    </row>
    <row r="376" spans="1:3" x14ac:dyDescent="0.3">
      <c r="A376" s="6"/>
      <c r="B376" s="6"/>
      <c r="C376" s="6"/>
    </row>
    <row r="377" spans="1:3" x14ac:dyDescent="0.3">
      <c r="A377" s="6"/>
      <c r="B377" s="6"/>
      <c r="C377" s="6"/>
    </row>
    <row r="378" spans="1:3" x14ac:dyDescent="0.3">
      <c r="A378" s="6"/>
      <c r="B378" s="6"/>
      <c r="C378" s="6"/>
    </row>
    <row r="379" spans="1:3" x14ac:dyDescent="0.3">
      <c r="A379" s="6"/>
      <c r="B379" s="6"/>
      <c r="C379" s="6"/>
    </row>
    <row r="380" spans="1:3" x14ac:dyDescent="0.3">
      <c r="A380" s="6"/>
      <c r="B380" s="6"/>
      <c r="C380" s="6"/>
    </row>
    <row r="381" spans="1:3" x14ac:dyDescent="0.3">
      <c r="A381" s="6"/>
      <c r="B381" s="6"/>
      <c r="C381" s="6"/>
    </row>
    <row r="382" spans="1:3" x14ac:dyDescent="0.3">
      <c r="A382" s="6"/>
      <c r="B382" s="6"/>
      <c r="C382" s="6"/>
    </row>
    <row r="383" spans="1:3" x14ac:dyDescent="0.3">
      <c r="A383" s="6"/>
      <c r="B383" s="6"/>
      <c r="C383" s="6"/>
    </row>
    <row r="384" spans="1:3" x14ac:dyDescent="0.3">
      <c r="A384" s="6"/>
      <c r="B384" s="6"/>
      <c r="C384" s="6"/>
    </row>
    <row r="385" spans="1:3" x14ac:dyDescent="0.3">
      <c r="A385" s="6"/>
      <c r="B385" s="6"/>
      <c r="C385" s="6"/>
    </row>
    <row r="386" spans="1:3" x14ac:dyDescent="0.3">
      <c r="A386" s="6"/>
      <c r="B386" s="6"/>
      <c r="C386" s="6"/>
    </row>
    <row r="387" spans="1:3" x14ac:dyDescent="0.3">
      <c r="A387" s="6"/>
      <c r="B387" s="6"/>
      <c r="C387" s="6"/>
    </row>
    <row r="388" spans="1:3" x14ac:dyDescent="0.3">
      <c r="A388" s="6"/>
      <c r="B388" s="6"/>
      <c r="C388" s="6"/>
    </row>
    <row r="389" spans="1:3" x14ac:dyDescent="0.3">
      <c r="A389" s="6"/>
      <c r="B389" s="6"/>
      <c r="C389" s="6"/>
    </row>
    <row r="390" spans="1:3" x14ac:dyDescent="0.3">
      <c r="A390" s="6"/>
      <c r="B390" s="6"/>
      <c r="C390" s="6"/>
    </row>
    <row r="391" spans="1:3" x14ac:dyDescent="0.3">
      <c r="A391" s="6"/>
      <c r="B391" s="6"/>
      <c r="C391" s="6"/>
    </row>
    <row r="392" spans="1:3" x14ac:dyDescent="0.3">
      <c r="A392" s="6"/>
      <c r="B392" s="6"/>
      <c r="C392" s="6"/>
    </row>
    <row r="393" spans="1:3" x14ac:dyDescent="0.3">
      <c r="A393" s="6"/>
      <c r="B393" s="6"/>
      <c r="C393" s="6"/>
    </row>
    <row r="394" spans="1:3" x14ac:dyDescent="0.3">
      <c r="A394" s="6"/>
      <c r="B394" s="6"/>
      <c r="C394" s="6"/>
    </row>
    <row r="395" spans="1:3" x14ac:dyDescent="0.3">
      <c r="A395" s="6"/>
      <c r="B395" s="6"/>
      <c r="C395" s="6"/>
    </row>
    <row r="396" spans="1:3" x14ac:dyDescent="0.3">
      <c r="A396" s="6"/>
      <c r="B396" s="6"/>
      <c r="C396" s="6"/>
    </row>
    <row r="397" spans="1:3" x14ac:dyDescent="0.3">
      <c r="A397" s="6"/>
      <c r="B397" s="6"/>
      <c r="C397" s="6"/>
    </row>
    <row r="398" spans="1:3" x14ac:dyDescent="0.3">
      <c r="A398" s="6"/>
      <c r="B398" s="6"/>
      <c r="C398" s="6"/>
    </row>
    <row r="399" spans="1:3" x14ac:dyDescent="0.3">
      <c r="A399" s="6"/>
      <c r="B399" s="6"/>
      <c r="C399" s="6"/>
    </row>
    <row r="400" spans="1:3" x14ac:dyDescent="0.3">
      <c r="A400" s="6"/>
      <c r="B400" s="6"/>
      <c r="C400" s="6"/>
    </row>
    <row r="401" spans="1:3" x14ac:dyDescent="0.3">
      <c r="A401" s="6"/>
      <c r="B401" s="6"/>
      <c r="C401" s="6"/>
    </row>
    <row r="402" spans="1:3" x14ac:dyDescent="0.3">
      <c r="A402" s="6"/>
      <c r="B402" s="6"/>
      <c r="C402" s="6"/>
    </row>
    <row r="403" spans="1:3" x14ac:dyDescent="0.3">
      <c r="A403" s="6"/>
      <c r="B403" s="6"/>
      <c r="C403" s="6"/>
    </row>
    <row r="404" spans="1:3" x14ac:dyDescent="0.3">
      <c r="A404" s="6"/>
      <c r="B404" s="6"/>
      <c r="C404" s="6"/>
    </row>
    <row r="405" spans="1:3" x14ac:dyDescent="0.3">
      <c r="A405" s="6"/>
      <c r="B405" s="6"/>
      <c r="C405" s="6"/>
    </row>
    <row r="406" spans="1:3" x14ac:dyDescent="0.3">
      <c r="A406" s="6"/>
      <c r="B406" s="6"/>
      <c r="C406" s="6"/>
    </row>
    <row r="407" spans="1:3" x14ac:dyDescent="0.3">
      <c r="A407" s="6"/>
      <c r="B407" s="6"/>
      <c r="C407" s="6"/>
    </row>
    <row r="408" spans="1:3" x14ac:dyDescent="0.3">
      <c r="A408" s="6"/>
      <c r="B408" s="6"/>
      <c r="C408" s="6"/>
    </row>
    <row r="409" spans="1:3" x14ac:dyDescent="0.3">
      <c r="A409" s="6"/>
      <c r="B409" s="6"/>
      <c r="C409" s="6"/>
    </row>
    <row r="410" spans="1:3" x14ac:dyDescent="0.3">
      <c r="A410" s="6"/>
      <c r="B410" s="6"/>
      <c r="C410" s="6"/>
    </row>
    <row r="411" spans="1:3" x14ac:dyDescent="0.3">
      <c r="A411" s="6"/>
      <c r="B411" s="6"/>
      <c r="C411" s="6"/>
    </row>
    <row r="412" spans="1:3" x14ac:dyDescent="0.3">
      <c r="A412" s="6"/>
      <c r="B412" s="6"/>
      <c r="C412" s="6"/>
    </row>
    <row r="413" spans="1:3" x14ac:dyDescent="0.3">
      <c r="A413" s="6"/>
      <c r="B413" s="6"/>
      <c r="C413" s="6"/>
    </row>
    <row r="414" spans="1:3" x14ac:dyDescent="0.3">
      <c r="A414" s="6"/>
      <c r="B414" s="6"/>
      <c r="C414" s="6"/>
    </row>
    <row r="415" spans="1:3" x14ac:dyDescent="0.3">
      <c r="A415" s="6"/>
      <c r="B415" s="6"/>
      <c r="C415" s="6"/>
    </row>
    <row r="416" spans="1:3" x14ac:dyDescent="0.3">
      <c r="A416" s="6"/>
      <c r="B416" s="6"/>
      <c r="C416" s="6"/>
    </row>
    <row r="417" spans="1:3" x14ac:dyDescent="0.3">
      <c r="A417" s="6"/>
      <c r="B417" s="6"/>
      <c r="C417" s="6"/>
    </row>
    <row r="418" spans="1:3" x14ac:dyDescent="0.3">
      <c r="A418" s="6"/>
      <c r="B418" s="6"/>
      <c r="C418" s="6"/>
    </row>
    <row r="419" spans="1:3" x14ac:dyDescent="0.3">
      <c r="A419" s="6"/>
      <c r="B419" s="6"/>
      <c r="C419" s="6"/>
    </row>
    <row r="420" spans="1:3" x14ac:dyDescent="0.3">
      <c r="A420" s="6"/>
      <c r="B420" s="6"/>
      <c r="C420" s="6"/>
    </row>
    <row r="421" spans="1:3" x14ac:dyDescent="0.3">
      <c r="A421" s="6"/>
      <c r="B421" s="6"/>
      <c r="C421" s="6"/>
    </row>
    <row r="422" spans="1:3" x14ac:dyDescent="0.3">
      <c r="A422" s="6"/>
      <c r="B422" s="6"/>
      <c r="C422" s="6"/>
    </row>
    <row r="423" spans="1:3" x14ac:dyDescent="0.3">
      <c r="A423" s="6"/>
      <c r="B423" s="6"/>
      <c r="C423" s="6"/>
    </row>
    <row r="424" spans="1:3" x14ac:dyDescent="0.3">
      <c r="A424" s="6"/>
      <c r="B424" s="6"/>
      <c r="C424" s="6"/>
    </row>
    <row r="425" spans="1:3" x14ac:dyDescent="0.3">
      <c r="A425" s="6"/>
      <c r="B425" s="6"/>
      <c r="C425" s="6"/>
    </row>
    <row r="426" spans="1:3" x14ac:dyDescent="0.3">
      <c r="A426" s="6"/>
      <c r="B426" s="6"/>
      <c r="C426" s="6"/>
    </row>
    <row r="427" spans="1:3" x14ac:dyDescent="0.3">
      <c r="A427" s="6"/>
      <c r="B427" s="6"/>
      <c r="C427" s="6"/>
    </row>
    <row r="428" spans="1:3" x14ac:dyDescent="0.3">
      <c r="A428" s="6"/>
      <c r="B428" s="6"/>
      <c r="C428" s="6"/>
    </row>
    <row r="429" spans="1:3" x14ac:dyDescent="0.3">
      <c r="A429" s="6"/>
      <c r="B429" s="6"/>
      <c r="C429" s="6"/>
    </row>
    <row r="430" spans="1:3" x14ac:dyDescent="0.3">
      <c r="A430" s="6"/>
      <c r="B430" s="6"/>
      <c r="C430" s="6"/>
    </row>
    <row r="431" spans="1:3" x14ac:dyDescent="0.3">
      <c r="A431" s="6"/>
      <c r="B431" s="6"/>
      <c r="C431" s="6"/>
    </row>
    <row r="432" spans="1:3" x14ac:dyDescent="0.3">
      <c r="A432" s="6"/>
      <c r="B432" s="6"/>
      <c r="C432" s="6"/>
    </row>
    <row r="433" spans="1:3" x14ac:dyDescent="0.3">
      <c r="A433" s="6"/>
      <c r="B433" s="6"/>
      <c r="C433" s="6"/>
    </row>
    <row r="434" spans="1:3" x14ac:dyDescent="0.3">
      <c r="A434" s="6"/>
      <c r="B434" s="6"/>
      <c r="C434" s="6"/>
    </row>
    <row r="435" spans="1:3" x14ac:dyDescent="0.3">
      <c r="A435" s="6"/>
      <c r="B435" s="6"/>
      <c r="C435" s="6"/>
    </row>
    <row r="436" spans="1:3" x14ac:dyDescent="0.3">
      <c r="A436" s="6"/>
      <c r="B436" s="6"/>
      <c r="C436" s="6"/>
    </row>
    <row r="437" spans="1:3" x14ac:dyDescent="0.3">
      <c r="A437" s="6"/>
      <c r="B437" s="6"/>
      <c r="C437" s="6"/>
    </row>
    <row r="438" spans="1:3" x14ac:dyDescent="0.3">
      <c r="A438" s="6"/>
      <c r="B438" s="6"/>
      <c r="C438" s="6"/>
    </row>
    <row r="439" spans="1:3" x14ac:dyDescent="0.3">
      <c r="A439" s="6"/>
      <c r="B439" s="6"/>
      <c r="C439" s="6"/>
    </row>
    <row r="440" spans="1:3" x14ac:dyDescent="0.3">
      <c r="A440" s="6"/>
      <c r="B440" s="6"/>
      <c r="C440" s="6"/>
    </row>
    <row r="441" spans="1:3" x14ac:dyDescent="0.3">
      <c r="A441" s="6"/>
      <c r="B441" s="6"/>
      <c r="C441" s="6"/>
    </row>
    <row r="442" spans="1:3" x14ac:dyDescent="0.3">
      <c r="A442" s="6"/>
      <c r="B442" s="6"/>
      <c r="C442" s="6"/>
    </row>
    <row r="443" spans="1:3" x14ac:dyDescent="0.3">
      <c r="A443" s="6"/>
      <c r="B443" s="6"/>
      <c r="C443" s="6"/>
    </row>
    <row r="444" spans="1:3" x14ac:dyDescent="0.3">
      <c r="A444" s="6"/>
      <c r="B444" s="6"/>
      <c r="C444" s="6"/>
    </row>
    <row r="445" spans="1:3" x14ac:dyDescent="0.3">
      <c r="A445" s="6"/>
      <c r="B445" s="6"/>
      <c r="C445" s="6"/>
    </row>
    <row r="446" spans="1:3" x14ac:dyDescent="0.3">
      <c r="A446" s="6"/>
      <c r="B446" s="6"/>
      <c r="C446" s="6"/>
    </row>
    <row r="447" spans="1:3" x14ac:dyDescent="0.3">
      <c r="A447" s="6"/>
      <c r="B447" s="6"/>
      <c r="C447" s="6"/>
    </row>
    <row r="448" spans="1:3" x14ac:dyDescent="0.3">
      <c r="A448" s="6"/>
      <c r="B448" s="6"/>
      <c r="C448" s="6"/>
    </row>
    <row r="449" spans="1:3" x14ac:dyDescent="0.3">
      <c r="A449" s="6"/>
      <c r="B449" s="6"/>
      <c r="C449" s="6"/>
    </row>
    <row r="450" spans="1:3" x14ac:dyDescent="0.3">
      <c r="A450" s="6"/>
      <c r="B450" s="6"/>
      <c r="C450" s="6"/>
    </row>
    <row r="451" spans="1:3" x14ac:dyDescent="0.3">
      <c r="A451" s="6"/>
      <c r="B451" s="6"/>
      <c r="C451" s="6"/>
    </row>
    <row r="452" spans="1:3" x14ac:dyDescent="0.3">
      <c r="A452" s="6"/>
      <c r="B452" s="6"/>
      <c r="C452" s="6"/>
    </row>
    <row r="453" spans="1:3" x14ac:dyDescent="0.3">
      <c r="A453" s="6"/>
      <c r="B453" s="6"/>
      <c r="C453" s="6"/>
    </row>
    <row r="454" spans="1:3" x14ac:dyDescent="0.3">
      <c r="A454" s="6"/>
      <c r="B454" s="6"/>
      <c r="C454" s="6"/>
    </row>
    <row r="455" spans="1:3" x14ac:dyDescent="0.3">
      <c r="A455" s="6"/>
      <c r="B455" s="6"/>
      <c r="C455" s="6"/>
    </row>
    <row r="456" spans="1:3" x14ac:dyDescent="0.3">
      <c r="A456" s="6"/>
      <c r="B456" s="6"/>
      <c r="C456" s="6"/>
    </row>
    <row r="457" spans="1:3" x14ac:dyDescent="0.3">
      <c r="A457" s="6"/>
      <c r="B457" s="6"/>
      <c r="C457" s="6"/>
    </row>
    <row r="458" spans="1:3" x14ac:dyDescent="0.3">
      <c r="A458" s="6"/>
      <c r="B458" s="6"/>
      <c r="C458" s="6"/>
    </row>
    <row r="459" spans="1:3" x14ac:dyDescent="0.3">
      <c r="A459" s="6"/>
      <c r="B459" s="6"/>
      <c r="C459" s="6"/>
    </row>
    <row r="460" spans="1:3" x14ac:dyDescent="0.3">
      <c r="A460" s="6"/>
      <c r="B460" s="6"/>
      <c r="C460" s="6"/>
    </row>
    <row r="461" spans="1:3" x14ac:dyDescent="0.3">
      <c r="A461" s="6"/>
      <c r="B461" s="6"/>
      <c r="C461" s="6"/>
    </row>
    <row r="462" spans="1:3" x14ac:dyDescent="0.3">
      <c r="A462" s="6"/>
      <c r="B462" s="6"/>
      <c r="C462" s="6"/>
    </row>
    <row r="463" spans="1:3" x14ac:dyDescent="0.3">
      <c r="A463" s="6"/>
      <c r="B463" s="6"/>
      <c r="C463" s="6"/>
    </row>
    <row r="464" spans="1:3" x14ac:dyDescent="0.3">
      <c r="A464" s="6"/>
      <c r="B464" s="6"/>
      <c r="C464" s="6"/>
    </row>
    <row r="465" spans="1:3" x14ac:dyDescent="0.3">
      <c r="A465" s="6"/>
      <c r="B465" s="6"/>
      <c r="C465" s="6"/>
    </row>
    <row r="466" spans="1:3" x14ac:dyDescent="0.3">
      <c r="A466" s="6"/>
      <c r="B466" s="6"/>
      <c r="C466" s="6"/>
    </row>
    <row r="467" spans="1:3" x14ac:dyDescent="0.3">
      <c r="A467" s="6"/>
      <c r="B467" s="6"/>
      <c r="C467" s="6"/>
    </row>
    <row r="468" spans="1:3" x14ac:dyDescent="0.3">
      <c r="A468" s="6"/>
      <c r="B468" s="6"/>
      <c r="C468" s="6"/>
    </row>
    <row r="469" spans="1:3" x14ac:dyDescent="0.3">
      <c r="A469" s="6"/>
      <c r="B469" s="6"/>
      <c r="C469" s="6"/>
    </row>
    <row r="470" spans="1:3" x14ac:dyDescent="0.3">
      <c r="A470" s="6"/>
      <c r="B470" s="6"/>
      <c r="C470" s="6"/>
    </row>
    <row r="471" spans="1:3" x14ac:dyDescent="0.3">
      <c r="A471" s="6"/>
      <c r="B471" s="6"/>
      <c r="C471" s="6"/>
    </row>
    <row r="472" spans="1:3" x14ac:dyDescent="0.3">
      <c r="A472" s="6"/>
      <c r="B472" s="6"/>
      <c r="C472" s="6"/>
    </row>
    <row r="473" spans="1:3" x14ac:dyDescent="0.3">
      <c r="A473" s="6"/>
      <c r="B473" s="6"/>
      <c r="C473" s="6"/>
    </row>
    <row r="474" spans="1:3" x14ac:dyDescent="0.3">
      <c r="A474" s="6"/>
      <c r="B474" s="6"/>
      <c r="C474" s="6"/>
    </row>
    <row r="475" spans="1:3" x14ac:dyDescent="0.3">
      <c r="A475" s="6"/>
      <c r="B475" s="6"/>
      <c r="C475" s="6"/>
    </row>
    <row r="476" spans="1:3" x14ac:dyDescent="0.3">
      <c r="A476" s="6"/>
      <c r="B476" s="6"/>
      <c r="C476" s="6"/>
    </row>
    <row r="477" spans="1:3" x14ac:dyDescent="0.3">
      <c r="A477" s="6"/>
      <c r="B477" s="6"/>
      <c r="C477" s="6"/>
    </row>
    <row r="478" spans="1:3" x14ac:dyDescent="0.3">
      <c r="A478" s="6"/>
      <c r="B478" s="6"/>
      <c r="C478" s="6"/>
    </row>
    <row r="479" spans="1:3" x14ac:dyDescent="0.3">
      <c r="A479" s="6"/>
      <c r="B479" s="6"/>
      <c r="C479" s="6"/>
    </row>
    <row r="480" spans="1:3" x14ac:dyDescent="0.3">
      <c r="A480" s="6"/>
      <c r="B480" s="6"/>
      <c r="C480" s="6"/>
    </row>
    <row r="481" spans="1:3" x14ac:dyDescent="0.3">
      <c r="A481" s="6"/>
      <c r="B481" s="6"/>
      <c r="C481" s="6"/>
    </row>
    <row r="482" spans="1:3" x14ac:dyDescent="0.3">
      <c r="A482" s="6"/>
      <c r="B482" s="6"/>
      <c r="C482" s="6"/>
    </row>
    <row r="483" spans="1:3" x14ac:dyDescent="0.3">
      <c r="A483" s="6"/>
      <c r="B483" s="6"/>
      <c r="C483" s="6"/>
    </row>
    <row r="484" spans="1:3" x14ac:dyDescent="0.3">
      <c r="A484" s="6"/>
      <c r="B484" s="6"/>
      <c r="C484" s="6"/>
    </row>
    <row r="485" spans="1:3" x14ac:dyDescent="0.3">
      <c r="A485" s="6"/>
      <c r="B485" s="6"/>
      <c r="C485" s="6"/>
    </row>
    <row r="486" spans="1:3" x14ac:dyDescent="0.3">
      <c r="A486" s="6"/>
      <c r="B486" s="6"/>
      <c r="C486" s="6"/>
    </row>
    <row r="487" spans="1:3" x14ac:dyDescent="0.3">
      <c r="A487" s="6"/>
      <c r="B487" s="6"/>
      <c r="C487" s="6"/>
    </row>
    <row r="488" spans="1:3" x14ac:dyDescent="0.3">
      <c r="A488" s="6"/>
      <c r="B488" s="6"/>
      <c r="C488" s="6"/>
    </row>
    <row r="489" spans="1:3" x14ac:dyDescent="0.3">
      <c r="A489" s="6"/>
      <c r="B489" s="6"/>
      <c r="C489" s="6"/>
    </row>
    <row r="490" spans="1:3" x14ac:dyDescent="0.3">
      <c r="A490" s="6"/>
      <c r="B490" s="6"/>
      <c r="C490" s="6"/>
    </row>
    <row r="491" spans="1:3" x14ac:dyDescent="0.3">
      <c r="A491" s="6"/>
      <c r="B491" s="6"/>
      <c r="C491" s="6"/>
    </row>
    <row r="492" spans="1:3" x14ac:dyDescent="0.3">
      <c r="A492" s="6"/>
      <c r="B492" s="6"/>
      <c r="C492" s="6"/>
    </row>
    <row r="493" spans="1:3" x14ac:dyDescent="0.3">
      <c r="A493" s="6"/>
      <c r="B493" s="6"/>
      <c r="C493" s="6"/>
    </row>
    <row r="494" spans="1:3" x14ac:dyDescent="0.3">
      <c r="A494" s="6"/>
      <c r="B494" s="6"/>
      <c r="C494" s="6"/>
    </row>
    <row r="495" spans="1:3" x14ac:dyDescent="0.3">
      <c r="A495" s="6"/>
      <c r="B495" s="6"/>
      <c r="C495" s="6"/>
    </row>
    <row r="496" spans="1:3" x14ac:dyDescent="0.3">
      <c r="A496" s="6"/>
      <c r="B496" s="6"/>
      <c r="C496" s="6"/>
    </row>
    <row r="497" spans="1:3" x14ac:dyDescent="0.3">
      <c r="A497" s="6"/>
      <c r="B497" s="6"/>
      <c r="C497" s="6"/>
    </row>
    <row r="498" spans="1:3" x14ac:dyDescent="0.3">
      <c r="A498" s="6"/>
      <c r="B498" s="6"/>
      <c r="C498" s="6"/>
    </row>
    <row r="499" spans="1:3" x14ac:dyDescent="0.3">
      <c r="A499" s="6"/>
      <c r="B499" s="6"/>
      <c r="C499" s="6"/>
    </row>
    <row r="500" spans="1:3" x14ac:dyDescent="0.3">
      <c r="A500" s="6"/>
      <c r="B500" s="6"/>
      <c r="C500" s="6"/>
    </row>
    <row r="501" spans="1:3" x14ac:dyDescent="0.3">
      <c r="A501" s="6"/>
      <c r="B501" s="6"/>
      <c r="C501" s="6"/>
    </row>
    <row r="502" spans="1:3" x14ac:dyDescent="0.3">
      <c r="A502" s="6"/>
      <c r="B502" s="6"/>
      <c r="C502" s="6"/>
    </row>
    <row r="503" spans="1:3" x14ac:dyDescent="0.3">
      <c r="A503" s="6"/>
      <c r="B503" s="6"/>
      <c r="C503" s="6"/>
    </row>
    <row r="504" spans="1:3" x14ac:dyDescent="0.3">
      <c r="A504" s="6"/>
      <c r="B504" s="6"/>
      <c r="C504" s="6"/>
    </row>
    <row r="505" spans="1:3" x14ac:dyDescent="0.3">
      <c r="A505" s="6"/>
      <c r="B505" s="6"/>
      <c r="C505" s="6"/>
    </row>
    <row r="506" spans="1:3" x14ac:dyDescent="0.3">
      <c r="A506" s="6"/>
      <c r="B506" s="6"/>
      <c r="C506" s="6"/>
    </row>
    <row r="507" spans="1:3" x14ac:dyDescent="0.3">
      <c r="A507" s="6"/>
      <c r="B507" s="6"/>
      <c r="C507" s="6"/>
    </row>
    <row r="508" spans="1:3" x14ac:dyDescent="0.3">
      <c r="A508" s="6"/>
      <c r="B508" s="6"/>
      <c r="C508" s="6"/>
    </row>
    <row r="509" spans="1:3" x14ac:dyDescent="0.3">
      <c r="A509" s="6"/>
      <c r="B509" s="6"/>
      <c r="C509" s="6"/>
    </row>
    <row r="510" spans="1:3" x14ac:dyDescent="0.3">
      <c r="A510" s="6"/>
      <c r="B510" s="6"/>
      <c r="C510" s="6"/>
    </row>
    <row r="511" spans="1:3" x14ac:dyDescent="0.3">
      <c r="A511" s="6"/>
      <c r="B511" s="6"/>
      <c r="C511" s="6"/>
    </row>
    <row r="512" spans="1:3" x14ac:dyDescent="0.3">
      <c r="A512" s="6"/>
      <c r="B512" s="6"/>
      <c r="C512" s="6"/>
    </row>
    <row r="513" spans="1:3" x14ac:dyDescent="0.3">
      <c r="A513" s="6"/>
      <c r="B513" s="6"/>
      <c r="C513" s="6"/>
    </row>
    <row r="514" spans="1:3" x14ac:dyDescent="0.3">
      <c r="A514" s="6"/>
      <c r="B514" s="6"/>
      <c r="C514" s="6"/>
    </row>
    <row r="515" spans="1:3" x14ac:dyDescent="0.3">
      <c r="A515" s="6"/>
      <c r="B515" s="6"/>
      <c r="C515" s="6"/>
    </row>
    <row r="516" spans="1:3" x14ac:dyDescent="0.3">
      <c r="A516" s="6"/>
      <c r="B516" s="6"/>
      <c r="C516" s="6"/>
    </row>
    <row r="517" spans="1:3" x14ac:dyDescent="0.3">
      <c r="A517" s="6"/>
      <c r="B517" s="6"/>
      <c r="C517" s="6"/>
    </row>
    <row r="518" spans="1:3" x14ac:dyDescent="0.3">
      <c r="A518" s="6"/>
      <c r="B518" s="6"/>
      <c r="C518" s="6"/>
    </row>
    <row r="519" spans="1:3" x14ac:dyDescent="0.3">
      <c r="A519" s="6"/>
      <c r="B519" s="6"/>
      <c r="C519" s="6"/>
    </row>
    <row r="520" spans="1:3" x14ac:dyDescent="0.3">
      <c r="A520" s="6"/>
      <c r="B520" s="6"/>
      <c r="C520" s="6"/>
    </row>
    <row r="521" spans="1:3" x14ac:dyDescent="0.3">
      <c r="A521" s="6"/>
      <c r="B521" s="6"/>
      <c r="C521" s="6"/>
    </row>
    <row r="522" spans="1:3" x14ac:dyDescent="0.3">
      <c r="A522" s="6"/>
      <c r="B522" s="6"/>
      <c r="C522" s="6"/>
    </row>
    <row r="523" spans="1:3" x14ac:dyDescent="0.3">
      <c r="A523" s="6"/>
      <c r="B523" s="6"/>
      <c r="C523" s="6"/>
    </row>
    <row r="524" spans="1:3" x14ac:dyDescent="0.3">
      <c r="A524" s="6"/>
      <c r="B524" s="6"/>
      <c r="C524" s="6"/>
    </row>
    <row r="525" spans="1:3" x14ac:dyDescent="0.3">
      <c r="A525" s="6"/>
      <c r="B525" s="6"/>
      <c r="C525" s="6"/>
    </row>
    <row r="526" spans="1:3" x14ac:dyDescent="0.3">
      <c r="A526" s="6"/>
      <c r="B526" s="6"/>
      <c r="C526" s="6"/>
    </row>
    <row r="527" spans="1:3" x14ac:dyDescent="0.3">
      <c r="A527" s="6"/>
      <c r="B527" s="6"/>
      <c r="C527" s="6"/>
    </row>
    <row r="528" spans="1:3" x14ac:dyDescent="0.3">
      <c r="A528" s="6"/>
      <c r="B528" s="6"/>
      <c r="C528" s="6"/>
    </row>
    <row r="529" spans="1:3" x14ac:dyDescent="0.3">
      <c r="A529" s="6"/>
      <c r="B529" s="6"/>
      <c r="C529" s="6"/>
    </row>
    <row r="530" spans="1:3" x14ac:dyDescent="0.3">
      <c r="A530" s="6"/>
      <c r="B530" s="6"/>
      <c r="C530" s="6"/>
    </row>
    <row r="531" spans="1:3" x14ac:dyDescent="0.3">
      <c r="A531" s="6"/>
      <c r="B531" s="6"/>
      <c r="C531" s="6"/>
    </row>
    <row r="532" spans="1:3" x14ac:dyDescent="0.3">
      <c r="A532" s="6"/>
      <c r="B532" s="6"/>
      <c r="C532" s="6"/>
    </row>
    <row r="533" spans="1:3" x14ac:dyDescent="0.3">
      <c r="A533" s="6"/>
      <c r="B533" s="6"/>
      <c r="C533" s="6"/>
    </row>
    <row r="534" spans="1:3" x14ac:dyDescent="0.3">
      <c r="A534" s="6"/>
      <c r="B534" s="6"/>
      <c r="C534" s="6"/>
    </row>
    <row r="535" spans="1:3" x14ac:dyDescent="0.3">
      <c r="A535" s="6"/>
      <c r="B535" s="6"/>
      <c r="C535" s="6"/>
    </row>
    <row r="536" spans="1:3" x14ac:dyDescent="0.3">
      <c r="A536" s="6"/>
      <c r="B536" s="6"/>
      <c r="C536" s="6"/>
    </row>
    <row r="537" spans="1:3" x14ac:dyDescent="0.3">
      <c r="A537" s="6"/>
      <c r="B537" s="6"/>
      <c r="C537" s="6"/>
    </row>
    <row r="538" spans="1:3" x14ac:dyDescent="0.3">
      <c r="A538" s="6"/>
      <c r="B538" s="6"/>
      <c r="C538" s="6"/>
    </row>
    <row r="539" spans="1:3" x14ac:dyDescent="0.3">
      <c r="A539" s="6"/>
      <c r="B539" s="6"/>
      <c r="C539" s="6"/>
    </row>
    <row r="540" spans="1:3" x14ac:dyDescent="0.3">
      <c r="A540" s="6"/>
      <c r="B540" s="6"/>
      <c r="C540" s="6"/>
    </row>
    <row r="541" spans="1:3" x14ac:dyDescent="0.3">
      <c r="A541" s="6"/>
      <c r="B541" s="6"/>
      <c r="C541" s="6"/>
    </row>
    <row r="542" spans="1:3" x14ac:dyDescent="0.3">
      <c r="A542" s="6"/>
      <c r="B542" s="6"/>
      <c r="C542" s="6"/>
    </row>
    <row r="543" spans="1:3" x14ac:dyDescent="0.3">
      <c r="A543" s="6"/>
      <c r="B543" s="6"/>
      <c r="C543" s="6"/>
    </row>
    <row r="544" spans="1:3" x14ac:dyDescent="0.3">
      <c r="A544" s="6"/>
      <c r="B544" s="6"/>
      <c r="C544" s="6"/>
    </row>
    <row r="545" spans="1:3" x14ac:dyDescent="0.3">
      <c r="A545" s="6"/>
      <c r="B545" s="6"/>
      <c r="C545" s="6"/>
    </row>
    <row r="546" spans="1:3" x14ac:dyDescent="0.3">
      <c r="A546" s="6"/>
      <c r="B546" s="6"/>
      <c r="C546" s="6"/>
    </row>
    <row r="547" spans="1:3" x14ac:dyDescent="0.3">
      <c r="A547" s="6"/>
      <c r="B547" s="6"/>
      <c r="C547" s="6"/>
    </row>
    <row r="548" spans="1:3" x14ac:dyDescent="0.3">
      <c r="A548" s="6"/>
      <c r="B548" s="6"/>
      <c r="C548" s="6"/>
    </row>
    <row r="549" spans="1:3" x14ac:dyDescent="0.3">
      <c r="A549" s="6"/>
      <c r="B549" s="6"/>
      <c r="C549" s="6"/>
    </row>
    <row r="550" spans="1:3" x14ac:dyDescent="0.3">
      <c r="A550" s="6"/>
      <c r="B550" s="6"/>
      <c r="C550" s="6"/>
    </row>
    <row r="551" spans="1:3" x14ac:dyDescent="0.3">
      <c r="A551" s="6"/>
      <c r="B551" s="6"/>
      <c r="C551" s="6"/>
    </row>
    <row r="552" spans="1:3" x14ac:dyDescent="0.3">
      <c r="A552" s="6"/>
      <c r="B552" s="6"/>
      <c r="C552" s="6"/>
    </row>
    <row r="553" spans="1:3" x14ac:dyDescent="0.3">
      <c r="A553" s="6"/>
      <c r="B553" s="6"/>
      <c r="C553" s="6"/>
    </row>
    <row r="554" spans="1:3" x14ac:dyDescent="0.3">
      <c r="A554" s="6"/>
      <c r="B554" s="6"/>
      <c r="C554" s="6"/>
    </row>
    <row r="555" spans="1:3" x14ac:dyDescent="0.3">
      <c r="A555" s="6"/>
      <c r="B555" s="6"/>
      <c r="C555" s="6"/>
    </row>
    <row r="556" spans="1:3" x14ac:dyDescent="0.3">
      <c r="A556" s="6"/>
      <c r="B556" s="6"/>
      <c r="C556" s="6"/>
    </row>
    <row r="557" spans="1:3" x14ac:dyDescent="0.3">
      <c r="A557" s="6"/>
      <c r="B557" s="6"/>
      <c r="C557" s="6"/>
    </row>
    <row r="558" spans="1:3" x14ac:dyDescent="0.3">
      <c r="A558" s="6"/>
      <c r="B558" s="6"/>
      <c r="C558" s="6"/>
    </row>
    <row r="559" spans="1:3" x14ac:dyDescent="0.3">
      <c r="A559" s="6"/>
      <c r="B559" s="6"/>
      <c r="C559" s="6"/>
    </row>
    <row r="560" spans="1:3" x14ac:dyDescent="0.3">
      <c r="A560" s="6"/>
      <c r="B560" s="6"/>
      <c r="C560" s="6"/>
    </row>
    <row r="561" spans="1:3" x14ac:dyDescent="0.3">
      <c r="A561" s="6"/>
      <c r="B561" s="6"/>
      <c r="C561" s="6"/>
    </row>
    <row r="562" spans="1:3" x14ac:dyDescent="0.3">
      <c r="A562" s="6"/>
      <c r="B562" s="6"/>
      <c r="C562" s="6"/>
    </row>
    <row r="563" spans="1:3" x14ac:dyDescent="0.3">
      <c r="A563" s="6"/>
      <c r="B563" s="6"/>
      <c r="C563" s="6"/>
    </row>
    <row r="564" spans="1:3" x14ac:dyDescent="0.3">
      <c r="A564" s="6"/>
      <c r="B564" s="6"/>
      <c r="C564" s="6"/>
    </row>
    <row r="565" spans="1:3" x14ac:dyDescent="0.3">
      <c r="A565" s="6"/>
      <c r="B565" s="6"/>
      <c r="C565" s="6"/>
    </row>
    <row r="566" spans="1:3" x14ac:dyDescent="0.3">
      <c r="A566" s="6"/>
      <c r="B566" s="6"/>
      <c r="C566" s="6"/>
    </row>
    <row r="567" spans="1:3" x14ac:dyDescent="0.3">
      <c r="A567" s="6"/>
      <c r="B567" s="6"/>
      <c r="C567" s="6"/>
    </row>
    <row r="568" spans="1:3" x14ac:dyDescent="0.3">
      <c r="A568" s="6"/>
      <c r="B568" s="6"/>
      <c r="C568" s="6"/>
    </row>
    <row r="569" spans="1:3" x14ac:dyDescent="0.3">
      <c r="A569" s="6"/>
      <c r="B569" s="6"/>
      <c r="C569" s="6"/>
    </row>
    <row r="570" spans="1:3" x14ac:dyDescent="0.3">
      <c r="A570" s="6"/>
      <c r="B570" s="6"/>
      <c r="C570" s="6"/>
    </row>
    <row r="571" spans="1:3" x14ac:dyDescent="0.3">
      <c r="A571" s="6"/>
      <c r="B571" s="6"/>
      <c r="C571" s="6"/>
    </row>
    <row r="572" spans="1:3" x14ac:dyDescent="0.3">
      <c r="A572" s="6"/>
      <c r="B572" s="6"/>
      <c r="C572" s="6"/>
    </row>
    <row r="573" spans="1:3" x14ac:dyDescent="0.3">
      <c r="A573" s="6"/>
      <c r="B573" s="6"/>
      <c r="C573" s="6"/>
    </row>
    <row r="574" spans="1:3" x14ac:dyDescent="0.3">
      <c r="A574" s="6"/>
      <c r="B574" s="6"/>
      <c r="C574" s="6"/>
    </row>
    <row r="575" spans="1:3" x14ac:dyDescent="0.3">
      <c r="A575" s="6"/>
      <c r="B575" s="6"/>
      <c r="C575" s="6"/>
    </row>
    <row r="576" spans="1:3" x14ac:dyDescent="0.3">
      <c r="A576" s="6"/>
      <c r="B576" s="6"/>
      <c r="C576" s="6"/>
    </row>
    <row r="577" spans="1:3" x14ac:dyDescent="0.3">
      <c r="A577" s="6"/>
      <c r="B577" s="6"/>
      <c r="C577" s="6"/>
    </row>
    <row r="578" spans="1:3" x14ac:dyDescent="0.3">
      <c r="A578" s="6"/>
      <c r="B578" s="6"/>
      <c r="C578" s="6"/>
    </row>
    <row r="579" spans="1:3" x14ac:dyDescent="0.3">
      <c r="A579" s="6"/>
      <c r="B579" s="6"/>
      <c r="C579" s="6"/>
    </row>
    <row r="580" spans="1:3" x14ac:dyDescent="0.3">
      <c r="A580" s="6"/>
      <c r="B580" s="6"/>
      <c r="C580" s="6"/>
    </row>
    <row r="581" spans="1:3" x14ac:dyDescent="0.3">
      <c r="A581" s="6"/>
      <c r="B581" s="6"/>
      <c r="C581" s="6"/>
    </row>
    <row r="582" spans="1:3" x14ac:dyDescent="0.3">
      <c r="A582" s="6"/>
      <c r="B582" s="6"/>
      <c r="C582" s="6"/>
    </row>
    <row r="583" spans="1:3" x14ac:dyDescent="0.3">
      <c r="A583" s="6"/>
      <c r="B583" s="6"/>
      <c r="C583" s="6"/>
    </row>
    <row r="584" spans="1:3" x14ac:dyDescent="0.3">
      <c r="A584" s="6"/>
      <c r="B584" s="6"/>
      <c r="C584" s="6"/>
    </row>
    <row r="585" spans="1:3" x14ac:dyDescent="0.3">
      <c r="A585" s="6"/>
      <c r="B585" s="6"/>
      <c r="C585" s="6"/>
    </row>
    <row r="586" spans="1:3" x14ac:dyDescent="0.3">
      <c r="A586" s="6"/>
      <c r="B586" s="6"/>
      <c r="C586" s="6"/>
    </row>
    <row r="587" spans="1:3" x14ac:dyDescent="0.3">
      <c r="A587" s="6"/>
      <c r="B587" s="6"/>
      <c r="C587" s="6"/>
    </row>
    <row r="588" spans="1:3" x14ac:dyDescent="0.3">
      <c r="A588" s="6"/>
      <c r="B588" s="6"/>
      <c r="C588" s="6"/>
    </row>
    <row r="589" spans="1:3" x14ac:dyDescent="0.3">
      <c r="A589" s="6"/>
      <c r="B589" s="6"/>
      <c r="C589" s="6"/>
    </row>
    <row r="590" spans="1:3" x14ac:dyDescent="0.3">
      <c r="A590" s="6"/>
      <c r="B590" s="6"/>
      <c r="C590" s="6"/>
    </row>
    <row r="591" spans="1:3" x14ac:dyDescent="0.3">
      <c r="A591" s="6"/>
      <c r="B591" s="6"/>
      <c r="C591" s="6"/>
    </row>
    <row r="592" spans="1:3" x14ac:dyDescent="0.3">
      <c r="A592" s="6"/>
      <c r="B592" s="6"/>
      <c r="C592" s="6"/>
    </row>
    <row r="593" spans="1:3" x14ac:dyDescent="0.3">
      <c r="A593" s="6"/>
      <c r="B593" s="6"/>
      <c r="C593" s="6"/>
    </row>
    <row r="594" spans="1:3" x14ac:dyDescent="0.3">
      <c r="A594" s="6"/>
      <c r="B594" s="6"/>
      <c r="C594" s="6"/>
    </row>
    <row r="595" spans="1:3" x14ac:dyDescent="0.3">
      <c r="A595" s="6"/>
      <c r="B595" s="6"/>
      <c r="C595" s="6"/>
    </row>
    <row r="596" spans="1:3" x14ac:dyDescent="0.3">
      <c r="A596" s="6"/>
      <c r="B596" s="6"/>
      <c r="C596" s="6"/>
    </row>
    <row r="597" spans="1:3" x14ac:dyDescent="0.3">
      <c r="A597" s="6"/>
      <c r="B597" s="6"/>
      <c r="C597" s="6"/>
    </row>
    <row r="598" spans="1:3" x14ac:dyDescent="0.3">
      <c r="A598" s="6"/>
      <c r="B598" s="6"/>
      <c r="C598" s="6"/>
    </row>
    <row r="599" spans="1:3" x14ac:dyDescent="0.3">
      <c r="A599" s="6"/>
      <c r="B599" s="6"/>
      <c r="C599" s="6"/>
    </row>
    <row r="600" spans="1:3" x14ac:dyDescent="0.3">
      <c r="A600" s="6"/>
      <c r="B600" s="6"/>
      <c r="C600" s="6"/>
    </row>
    <row r="601" spans="1:3" x14ac:dyDescent="0.3">
      <c r="A601" s="6"/>
      <c r="B601" s="6"/>
      <c r="C601" s="6"/>
    </row>
    <row r="602" spans="1:3" x14ac:dyDescent="0.3">
      <c r="A602" s="6"/>
      <c r="B602" s="6"/>
      <c r="C602" s="6"/>
    </row>
    <row r="603" spans="1:3" x14ac:dyDescent="0.3">
      <c r="A603" s="6"/>
      <c r="B603" s="6"/>
      <c r="C603" s="6"/>
    </row>
    <row r="604" spans="1:3" x14ac:dyDescent="0.3">
      <c r="A604" s="6"/>
      <c r="B604" s="6"/>
      <c r="C604" s="6"/>
    </row>
    <row r="605" spans="1:3" x14ac:dyDescent="0.3">
      <c r="A605" s="6"/>
      <c r="B605" s="6"/>
      <c r="C605" s="6"/>
    </row>
    <row r="606" spans="1:3" x14ac:dyDescent="0.3">
      <c r="A606" s="6"/>
      <c r="B606" s="6"/>
      <c r="C606" s="6"/>
    </row>
    <row r="607" spans="1:3" x14ac:dyDescent="0.3">
      <c r="A607" s="6"/>
      <c r="B607" s="6"/>
      <c r="C607" s="6"/>
    </row>
    <row r="608" spans="1:3" x14ac:dyDescent="0.3">
      <c r="A608" s="6"/>
      <c r="B608" s="6"/>
      <c r="C608" s="6"/>
    </row>
    <row r="609" spans="1:3" x14ac:dyDescent="0.3">
      <c r="A609" s="6"/>
      <c r="B609" s="6"/>
      <c r="C609" s="6"/>
    </row>
    <row r="610" spans="1:3" x14ac:dyDescent="0.3">
      <c r="A610" s="6"/>
      <c r="B610" s="6"/>
      <c r="C610" s="6"/>
    </row>
    <row r="611" spans="1:3" x14ac:dyDescent="0.3">
      <c r="A611" s="6"/>
      <c r="B611" s="6"/>
      <c r="C611" s="6"/>
    </row>
    <row r="612" spans="1:3" x14ac:dyDescent="0.3">
      <c r="A612" s="6"/>
      <c r="B612" s="6"/>
      <c r="C612" s="6"/>
    </row>
    <row r="613" spans="1:3" x14ac:dyDescent="0.3">
      <c r="A613" s="6"/>
      <c r="B613" s="6"/>
      <c r="C613" s="6"/>
    </row>
    <row r="614" spans="1:3" x14ac:dyDescent="0.3">
      <c r="A614" s="6"/>
      <c r="B614" s="6"/>
      <c r="C614" s="6"/>
    </row>
    <row r="615" spans="1:3" x14ac:dyDescent="0.3">
      <c r="A615" s="6"/>
      <c r="B615" s="6"/>
      <c r="C615" s="6"/>
    </row>
    <row r="616" spans="1:3" x14ac:dyDescent="0.3">
      <c r="A616" s="6"/>
      <c r="B616" s="6"/>
      <c r="C616" s="6"/>
    </row>
    <row r="617" spans="1:3" x14ac:dyDescent="0.3">
      <c r="A617" s="6"/>
      <c r="B617" s="6"/>
      <c r="C617" s="6"/>
    </row>
    <row r="618" spans="1:3" x14ac:dyDescent="0.3">
      <c r="A618" s="6"/>
      <c r="B618" s="6"/>
      <c r="C618" s="6"/>
    </row>
    <row r="619" spans="1:3" x14ac:dyDescent="0.3">
      <c r="A619" s="6"/>
      <c r="B619" s="6"/>
      <c r="C619" s="6"/>
    </row>
    <row r="620" spans="1:3" x14ac:dyDescent="0.3">
      <c r="A620" s="6"/>
      <c r="B620" s="6"/>
      <c r="C620" s="6"/>
    </row>
    <row r="621" spans="1:3" x14ac:dyDescent="0.3">
      <c r="A621" s="6"/>
      <c r="B621" s="6"/>
      <c r="C621" s="6"/>
    </row>
    <row r="622" spans="1:3" x14ac:dyDescent="0.3">
      <c r="A622" s="6"/>
      <c r="B622" s="6"/>
      <c r="C622" s="6"/>
    </row>
    <row r="623" spans="1:3" x14ac:dyDescent="0.3">
      <c r="A623" s="6"/>
      <c r="B623" s="6"/>
      <c r="C623" s="6"/>
    </row>
    <row r="624" spans="1:3" x14ac:dyDescent="0.3">
      <c r="A624" s="6"/>
      <c r="B624" s="6"/>
      <c r="C624" s="6"/>
    </row>
    <row r="625" spans="1:3" x14ac:dyDescent="0.3">
      <c r="A625" s="6"/>
      <c r="B625" s="6"/>
      <c r="C625" s="6"/>
    </row>
    <row r="626" spans="1:3" x14ac:dyDescent="0.3">
      <c r="A626" s="6"/>
      <c r="B626" s="6"/>
      <c r="C626" s="6"/>
    </row>
    <row r="627" spans="1:3" x14ac:dyDescent="0.3">
      <c r="A627" s="6"/>
      <c r="B627" s="6"/>
      <c r="C627" s="6"/>
    </row>
    <row r="628" spans="1:3" x14ac:dyDescent="0.3">
      <c r="A628" s="6"/>
      <c r="B628" s="6"/>
      <c r="C628" s="6"/>
    </row>
    <row r="629" spans="1:3" x14ac:dyDescent="0.3">
      <c r="A629" s="6"/>
      <c r="B629" s="6"/>
      <c r="C629" s="6"/>
    </row>
    <row r="630" spans="1:3" x14ac:dyDescent="0.3">
      <c r="A630" s="6"/>
      <c r="B630" s="6"/>
      <c r="C630" s="6"/>
    </row>
    <row r="631" spans="1:3" x14ac:dyDescent="0.3">
      <c r="A631" s="6"/>
      <c r="B631" s="6"/>
      <c r="C631" s="6"/>
    </row>
    <row r="632" spans="1:3" x14ac:dyDescent="0.3">
      <c r="A632" s="6"/>
      <c r="B632" s="6"/>
      <c r="C632" s="6"/>
    </row>
    <row r="633" spans="1:3" x14ac:dyDescent="0.3">
      <c r="A633" s="6"/>
      <c r="B633" s="6"/>
      <c r="C633" s="6"/>
    </row>
    <row r="634" spans="1:3" x14ac:dyDescent="0.3">
      <c r="A634" s="6"/>
      <c r="B634" s="6"/>
      <c r="C634" s="6"/>
    </row>
    <row r="635" spans="1:3" x14ac:dyDescent="0.3">
      <c r="A635" s="6"/>
      <c r="B635" s="6"/>
      <c r="C635" s="6"/>
    </row>
    <row r="636" spans="1:3" x14ac:dyDescent="0.3">
      <c r="A636" s="6"/>
      <c r="B636" s="6"/>
      <c r="C636" s="6"/>
    </row>
    <row r="637" spans="1:3" x14ac:dyDescent="0.3">
      <c r="A637" s="6"/>
      <c r="B637" s="6"/>
      <c r="C637" s="6"/>
    </row>
    <row r="638" spans="1:3" x14ac:dyDescent="0.3">
      <c r="A638" s="6"/>
      <c r="B638" s="6"/>
      <c r="C638" s="6"/>
    </row>
    <row r="639" spans="1:3" x14ac:dyDescent="0.3">
      <c r="A639" s="6"/>
      <c r="B639" s="6"/>
      <c r="C639" s="6"/>
    </row>
    <row r="640" spans="1:3" x14ac:dyDescent="0.3">
      <c r="A640" s="6"/>
      <c r="B640" s="6"/>
      <c r="C640" s="6"/>
    </row>
    <row r="641" spans="1:3" x14ac:dyDescent="0.3">
      <c r="A641" s="6"/>
      <c r="B641" s="6"/>
      <c r="C641" s="6"/>
    </row>
    <row r="642" spans="1:3" x14ac:dyDescent="0.3">
      <c r="A642" s="6"/>
      <c r="B642" s="6"/>
      <c r="C642" s="6"/>
    </row>
    <row r="643" spans="1:3" x14ac:dyDescent="0.3">
      <c r="A643" s="6"/>
      <c r="B643" s="6"/>
      <c r="C643" s="6"/>
    </row>
    <row r="644" spans="1:3" x14ac:dyDescent="0.3">
      <c r="A644" s="6"/>
      <c r="B644" s="6"/>
      <c r="C644" s="6"/>
    </row>
    <row r="645" spans="1:3" x14ac:dyDescent="0.3">
      <c r="A645" s="6"/>
      <c r="B645" s="6"/>
      <c r="C645" s="6"/>
    </row>
    <row r="646" spans="1:3" x14ac:dyDescent="0.3">
      <c r="A646" s="6"/>
      <c r="B646" s="6"/>
      <c r="C646" s="6"/>
    </row>
    <row r="647" spans="1:3" x14ac:dyDescent="0.3">
      <c r="A647" s="6"/>
      <c r="B647" s="6"/>
      <c r="C647" s="6"/>
    </row>
    <row r="648" spans="1:3" x14ac:dyDescent="0.3">
      <c r="A648" s="6"/>
      <c r="B648" s="6"/>
      <c r="C648" s="6"/>
    </row>
    <row r="649" spans="1:3" x14ac:dyDescent="0.3">
      <c r="A649" s="6"/>
      <c r="B649" s="6"/>
      <c r="C649" s="6"/>
    </row>
    <row r="650" spans="1:3" x14ac:dyDescent="0.3">
      <c r="A650" s="6"/>
      <c r="B650" s="6"/>
      <c r="C650" s="6"/>
    </row>
    <row r="651" spans="1:3" x14ac:dyDescent="0.3">
      <c r="A651" s="6"/>
      <c r="B651" s="6"/>
      <c r="C651" s="6"/>
    </row>
    <row r="652" spans="1:3" x14ac:dyDescent="0.3">
      <c r="A652" s="6"/>
      <c r="B652" s="6"/>
      <c r="C652" s="6"/>
    </row>
    <row r="653" spans="1:3" x14ac:dyDescent="0.3">
      <c r="A653" s="6"/>
      <c r="B653" s="6"/>
      <c r="C653" s="6"/>
    </row>
    <row r="654" spans="1:3" x14ac:dyDescent="0.3">
      <c r="A654" s="6"/>
      <c r="B654" s="6"/>
      <c r="C654" s="6"/>
    </row>
    <row r="655" spans="1:3" x14ac:dyDescent="0.3">
      <c r="A655" s="6"/>
      <c r="B655" s="6"/>
      <c r="C655" s="6"/>
    </row>
    <row r="656" spans="1:3" x14ac:dyDescent="0.3">
      <c r="A656" s="6"/>
      <c r="B656" s="6"/>
      <c r="C656" s="6"/>
    </row>
    <row r="657" spans="1:3" x14ac:dyDescent="0.3">
      <c r="A657" s="6"/>
      <c r="B657" s="6"/>
      <c r="C657" s="6"/>
    </row>
    <row r="658" spans="1:3" x14ac:dyDescent="0.3">
      <c r="A658" s="6"/>
      <c r="B658" s="6"/>
      <c r="C658" s="6"/>
    </row>
    <row r="659" spans="1:3" x14ac:dyDescent="0.3">
      <c r="A659" s="6"/>
      <c r="B659" s="6"/>
      <c r="C659" s="6"/>
    </row>
    <row r="660" spans="1:3" x14ac:dyDescent="0.3">
      <c r="A660" s="6"/>
      <c r="B660" s="6"/>
      <c r="C660" s="6"/>
    </row>
    <row r="661" spans="1:3" x14ac:dyDescent="0.3">
      <c r="A661" s="6"/>
      <c r="B661" s="6"/>
      <c r="C661" s="6"/>
    </row>
    <row r="662" spans="1:3" x14ac:dyDescent="0.3">
      <c r="A662" s="6"/>
      <c r="B662" s="6"/>
      <c r="C662" s="6"/>
    </row>
    <row r="663" spans="1:3" x14ac:dyDescent="0.3">
      <c r="A663" s="6"/>
      <c r="B663" s="6"/>
      <c r="C663" s="6"/>
    </row>
    <row r="664" spans="1:3" x14ac:dyDescent="0.3">
      <c r="A664" s="6"/>
      <c r="B664" s="6"/>
      <c r="C664" s="6"/>
    </row>
    <row r="665" spans="1:3" x14ac:dyDescent="0.3">
      <c r="A665" s="6"/>
      <c r="B665" s="6"/>
      <c r="C665" s="6"/>
    </row>
    <row r="666" spans="1:3" x14ac:dyDescent="0.3">
      <c r="A666" s="6"/>
      <c r="B666" s="6"/>
      <c r="C666" s="6"/>
    </row>
    <row r="667" spans="1:3" x14ac:dyDescent="0.3">
      <c r="A667" s="6"/>
      <c r="B667" s="6"/>
      <c r="C667" s="6"/>
    </row>
    <row r="668" spans="1:3" x14ac:dyDescent="0.3">
      <c r="A668" s="6"/>
      <c r="B668" s="6"/>
      <c r="C668" s="6"/>
    </row>
    <row r="669" spans="1:3" x14ac:dyDescent="0.3">
      <c r="A669" s="6"/>
      <c r="B669" s="6"/>
      <c r="C669" s="6"/>
    </row>
    <row r="670" spans="1:3" x14ac:dyDescent="0.3">
      <c r="A670" s="6"/>
      <c r="B670" s="6"/>
      <c r="C670" s="6"/>
    </row>
    <row r="671" spans="1:3" x14ac:dyDescent="0.3">
      <c r="A671" s="6"/>
      <c r="B671" s="6"/>
      <c r="C671" s="6"/>
    </row>
    <row r="672" spans="1:3" x14ac:dyDescent="0.3">
      <c r="A672" s="6"/>
      <c r="B672" s="6"/>
      <c r="C672" s="6"/>
    </row>
    <row r="673" spans="1:3" x14ac:dyDescent="0.3">
      <c r="A673" s="6"/>
      <c r="B673" s="6"/>
      <c r="C673" s="6"/>
    </row>
    <row r="674" spans="1:3" x14ac:dyDescent="0.3">
      <c r="A674" s="6"/>
      <c r="B674" s="6"/>
      <c r="C674" s="6"/>
    </row>
    <row r="675" spans="1:3" x14ac:dyDescent="0.3">
      <c r="A675" s="6"/>
      <c r="B675" s="6"/>
      <c r="C675" s="6"/>
    </row>
    <row r="676" spans="1:3" x14ac:dyDescent="0.3">
      <c r="A676" s="6"/>
      <c r="B676" s="6"/>
      <c r="C676" s="6"/>
    </row>
    <row r="677" spans="1:3" x14ac:dyDescent="0.3">
      <c r="A677" s="6"/>
      <c r="B677" s="6"/>
      <c r="C677" s="6"/>
    </row>
    <row r="678" spans="1:3" x14ac:dyDescent="0.3">
      <c r="A678" s="6"/>
      <c r="B678" s="6"/>
      <c r="C678" s="6"/>
    </row>
    <row r="679" spans="1:3" x14ac:dyDescent="0.3">
      <c r="A679" s="6"/>
      <c r="B679" s="6"/>
      <c r="C679" s="6"/>
    </row>
    <row r="680" spans="1:3" x14ac:dyDescent="0.3">
      <c r="A680" s="6"/>
      <c r="B680" s="6"/>
      <c r="C680" s="6"/>
    </row>
    <row r="681" spans="1:3" x14ac:dyDescent="0.3">
      <c r="A681" s="6"/>
      <c r="B681" s="6"/>
      <c r="C681" s="6"/>
    </row>
    <row r="682" spans="1:3" x14ac:dyDescent="0.3">
      <c r="A682" s="6"/>
      <c r="B682" s="6"/>
      <c r="C682" s="6"/>
    </row>
    <row r="683" spans="1:3" x14ac:dyDescent="0.3">
      <c r="A683" s="6"/>
      <c r="B683" s="6"/>
      <c r="C683" s="6"/>
    </row>
    <row r="684" spans="1:3" x14ac:dyDescent="0.3">
      <c r="A684" s="6"/>
      <c r="B684" s="6"/>
      <c r="C684" s="6"/>
    </row>
    <row r="685" spans="1:3" x14ac:dyDescent="0.3">
      <c r="A685" s="6"/>
      <c r="B685" s="6"/>
      <c r="C685" s="6"/>
    </row>
    <row r="686" spans="1:3" x14ac:dyDescent="0.3">
      <c r="A686" s="6"/>
      <c r="B686" s="6"/>
      <c r="C686" s="6"/>
    </row>
    <row r="687" spans="1:3" x14ac:dyDescent="0.3">
      <c r="A687" s="6"/>
      <c r="B687" s="6"/>
      <c r="C687" s="6"/>
    </row>
    <row r="688" spans="1:3" x14ac:dyDescent="0.3">
      <c r="A688" s="6"/>
      <c r="B688" s="6"/>
      <c r="C688" s="6"/>
    </row>
    <row r="689" spans="1:3" x14ac:dyDescent="0.3">
      <c r="A689" s="6"/>
      <c r="B689" s="6"/>
      <c r="C689" s="6"/>
    </row>
    <row r="690" spans="1:3" x14ac:dyDescent="0.3">
      <c r="A690" s="6"/>
      <c r="B690" s="6"/>
      <c r="C690" s="6"/>
    </row>
    <row r="691" spans="1:3" x14ac:dyDescent="0.3">
      <c r="A691" s="6"/>
      <c r="B691" s="6"/>
      <c r="C691" s="6"/>
    </row>
    <row r="692" spans="1:3" x14ac:dyDescent="0.3">
      <c r="A692" s="6"/>
      <c r="B692" s="6"/>
      <c r="C692" s="6"/>
    </row>
    <row r="693" spans="1:3" x14ac:dyDescent="0.3">
      <c r="A693" s="6"/>
      <c r="B693" s="6"/>
      <c r="C693" s="6"/>
    </row>
    <row r="694" spans="1:3" x14ac:dyDescent="0.3">
      <c r="A694" s="6"/>
      <c r="B694" s="6"/>
      <c r="C694" s="6"/>
    </row>
    <row r="695" spans="1:3" x14ac:dyDescent="0.3">
      <c r="A695" s="6"/>
      <c r="B695" s="6"/>
      <c r="C695" s="6"/>
    </row>
    <row r="696" spans="1:3" x14ac:dyDescent="0.3">
      <c r="A696" s="6"/>
      <c r="B696" s="6"/>
      <c r="C696" s="6"/>
    </row>
    <row r="697" spans="1:3" x14ac:dyDescent="0.3">
      <c r="A697" s="6"/>
      <c r="B697" s="6"/>
      <c r="C697" s="6"/>
    </row>
    <row r="698" spans="1:3" x14ac:dyDescent="0.3">
      <c r="A698" s="6"/>
      <c r="B698" s="6"/>
      <c r="C698" s="6"/>
    </row>
    <row r="699" spans="1:3" x14ac:dyDescent="0.3">
      <c r="A699" s="6"/>
      <c r="B699" s="6"/>
      <c r="C699" s="6"/>
    </row>
    <row r="700" spans="1:3" x14ac:dyDescent="0.3">
      <c r="A700" s="6"/>
      <c r="B700" s="6"/>
      <c r="C700" s="6"/>
    </row>
    <row r="701" spans="1:3" x14ac:dyDescent="0.3">
      <c r="A701" s="6"/>
      <c r="B701" s="6"/>
      <c r="C701" s="6"/>
    </row>
    <row r="702" spans="1:3" x14ac:dyDescent="0.3">
      <c r="A702" s="6"/>
      <c r="B702" s="6"/>
      <c r="C702" s="6"/>
    </row>
    <row r="703" spans="1:3" x14ac:dyDescent="0.3">
      <c r="A703" s="6"/>
      <c r="B703" s="6"/>
      <c r="C703" s="6"/>
    </row>
    <row r="704" spans="1:3" x14ac:dyDescent="0.3">
      <c r="A704" s="6"/>
      <c r="B704" s="6"/>
      <c r="C704" s="6"/>
    </row>
    <row r="705" spans="1:3" x14ac:dyDescent="0.3">
      <c r="A705" s="6"/>
      <c r="B705" s="6"/>
      <c r="C705" s="6"/>
    </row>
    <row r="706" spans="1:3" x14ac:dyDescent="0.3">
      <c r="A706" s="6"/>
      <c r="B706" s="6"/>
      <c r="C706" s="6"/>
    </row>
    <row r="707" spans="1:3" x14ac:dyDescent="0.3">
      <c r="A707" s="6"/>
      <c r="B707" s="6"/>
      <c r="C707" s="6"/>
    </row>
    <row r="708" spans="1:3" x14ac:dyDescent="0.3">
      <c r="A708" s="6"/>
      <c r="B708" s="6"/>
      <c r="C708" s="6"/>
    </row>
    <row r="709" spans="1:3" x14ac:dyDescent="0.3">
      <c r="A709" s="6"/>
      <c r="B709" s="6"/>
      <c r="C709" s="6"/>
    </row>
    <row r="710" spans="1:3" x14ac:dyDescent="0.3">
      <c r="A710" s="6"/>
      <c r="B710" s="6"/>
      <c r="C710" s="6"/>
    </row>
    <row r="711" spans="1:3" x14ac:dyDescent="0.3">
      <c r="A711" s="6"/>
      <c r="B711" s="6"/>
      <c r="C711" s="6"/>
    </row>
    <row r="712" spans="1:3" x14ac:dyDescent="0.3">
      <c r="A712" s="6"/>
      <c r="B712" s="6"/>
      <c r="C712" s="6"/>
    </row>
    <row r="713" spans="1:3" x14ac:dyDescent="0.3">
      <c r="A713" s="6"/>
      <c r="B713" s="6"/>
      <c r="C713" s="6"/>
    </row>
    <row r="714" spans="1:3" x14ac:dyDescent="0.3">
      <c r="A714" s="6"/>
      <c r="B714" s="6"/>
      <c r="C714" s="6"/>
    </row>
    <row r="715" spans="1:3" x14ac:dyDescent="0.3">
      <c r="A715" s="6"/>
      <c r="B715" s="6"/>
      <c r="C715" s="6"/>
    </row>
    <row r="716" spans="1:3" x14ac:dyDescent="0.3">
      <c r="A716" s="6"/>
      <c r="B716" s="6"/>
      <c r="C716" s="6"/>
    </row>
    <row r="717" spans="1:3" x14ac:dyDescent="0.3">
      <c r="A717" s="6"/>
      <c r="B717" s="6"/>
      <c r="C717" s="6"/>
    </row>
    <row r="718" spans="1:3" x14ac:dyDescent="0.3">
      <c r="A718" s="6"/>
      <c r="B718" s="6"/>
      <c r="C718" s="6"/>
    </row>
    <row r="719" spans="1:3" x14ac:dyDescent="0.3">
      <c r="A719" s="6"/>
      <c r="B719" s="6"/>
      <c r="C719" s="6"/>
    </row>
    <row r="720" spans="1:3" x14ac:dyDescent="0.3">
      <c r="A720" s="6"/>
      <c r="B720" s="6"/>
      <c r="C720" s="6"/>
    </row>
    <row r="721" spans="1:3" x14ac:dyDescent="0.3">
      <c r="A721" s="6"/>
      <c r="B721" s="6"/>
      <c r="C721" s="6"/>
    </row>
    <row r="722" spans="1:3" x14ac:dyDescent="0.3">
      <c r="A722" s="6"/>
      <c r="B722" s="6"/>
      <c r="C722" s="6"/>
    </row>
    <row r="723" spans="1:3" x14ac:dyDescent="0.3">
      <c r="A723" s="6"/>
      <c r="B723" s="6"/>
      <c r="C723" s="6"/>
    </row>
    <row r="724" spans="1:3" x14ac:dyDescent="0.3">
      <c r="A724" s="6"/>
      <c r="B724" s="6"/>
      <c r="C724" s="6"/>
    </row>
    <row r="725" spans="1:3" x14ac:dyDescent="0.3">
      <c r="A725" s="6"/>
      <c r="B725" s="6"/>
      <c r="C725" s="6"/>
    </row>
    <row r="726" spans="1:3" x14ac:dyDescent="0.3">
      <c r="A726" s="6"/>
      <c r="B726" s="6"/>
      <c r="C726" s="6"/>
    </row>
    <row r="727" spans="1:3" x14ac:dyDescent="0.3">
      <c r="A727" s="6"/>
      <c r="B727" s="6"/>
      <c r="C727" s="6"/>
    </row>
    <row r="728" spans="1:3" x14ac:dyDescent="0.3">
      <c r="A728" s="6"/>
      <c r="B728" s="6"/>
      <c r="C728" s="6"/>
    </row>
    <row r="729" spans="1:3" x14ac:dyDescent="0.3">
      <c r="A729" s="6"/>
      <c r="B729" s="6"/>
      <c r="C729" s="6"/>
    </row>
    <row r="730" spans="1:3" x14ac:dyDescent="0.3">
      <c r="A730" s="6"/>
      <c r="B730" s="6"/>
      <c r="C730" s="6"/>
    </row>
    <row r="731" spans="1:3" x14ac:dyDescent="0.3">
      <c r="A731" s="6"/>
      <c r="B731" s="6"/>
      <c r="C731" s="6"/>
    </row>
    <row r="732" spans="1:3" x14ac:dyDescent="0.3">
      <c r="A732" s="6"/>
      <c r="B732" s="6"/>
      <c r="C732" s="6"/>
    </row>
    <row r="733" spans="1:3" x14ac:dyDescent="0.3">
      <c r="A733" s="6"/>
      <c r="B733" s="6"/>
      <c r="C733" s="6"/>
    </row>
    <row r="734" spans="1:3" x14ac:dyDescent="0.3">
      <c r="A734" s="6"/>
      <c r="B734" s="6"/>
      <c r="C734" s="6"/>
    </row>
    <row r="735" spans="1:3" x14ac:dyDescent="0.3">
      <c r="A735" s="6"/>
      <c r="B735" s="6"/>
      <c r="C735" s="6"/>
    </row>
    <row r="736" spans="1:3" x14ac:dyDescent="0.3">
      <c r="A736" s="6"/>
      <c r="B736" s="6"/>
      <c r="C736" s="6"/>
    </row>
    <row r="737" spans="1:3" x14ac:dyDescent="0.3">
      <c r="A737" s="6"/>
      <c r="B737" s="6"/>
      <c r="C737" s="6"/>
    </row>
    <row r="738" spans="1:3" x14ac:dyDescent="0.3">
      <c r="A738" s="6"/>
      <c r="B738" s="6"/>
      <c r="C738" s="6"/>
    </row>
    <row r="739" spans="1:3" x14ac:dyDescent="0.3">
      <c r="A739" s="6"/>
      <c r="B739" s="6"/>
      <c r="C739" s="6"/>
    </row>
    <row r="740" spans="1:3" x14ac:dyDescent="0.3">
      <c r="A740" s="6"/>
      <c r="B740" s="6"/>
      <c r="C740" s="6"/>
    </row>
    <row r="741" spans="1:3" x14ac:dyDescent="0.3">
      <c r="A741" s="6"/>
      <c r="B741" s="6"/>
      <c r="C741" s="6"/>
    </row>
    <row r="742" spans="1:3" x14ac:dyDescent="0.3">
      <c r="A742" s="6"/>
      <c r="B742" s="6"/>
      <c r="C742" s="6"/>
    </row>
    <row r="743" spans="1:3" x14ac:dyDescent="0.3">
      <c r="A743" s="6"/>
      <c r="B743" s="6"/>
      <c r="C743" s="6"/>
    </row>
    <row r="744" spans="1:3" x14ac:dyDescent="0.3">
      <c r="A744" s="6"/>
      <c r="B744" s="6"/>
      <c r="C744" s="6"/>
    </row>
    <row r="745" spans="1:3" x14ac:dyDescent="0.3">
      <c r="A745" s="6"/>
      <c r="B745" s="6"/>
      <c r="C745" s="6"/>
    </row>
    <row r="746" spans="1:3" x14ac:dyDescent="0.3">
      <c r="A746" s="6"/>
      <c r="B746" s="6"/>
      <c r="C746" s="6"/>
    </row>
    <row r="747" spans="1:3" x14ac:dyDescent="0.3">
      <c r="A747" s="6"/>
      <c r="B747" s="6"/>
      <c r="C747" s="6"/>
    </row>
    <row r="748" spans="1:3" x14ac:dyDescent="0.3">
      <c r="A748" s="6"/>
      <c r="B748" s="6"/>
      <c r="C748" s="6"/>
    </row>
    <row r="749" spans="1:3" x14ac:dyDescent="0.3">
      <c r="A749" s="6"/>
      <c r="B749" s="6"/>
      <c r="C749" s="6"/>
    </row>
    <row r="750" spans="1:3" x14ac:dyDescent="0.3">
      <c r="A750" s="6"/>
      <c r="B750" s="6"/>
      <c r="C750" s="6"/>
    </row>
    <row r="751" spans="1:3" x14ac:dyDescent="0.3">
      <c r="A751" s="6"/>
      <c r="B751" s="6"/>
      <c r="C751" s="6"/>
    </row>
    <row r="752" spans="1:3" x14ac:dyDescent="0.3">
      <c r="A752" s="6"/>
      <c r="B752" s="6"/>
      <c r="C752" s="6"/>
    </row>
    <row r="753" spans="1:3" x14ac:dyDescent="0.3">
      <c r="A753" s="6"/>
      <c r="B753" s="6"/>
      <c r="C753" s="6"/>
    </row>
    <row r="754" spans="1:3" x14ac:dyDescent="0.3">
      <c r="A754" s="6"/>
      <c r="B754" s="6"/>
      <c r="C754" s="6"/>
    </row>
    <row r="755" spans="1:3" x14ac:dyDescent="0.3">
      <c r="A755" s="6"/>
      <c r="B755" s="6"/>
      <c r="C755" s="6"/>
    </row>
    <row r="756" spans="1:3" x14ac:dyDescent="0.3">
      <c r="A756" s="6"/>
      <c r="B756" s="6"/>
      <c r="C756" s="6"/>
    </row>
    <row r="757" spans="1:3" x14ac:dyDescent="0.3">
      <c r="A757" s="6"/>
      <c r="B757" s="6"/>
      <c r="C757" s="6"/>
    </row>
    <row r="758" spans="1:3" x14ac:dyDescent="0.3">
      <c r="A758" s="6"/>
      <c r="B758" s="6"/>
      <c r="C758" s="6"/>
    </row>
    <row r="759" spans="1:3" x14ac:dyDescent="0.3">
      <c r="A759" s="6"/>
      <c r="B759" s="6"/>
      <c r="C759" s="6"/>
    </row>
    <row r="760" spans="1:3" x14ac:dyDescent="0.3">
      <c r="A760" s="6"/>
      <c r="B760" s="6"/>
      <c r="C760" s="6"/>
    </row>
    <row r="761" spans="1:3" x14ac:dyDescent="0.3">
      <c r="A761" s="6"/>
      <c r="B761" s="6"/>
      <c r="C761" s="6"/>
    </row>
    <row r="762" spans="1:3" x14ac:dyDescent="0.3">
      <c r="A762" s="6"/>
      <c r="B762" s="6"/>
      <c r="C762" s="6"/>
    </row>
    <row r="763" spans="1:3" x14ac:dyDescent="0.3">
      <c r="A763" s="6"/>
      <c r="B763" s="6"/>
      <c r="C763" s="6"/>
    </row>
    <row r="764" spans="1:3" x14ac:dyDescent="0.3">
      <c r="A764" s="6"/>
      <c r="B764" s="6"/>
      <c r="C764" s="6"/>
    </row>
    <row r="765" spans="1:3" x14ac:dyDescent="0.3">
      <c r="A765" s="6"/>
      <c r="B765" s="6"/>
      <c r="C765" s="6"/>
    </row>
    <row r="766" spans="1:3" x14ac:dyDescent="0.3">
      <c r="A766" s="6"/>
      <c r="B766" s="6"/>
      <c r="C766" s="6"/>
    </row>
    <row r="767" spans="1:3" x14ac:dyDescent="0.3">
      <c r="A767" s="6"/>
      <c r="B767" s="6"/>
      <c r="C767" s="6"/>
    </row>
    <row r="768" spans="1:3" x14ac:dyDescent="0.3">
      <c r="A768" s="6"/>
      <c r="B768" s="6"/>
      <c r="C768" s="6"/>
    </row>
    <row r="769" spans="1:3" x14ac:dyDescent="0.3">
      <c r="A769" s="6"/>
      <c r="B769" s="6"/>
      <c r="C769" s="6"/>
    </row>
    <row r="770" spans="1:3" x14ac:dyDescent="0.3">
      <c r="A770" s="6"/>
      <c r="B770" s="6"/>
      <c r="C770" s="6"/>
    </row>
    <row r="771" spans="1:3" x14ac:dyDescent="0.3">
      <c r="A771" s="6"/>
      <c r="B771" s="6"/>
      <c r="C771" s="6"/>
    </row>
    <row r="772" spans="1:3" x14ac:dyDescent="0.3">
      <c r="A772" s="6"/>
      <c r="B772" s="6"/>
      <c r="C772" s="6"/>
    </row>
    <row r="773" spans="1:3" x14ac:dyDescent="0.3">
      <c r="A773" s="6"/>
      <c r="B773" s="6"/>
      <c r="C773" s="6"/>
    </row>
    <row r="774" spans="1:3" x14ac:dyDescent="0.3">
      <c r="A774" s="6"/>
      <c r="B774" s="6"/>
      <c r="C774" s="6"/>
    </row>
    <row r="775" spans="1:3" x14ac:dyDescent="0.3">
      <c r="A775" s="6"/>
      <c r="B775" s="6"/>
      <c r="C775" s="6"/>
    </row>
    <row r="776" spans="1:3" x14ac:dyDescent="0.3">
      <c r="A776" s="6"/>
      <c r="B776" s="6"/>
      <c r="C776" s="6"/>
    </row>
    <row r="777" spans="1:3" x14ac:dyDescent="0.3">
      <c r="A777" s="6"/>
      <c r="B777" s="6"/>
      <c r="C777" s="6"/>
    </row>
    <row r="778" spans="1:3" x14ac:dyDescent="0.3">
      <c r="A778" s="6"/>
      <c r="B778" s="6"/>
      <c r="C778" s="6"/>
    </row>
    <row r="779" spans="1:3" x14ac:dyDescent="0.3">
      <c r="A779" s="6"/>
      <c r="B779" s="6"/>
      <c r="C779" s="6"/>
    </row>
    <row r="780" spans="1:3" x14ac:dyDescent="0.3">
      <c r="A780" s="6"/>
      <c r="B780" s="6"/>
      <c r="C780" s="6"/>
    </row>
    <row r="781" spans="1:3" x14ac:dyDescent="0.3">
      <c r="A781" s="6"/>
      <c r="B781" s="6"/>
      <c r="C781" s="6"/>
    </row>
    <row r="782" spans="1:3" x14ac:dyDescent="0.3">
      <c r="A782" s="6"/>
      <c r="B782" s="6"/>
      <c r="C782" s="6"/>
    </row>
    <row r="783" spans="1:3" x14ac:dyDescent="0.3">
      <c r="A783" s="6"/>
      <c r="B783" s="6"/>
      <c r="C783" s="6"/>
    </row>
    <row r="784" spans="1:3" x14ac:dyDescent="0.3">
      <c r="A784" s="6"/>
      <c r="B784" s="6"/>
      <c r="C784" s="6"/>
    </row>
    <row r="785" spans="1:3" x14ac:dyDescent="0.3">
      <c r="A785" s="6"/>
      <c r="B785" s="6"/>
      <c r="C785" s="6"/>
    </row>
    <row r="786" spans="1:3" x14ac:dyDescent="0.3">
      <c r="A786" s="6"/>
      <c r="B786" s="6"/>
      <c r="C786" s="6"/>
    </row>
    <row r="787" spans="1:3" x14ac:dyDescent="0.3">
      <c r="A787" s="6"/>
      <c r="B787" s="6"/>
      <c r="C787" s="6"/>
    </row>
    <row r="788" spans="1:3" x14ac:dyDescent="0.3">
      <c r="A788" s="6"/>
      <c r="B788" s="6"/>
      <c r="C788" s="6"/>
    </row>
    <row r="789" spans="1:3" x14ac:dyDescent="0.3">
      <c r="A789" s="6"/>
      <c r="B789" s="6"/>
      <c r="C789" s="6"/>
    </row>
    <row r="790" spans="1:3" x14ac:dyDescent="0.3">
      <c r="A790" s="6"/>
      <c r="B790" s="6"/>
      <c r="C790" s="6"/>
    </row>
    <row r="791" spans="1:3" x14ac:dyDescent="0.3">
      <c r="A791" s="6"/>
      <c r="B791" s="6"/>
      <c r="C791" s="6"/>
    </row>
    <row r="792" spans="1:3" x14ac:dyDescent="0.3">
      <c r="A792" s="6"/>
      <c r="B792" s="6"/>
      <c r="C792" s="6"/>
    </row>
    <row r="793" spans="1:3" x14ac:dyDescent="0.3">
      <c r="A793" s="6"/>
      <c r="B793" s="6"/>
      <c r="C793" s="6"/>
    </row>
    <row r="794" spans="1:3" x14ac:dyDescent="0.3">
      <c r="A794" s="6"/>
      <c r="B794" s="6"/>
      <c r="C794" s="6"/>
    </row>
    <row r="795" spans="1:3" x14ac:dyDescent="0.3">
      <c r="A795" s="6"/>
      <c r="B795" s="6"/>
      <c r="C795" s="6"/>
    </row>
    <row r="796" spans="1:3" x14ac:dyDescent="0.3">
      <c r="A796" s="6"/>
      <c r="B796" s="6"/>
      <c r="C796" s="6"/>
    </row>
    <row r="797" spans="1:3" x14ac:dyDescent="0.3">
      <c r="A797" s="6"/>
      <c r="B797" s="6"/>
      <c r="C797" s="6"/>
    </row>
    <row r="798" spans="1:3" x14ac:dyDescent="0.3">
      <c r="A798" s="6"/>
      <c r="B798" s="6"/>
      <c r="C798" s="6"/>
    </row>
    <row r="799" spans="1:3" x14ac:dyDescent="0.3">
      <c r="A799" s="6"/>
      <c r="B799" s="6"/>
      <c r="C799" s="6"/>
    </row>
    <row r="800" spans="1:3" x14ac:dyDescent="0.3">
      <c r="A800" s="6"/>
      <c r="B800" s="6"/>
      <c r="C800" s="6"/>
    </row>
    <row r="801" spans="1:3" x14ac:dyDescent="0.3">
      <c r="A801" s="6"/>
      <c r="B801" s="6"/>
      <c r="C801" s="6"/>
    </row>
    <row r="802" spans="1:3" x14ac:dyDescent="0.3">
      <c r="A802" s="6"/>
      <c r="B802" s="6"/>
      <c r="C802" s="6"/>
    </row>
    <row r="803" spans="1:3" x14ac:dyDescent="0.3">
      <c r="A803" s="6"/>
      <c r="B803" s="6"/>
      <c r="C803" s="6"/>
    </row>
    <row r="804" spans="1:3" x14ac:dyDescent="0.3">
      <c r="A804" s="6"/>
      <c r="B804" s="6"/>
      <c r="C804" s="6"/>
    </row>
    <row r="805" spans="1:3" x14ac:dyDescent="0.3">
      <c r="A805" s="6"/>
      <c r="B805" s="6"/>
      <c r="C805" s="6"/>
    </row>
    <row r="806" spans="1:3" x14ac:dyDescent="0.3">
      <c r="A806" s="6"/>
      <c r="B806" s="6"/>
      <c r="C806" s="6"/>
    </row>
    <row r="807" spans="1:3" x14ac:dyDescent="0.3">
      <c r="A807" s="6"/>
      <c r="B807" s="6"/>
      <c r="C807" s="6"/>
    </row>
    <row r="808" spans="1:3" x14ac:dyDescent="0.3">
      <c r="A808" s="6"/>
      <c r="B808" s="6"/>
      <c r="C808" s="6"/>
    </row>
    <row r="809" spans="1:3" x14ac:dyDescent="0.3">
      <c r="A809" s="6"/>
      <c r="B809" s="6"/>
      <c r="C809" s="6"/>
    </row>
    <row r="810" spans="1:3" x14ac:dyDescent="0.3">
      <c r="A810" s="6"/>
      <c r="B810" s="6"/>
      <c r="C810" s="6"/>
    </row>
    <row r="811" spans="1:3" x14ac:dyDescent="0.3">
      <c r="A811" s="6"/>
      <c r="B811" s="6"/>
      <c r="C811" s="6"/>
    </row>
    <row r="812" spans="1:3" x14ac:dyDescent="0.3">
      <c r="A812" s="6"/>
      <c r="B812" s="6"/>
      <c r="C812" s="6"/>
    </row>
    <row r="813" spans="1:3" x14ac:dyDescent="0.3">
      <c r="A813" s="6"/>
      <c r="B813" s="6"/>
      <c r="C813" s="6"/>
    </row>
    <row r="814" spans="1:3" x14ac:dyDescent="0.3">
      <c r="A814" s="6"/>
      <c r="B814" s="6"/>
      <c r="C814" s="6"/>
    </row>
    <row r="815" spans="1:3" x14ac:dyDescent="0.3">
      <c r="A815" s="6"/>
      <c r="B815" s="6"/>
      <c r="C815" s="6"/>
    </row>
    <row r="816" spans="1:3" x14ac:dyDescent="0.3">
      <c r="A816" s="6"/>
      <c r="B816" s="6"/>
      <c r="C816" s="6"/>
    </row>
    <row r="817" spans="1:3" x14ac:dyDescent="0.3">
      <c r="A817" s="6"/>
      <c r="B817" s="6"/>
      <c r="C817" s="6"/>
    </row>
    <row r="818" spans="1:3" x14ac:dyDescent="0.3">
      <c r="A818" s="6"/>
      <c r="B818" s="6"/>
      <c r="C818" s="6"/>
    </row>
    <row r="819" spans="1:3" x14ac:dyDescent="0.3">
      <c r="A819" s="6"/>
      <c r="B819" s="6"/>
      <c r="C819" s="6"/>
    </row>
    <row r="820" spans="1:3" x14ac:dyDescent="0.3">
      <c r="A820" s="6"/>
      <c r="B820" s="6"/>
      <c r="C820" s="6"/>
    </row>
    <row r="821" spans="1:3" x14ac:dyDescent="0.3">
      <c r="A821" s="6"/>
      <c r="B821" s="6"/>
      <c r="C821" s="6"/>
    </row>
    <row r="822" spans="1:3" x14ac:dyDescent="0.3">
      <c r="A822" s="6"/>
      <c r="B822" s="6"/>
      <c r="C822" s="6"/>
    </row>
    <row r="823" spans="1:3" x14ac:dyDescent="0.3">
      <c r="A823" s="6"/>
      <c r="B823" s="6"/>
      <c r="C823" s="6"/>
    </row>
    <row r="824" spans="1:3" x14ac:dyDescent="0.3">
      <c r="A824" s="6"/>
      <c r="B824" s="6"/>
      <c r="C824" s="6"/>
    </row>
    <row r="825" spans="1:3" x14ac:dyDescent="0.3">
      <c r="A825" s="6"/>
      <c r="B825" s="6"/>
      <c r="C825" s="6"/>
    </row>
    <row r="826" spans="1:3" x14ac:dyDescent="0.3">
      <c r="A826" s="6"/>
      <c r="B826" s="6"/>
      <c r="C826" s="6"/>
    </row>
    <row r="827" spans="1:3" x14ac:dyDescent="0.3">
      <c r="A827" s="6"/>
      <c r="B827" s="6"/>
      <c r="C827" s="6"/>
    </row>
    <row r="828" spans="1:3" x14ac:dyDescent="0.3">
      <c r="A828" s="6"/>
      <c r="B828" s="6"/>
      <c r="C828" s="6"/>
    </row>
    <row r="829" spans="1:3" x14ac:dyDescent="0.3">
      <c r="A829" s="6"/>
      <c r="B829" s="6"/>
      <c r="C829" s="6"/>
    </row>
    <row r="830" spans="1:3" x14ac:dyDescent="0.3">
      <c r="A830" s="6"/>
      <c r="B830" s="6"/>
      <c r="C830" s="6"/>
    </row>
    <row r="831" spans="1:3" x14ac:dyDescent="0.3">
      <c r="A831" s="6"/>
      <c r="B831" s="6"/>
      <c r="C831" s="6"/>
    </row>
    <row r="832" spans="1:3" x14ac:dyDescent="0.3">
      <c r="A832" s="6"/>
      <c r="B832" s="6"/>
      <c r="C832" s="6"/>
    </row>
    <row r="833" spans="1:3" x14ac:dyDescent="0.3">
      <c r="A833" s="6"/>
      <c r="B833" s="6"/>
      <c r="C833" s="6"/>
    </row>
    <row r="834" spans="1:3" x14ac:dyDescent="0.3">
      <c r="A834" s="6"/>
      <c r="B834" s="6"/>
      <c r="C834" s="6"/>
    </row>
    <row r="835" spans="1:3" x14ac:dyDescent="0.3">
      <c r="A835" s="6"/>
      <c r="B835" s="6"/>
      <c r="C835" s="6"/>
    </row>
    <row r="836" spans="1:3" x14ac:dyDescent="0.3">
      <c r="A836" s="6"/>
      <c r="B836" s="6"/>
      <c r="C836" s="6"/>
    </row>
    <row r="837" spans="1:3" x14ac:dyDescent="0.3">
      <c r="A837" s="6"/>
      <c r="B837" s="6"/>
      <c r="C837" s="6"/>
    </row>
    <row r="838" spans="1:3" x14ac:dyDescent="0.3">
      <c r="A838" s="6"/>
      <c r="B838" s="6"/>
      <c r="C838" s="6"/>
    </row>
    <row r="839" spans="1:3" x14ac:dyDescent="0.3">
      <c r="A839" s="6"/>
      <c r="B839" s="6"/>
      <c r="C839" s="6"/>
    </row>
    <row r="840" spans="1:3" x14ac:dyDescent="0.3">
      <c r="A840" s="6"/>
      <c r="B840" s="6"/>
      <c r="C840" s="6"/>
    </row>
    <row r="841" spans="1:3" x14ac:dyDescent="0.3">
      <c r="A841" s="6"/>
      <c r="B841" s="6"/>
      <c r="C841" s="6"/>
    </row>
    <row r="842" spans="1:3" x14ac:dyDescent="0.3">
      <c r="A842" s="6"/>
      <c r="B842" s="6"/>
      <c r="C842" s="6"/>
    </row>
    <row r="843" spans="1:3" x14ac:dyDescent="0.3">
      <c r="A843" s="6"/>
      <c r="B843" s="6"/>
      <c r="C843" s="6"/>
    </row>
    <row r="844" spans="1:3" x14ac:dyDescent="0.3">
      <c r="A844" s="6"/>
      <c r="B844" s="6"/>
      <c r="C844" s="6"/>
    </row>
    <row r="845" spans="1:3" x14ac:dyDescent="0.3">
      <c r="A845" s="6"/>
      <c r="B845" s="6"/>
      <c r="C845" s="6"/>
    </row>
    <row r="846" spans="1:3" x14ac:dyDescent="0.3">
      <c r="A846" s="6"/>
      <c r="B846" s="6"/>
      <c r="C846" s="6"/>
    </row>
    <row r="847" spans="1:3" x14ac:dyDescent="0.3">
      <c r="A847" s="6"/>
      <c r="B847" s="6"/>
      <c r="C847" s="6"/>
    </row>
    <row r="848" spans="1:3" x14ac:dyDescent="0.3">
      <c r="A848" s="6"/>
      <c r="B848" s="6"/>
      <c r="C848" s="6"/>
    </row>
    <row r="849" spans="1:3" x14ac:dyDescent="0.3">
      <c r="A849" s="6"/>
      <c r="B849" s="6"/>
      <c r="C849" s="6"/>
    </row>
    <row r="850" spans="1:3" x14ac:dyDescent="0.3">
      <c r="A850" s="6"/>
      <c r="B850" s="6"/>
      <c r="C850" s="6"/>
    </row>
    <row r="851" spans="1:3" x14ac:dyDescent="0.3">
      <c r="A851" s="6"/>
      <c r="B851" s="6"/>
      <c r="C851" s="6"/>
    </row>
    <row r="852" spans="1:3" x14ac:dyDescent="0.3">
      <c r="A852" s="6"/>
      <c r="B852" s="6"/>
      <c r="C852" s="6"/>
    </row>
    <row r="853" spans="1:3" x14ac:dyDescent="0.3">
      <c r="A853" s="6"/>
      <c r="B853" s="6"/>
      <c r="C853" s="6"/>
    </row>
    <row r="854" spans="1:3" x14ac:dyDescent="0.3">
      <c r="A854" s="6"/>
      <c r="B854" s="6"/>
      <c r="C854" s="6"/>
    </row>
    <row r="855" spans="1:3" x14ac:dyDescent="0.3">
      <c r="A855" s="6"/>
      <c r="B855" s="6"/>
      <c r="C855" s="6"/>
    </row>
    <row r="856" spans="1:3" x14ac:dyDescent="0.3">
      <c r="A856" s="6"/>
      <c r="B856" s="6"/>
      <c r="C856" s="6"/>
    </row>
    <row r="857" spans="1:3" x14ac:dyDescent="0.3">
      <c r="A857" s="6"/>
      <c r="B857" s="6"/>
      <c r="C857" s="6"/>
    </row>
    <row r="858" spans="1:3" x14ac:dyDescent="0.3">
      <c r="A858" s="6"/>
      <c r="B858" s="6"/>
      <c r="C858" s="6"/>
    </row>
    <row r="859" spans="1:3" x14ac:dyDescent="0.3">
      <c r="A859" s="6"/>
      <c r="B859" s="6"/>
      <c r="C859" s="6"/>
    </row>
    <row r="860" spans="1:3" x14ac:dyDescent="0.3">
      <c r="A860" s="6"/>
      <c r="B860" s="6"/>
      <c r="C860" s="6"/>
    </row>
    <row r="861" spans="1:3" x14ac:dyDescent="0.3">
      <c r="A861" s="6"/>
      <c r="B861" s="6"/>
      <c r="C861" s="6"/>
    </row>
    <row r="862" spans="1:3" x14ac:dyDescent="0.3">
      <c r="A862" s="6"/>
      <c r="B862" s="6"/>
      <c r="C862" s="6"/>
    </row>
    <row r="863" spans="1:3" x14ac:dyDescent="0.3">
      <c r="A863" s="6"/>
      <c r="B863" s="6"/>
      <c r="C863" s="6"/>
    </row>
    <row r="864" spans="1:3" x14ac:dyDescent="0.3">
      <c r="A864" s="6"/>
      <c r="B864" s="6"/>
      <c r="C864" s="6"/>
    </row>
    <row r="865" spans="1:3" x14ac:dyDescent="0.3">
      <c r="A865" s="6"/>
      <c r="B865" s="6"/>
      <c r="C865" s="6"/>
    </row>
    <row r="866" spans="1:3" x14ac:dyDescent="0.3">
      <c r="A866" s="6"/>
      <c r="B866" s="6"/>
      <c r="C866" s="6"/>
    </row>
    <row r="867" spans="1:3" x14ac:dyDescent="0.3">
      <c r="A867" s="6"/>
      <c r="B867" s="6"/>
      <c r="C867" s="6"/>
    </row>
    <row r="868" spans="1:3" x14ac:dyDescent="0.3">
      <c r="A868" s="6"/>
      <c r="B868" s="6"/>
      <c r="C868" s="6"/>
    </row>
    <row r="869" spans="1:3" x14ac:dyDescent="0.3">
      <c r="A869" s="6"/>
      <c r="B869" s="6"/>
      <c r="C869" s="6"/>
    </row>
    <row r="870" spans="1:3" x14ac:dyDescent="0.3">
      <c r="A870" s="6"/>
      <c r="B870" s="6"/>
      <c r="C870" s="6"/>
    </row>
    <row r="871" spans="1:3" x14ac:dyDescent="0.3">
      <c r="A871" s="6"/>
      <c r="B871" s="6"/>
      <c r="C871" s="6"/>
    </row>
    <row r="872" spans="1:3" x14ac:dyDescent="0.3">
      <c r="A872" s="6"/>
      <c r="B872" s="6"/>
      <c r="C872" s="6"/>
    </row>
    <row r="873" spans="1:3" x14ac:dyDescent="0.3">
      <c r="A873" s="6"/>
      <c r="B873" s="6"/>
      <c r="C873" s="6"/>
    </row>
    <row r="874" spans="1:3" x14ac:dyDescent="0.3">
      <c r="A874" s="6"/>
      <c r="B874" s="6"/>
      <c r="C874" s="6"/>
    </row>
    <row r="875" spans="1:3" x14ac:dyDescent="0.3">
      <c r="A875" s="6"/>
      <c r="B875" s="6"/>
      <c r="C875" s="6"/>
    </row>
    <row r="876" spans="1:3" x14ac:dyDescent="0.3">
      <c r="A876" s="6"/>
      <c r="B876" s="6"/>
      <c r="C876" s="6"/>
    </row>
    <row r="877" spans="1:3" x14ac:dyDescent="0.3">
      <c r="A877" s="6"/>
      <c r="B877" s="6"/>
      <c r="C877" s="6"/>
    </row>
    <row r="878" spans="1:3" x14ac:dyDescent="0.3">
      <c r="A878" s="6"/>
      <c r="B878" s="6"/>
      <c r="C878" s="6"/>
    </row>
    <row r="879" spans="1:3" x14ac:dyDescent="0.3">
      <c r="A879" s="6"/>
      <c r="B879" s="6"/>
      <c r="C879" s="6"/>
    </row>
    <row r="880" spans="1:3" x14ac:dyDescent="0.3">
      <c r="A880" s="6"/>
      <c r="B880" s="6"/>
      <c r="C880" s="6"/>
    </row>
    <row r="881" spans="1:3" x14ac:dyDescent="0.3">
      <c r="A881" s="6"/>
      <c r="B881" s="6"/>
      <c r="C881" s="6"/>
    </row>
    <row r="882" spans="1:3" x14ac:dyDescent="0.3">
      <c r="A882" s="6"/>
      <c r="B882" s="6"/>
      <c r="C882" s="6"/>
    </row>
    <row r="883" spans="1:3" x14ac:dyDescent="0.3">
      <c r="A883" s="6"/>
      <c r="B883" s="6"/>
      <c r="C883" s="6"/>
    </row>
    <row r="884" spans="1:3" x14ac:dyDescent="0.3">
      <c r="A884" s="6"/>
      <c r="B884" s="6"/>
      <c r="C884" s="6"/>
    </row>
    <row r="885" spans="1:3" x14ac:dyDescent="0.3">
      <c r="A885" s="6"/>
      <c r="B885" s="6"/>
      <c r="C885" s="6"/>
    </row>
    <row r="886" spans="1:3" x14ac:dyDescent="0.3">
      <c r="A886" s="6"/>
      <c r="B886" s="6"/>
      <c r="C886" s="6"/>
    </row>
    <row r="887" spans="1:3" x14ac:dyDescent="0.3">
      <c r="A887" s="6"/>
      <c r="B887" s="6"/>
      <c r="C887" s="6"/>
    </row>
    <row r="888" spans="1:3" x14ac:dyDescent="0.3">
      <c r="A888" s="6"/>
      <c r="B888" s="6"/>
      <c r="C888" s="6"/>
    </row>
    <row r="889" spans="1:3" x14ac:dyDescent="0.3">
      <c r="A889" s="6"/>
      <c r="B889" s="6"/>
      <c r="C889" s="6"/>
    </row>
    <row r="890" spans="1:3" x14ac:dyDescent="0.3">
      <c r="A890" s="6"/>
      <c r="B890" s="6"/>
      <c r="C890" s="6"/>
    </row>
    <row r="891" spans="1:3" x14ac:dyDescent="0.3">
      <c r="A891" s="6"/>
      <c r="B891" s="6"/>
      <c r="C891" s="6"/>
    </row>
    <row r="892" spans="1:3" x14ac:dyDescent="0.3">
      <c r="A892" s="6"/>
      <c r="B892" s="6"/>
      <c r="C892" s="6"/>
    </row>
    <row r="893" spans="1:3" x14ac:dyDescent="0.3">
      <c r="A893" s="6"/>
      <c r="B893" s="6"/>
      <c r="C893" s="6"/>
    </row>
    <row r="894" spans="1:3" x14ac:dyDescent="0.3">
      <c r="A894" s="6"/>
      <c r="B894" s="6"/>
      <c r="C894" s="6"/>
    </row>
    <row r="895" spans="1:3" x14ac:dyDescent="0.3">
      <c r="A895" s="6"/>
      <c r="B895" s="6"/>
      <c r="C895" s="6"/>
    </row>
    <row r="896" spans="1:3" x14ac:dyDescent="0.3">
      <c r="A896" s="6"/>
      <c r="B896" s="6"/>
      <c r="C896" s="6"/>
    </row>
    <row r="897" spans="1:3" x14ac:dyDescent="0.3">
      <c r="A897" s="6"/>
      <c r="B897" s="6"/>
      <c r="C897" s="6"/>
    </row>
    <row r="898" spans="1:3" x14ac:dyDescent="0.3">
      <c r="A898" s="6"/>
      <c r="B898" s="6"/>
      <c r="C898" s="6"/>
    </row>
    <row r="899" spans="1:3" x14ac:dyDescent="0.3">
      <c r="A899" s="6"/>
      <c r="B899" s="6"/>
      <c r="C899" s="6"/>
    </row>
    <row r="900" spans="1:3" x14ac:dyDescent="0.3">
      <c r="A900" s="6"/>
      <c r="B900" s="6"/>
      <c r="C900" s="6"/>
    </row>
    <row r="901" spans="1:3" x14ac:dyDescent="0.3">
      <c r="A901" s="6"/>
      <c r="B901" s="6"/>
      <c r="C901" s="6"/>
    </row>
    <row r="902" spans="1:3" x14ac:dyDescent="0.3">
      <c r="A902" s="6"/>
      <c r="B902" s="6"/>
      <c r="C902" s="6"/>
    </row>
    <row r="903" spans="1:3" x14ac:dyDescent="0.3">
      <c r="A903" s="6"/>
      <c r="B903" s="6"/>
      <c r="C903" s="6"/>
    </row>
    <row r="904" spans="1:3" x14ac:dyDescent="0.3">
      <c r="A904" s="6"/>
      <c r="B904" s="6"/>
      <c r="C904" s="6"/>
    </row>
    <row r="905" spans="1:3" x14ac:dyDescent="0.3">
      <c r="A905" s="6"/>
      <c r="B905" s="6"/>
      <c r="C905" s="6"/>
    </row>
    <row r="906" spans="1:3" x14ac:dyDescent="0.3">
      <c r="A906" s="6"/>
      <c r="B906" s="6"/>
      <c r="C906" s="6"/>
    </row>
    <row r="907" spans="1:3" x14ac:dyDescent="0.3">
      <c r="A907" s="6"/>
      <c r="B907" s="6"/>
      <c r="C907" s="6"/>
    </row>
    <row r="908" spans="1:3" x14ac:dyDescent="0.3">
      <c r="A908" s="6"/>
      <c r="B908" s="6"/>
      <c r="C908" s="6"/>
    </row>
    <row r="909" spans="1:3" x14ac:dyDescent="0.3">
      <c r="A909" s="6"/>
      <c r="B909" s="6"/>
      <c r="C909" s="6"/>
    </row>
    <row r="910" spans="1:3" x14ac:dyDescent="0.3">
      <c r="A910" s="6"/>
      <c r="B910" s="6"/>
      <c r="C910" s="6"/>
    </row>
    <row r="911" spans="1:3" x14ac:dyDescent="0.3">
      <c r="A911" s="6"/>
      <c r="B911" s="6"/>
      <c r="C911" s="6"/>
    </row>
    <row r="912" spans="1:3" x14ac:dyDescent="0.3">
      <c r="A912" s="6"/>
      <c r="B912" s="6"/>
      <c r="C912" s="6"/>
    </row>
    <row r="913" spans="1:3" x14ac:dyDescent="0.3">
      <c r="A913" s="6"/>
      <c r="B913" s="6"/>
      <c r="C913" s="6"/>
    </row>
    <row r="914" spans="1:3" x14ac:dyDescent="0.3">
      <c r="A914" s="6"/>
      <c r="B914" s="6"/>
      <c r="C914" s="6"/>
    </row>
    <row r="915" spans="1:3" x14ac:dyDescent="0.3">
      <c r="A915" s="6"/>
      <c r="B915" s="6"/>
      <c r="C915" s="6"/>
    </row>
    <row r="916" spans="1:3" x14ac:dyDescent="0.3">
      <c r="A916" s="6"/>
      <c r="B916" s="6"/>
      <c r="C916" s="6"/>
    </row>
    <row r="917" spans="1:3" x14ac:dyDescent="0.3">
      <c r="A917" s="6"/>
      <c r="B917" s="6"/>
      <c r="C917" s="6"/>
    </row>
    <row r="918" spans="1:3" x14ac:dyDescent="0.3">
      <c r="A918" s="6"/>
      <c r="B918" s="6"/>
      <c r="C918" s="6"/>
    </row>
    <row r="919" spans="1:3" x14ac:dyDescent="0.3">
      <c r="A919" s="6"/>
      <c r="B919" s="6"/>
      <c r="C919" s="6"/>
    </row>
    <row r="920" spans="1:3" x14ac:dyDescent="0.3">
      <c r="A920" s="6"/>
      <c r="B920" s="6"/>
      <c r="C920" s="6"/>
    </row>
    <row r="921" spans="1:3" x14ac:dyDescent="0.3">
      <c r="A921" s="6"/>
      <c r="B921" s="6"/>
      <c r="C921" s="6"/>
    </row>
    <row r="922" spans="1:3" x14ac:dyDescent="0.3">
      <c r="A922" s="6"/>
      <c r="B922" s="6"/>
      <c r="C922" s="6"/>
    </row>
    <row r="923" spans="1:3" x14ac:dyDescent="0.3">
      <c r="A923" s="6"/>
      <c r="B923" s="6"/>
      <c r="C923" s="6"/>
    </row>
    <row r="924" spans="1:3" x14ac:dyDescent="0.3">
      <c r="A924" s="6"/>
      <c r="B924" s="6"/>
      <c r="C924" s="6"/>
    </row>
    <row r="925" spans="1:3" x14ac:dyDescent="0.3">
      <c r="A925" s="6"/>
      <c r="B925" s="6"/>
      <c r="C925" s="6"/>
    </row>
    <row r="926" spans="1:3" x14ac:dyDescent="0.3">
      <c r="A926" s="6"/>
      <c r="B926" s="6"/>
      <c r="C926" s="6"/>
    </row>
    <row r="927" spans="1:3" x14ac:dyDescent="0.3">
      <c r="A927" s="6"/>
      <c r="B927" s="6"/>
      <c r="C927" s="6"/>
    </row>
    <row r="928" spans="1:3" x14ac:dyDescent="0.3">
      <c r="A928" s="6"/>
      <c r="B928" s="6"/>
      <c r="C928" s="6"/>
    </row>
    <row r="929" spans="1:3" x14ac:dyDescent="0.3">
      <c r="A929" s="6"/>
      <c r="B929" s="6"/>
      <c r="C929" s="6"/>
    </row>
    <row r="930" spans="1:3" x14ac:dyDescent="0.3">
      <c r="A930" s="6"/>
      <c r="B930" s="6"/>
      <c r="C930" s="6"/>
    </row>
    <row r="931" spans="1:3" x14ac:dyDescent="0.3">
      <c r="A931" s="6"/>
      <c r="B931" s="6"/>
      <c r="C931" s="6"/>
    </row>
    <row r="932" spans="1:3" x14ac:dyDescent="0.3">
      <c r="A932" s="6"/>
      <c r="B932" s="6"/>
      <c r="C932" s="6"/>
    </row>
    <row r="933" spans="1:3" x14ac:dyDescent="0.3">
      <c r="A933" s="6"/>
      <c r="B933" s="6"/>
      <c r="C933" s="6"/>
    </row>
    <row r="934" spans="1:3" x14ac:dyDescent="0.3">
      <c r="A934" s="6"/>
      <c r="B934" s="6"/>
      <c r="C934" s="6"/>
    </row>
    <row r="935" spans="1:3" x14ac:dyDescent="0.3">
      <c r="A935" s="6"/>
      <c r="B935" s="6"/>
      <c r="C935" s="6"/>
    </row>
    <row r="936" spans="1:3" x14ac:dyDescent="0.3">
      <c r="A936" s="6"/>
      <c r="B936" s="6"/>
      <c r="C936" s="6"/>
    </row>
    <row r="937" spans="1:3" x14ac:dyDescent="0.3">
      <c r="A937" s="6"/>
      <c r="B937" s="6"/>
      <c r="C937" s="6"/>
    </row>
    <row r="938" spans="1:3" x14ac:dyDescent="0.3">
      <c r="A938" s="6"/>
      <c r="B938" s="6"/>
      <c r="C938" s="6"/>
    </row>
    <row r="939" spans="1:3" x14ac:dyDescent="0.3">
      <c r="A939" s="6"/>
      <c r="B939" s="6"/>
      <c r="C939" s="6"/>
    </row>
    <row r="940" spans="1:3" x14ac:dyDescent="0.3">
      <c r="A940" s="6"/>
      <c r="B940" s="6"/>
      <c r="C940" s="6"/>
    </row>
    <row r="941" spans="1:3" x14ac:dyDescent="0.3">
      <c r="A941" s="6"/>
      <c r="B941" s="6"/>
      <c r="C941" s="6"/>
    </row>
    <row r="942" spans="1:3" x14ac:dyDescent="0.3">
      <c r="A942" s="6"/>
      <c r="B942" s="6"/>
      <c r="C942" s="6"/>
    </row>
    <row r="943" spans="1:3" x14ac:dyDescent="0.3">
      <c r="A943" s="6"/>
      <c r="B943" s="6"/>
      <c r="C943" s="6"/>
    </row>
    <row r="944" spans="1:3" x14ac:dyDescent="0.3">
      <c r="A944" s="6"/>
      <c r="B944" s="6"/>
      <c r="C944" s="6"/>
    </row>
    <row r="945" spans="1:3" x14ac:dyDescent="0.3">
      <c r="A945" s="6"/>
      <c r="B945" s="6"/>
      <c r="C945" s="6"/>
    </row>
    <row r="946" spans="1:3" x14ac:dyDescent="0.3">
      <c r="A946" s="6"/>
      <c r="B946" s="6"/>
      <c r="C946" s="6"/>
    </row>
    <row r="947" spans="1:3" x14ac:dyDescent="0.3">
      <c r="A947" s="6"/>
      <c r="B947" s="6"/>
      <c r="C947" s="6"/>
    </row>
    <row r="948" spans="1:3" x14ac:dyDescent="0.3">
      <c r="A948" s="6"/>
      <c r="B948" s="6"/>
      <c r="C948" s="6"/>
    </row>
    <row r="949" spans="1:3" x14ac:dyDescent="0.3">
      <c r="A949" s="6"/>
      <c r="B949" s="6"/>
      <c r="C949" s="6"/>
    </row>
    <row r="950" spans="1:3" x14ac:dyDescent="0.3">
      <c r="A950" s="6"/>
      <c r="B950" s="6"/>
      <c r="C950" s="6"/>
    </row>
    <row r="951" spans="1:3" x14ac:dyDescent="0.3">
      <c r="A951" s="6"/>
      <c r="B951" s="6"/>
      <c r="C951" s="6"/>
    </row>
    <row r="952" spans="1:3" x14ac:dyDescent="0.3">
      <c r="A952" s="6"/>
      <c r="B952" s="6"/>
      <c r="C952" s="6"/>
    </row>
    <row r="953" spans="1:3" x14ac:dyDescent="0.3">
      <c r="A953" s="6"/>
      <c r="B953" s="6"/>
      <c r="C953" s="6"/>
    </row>
    <row r="954" spans="1:3" x14ac:dyDescent="0.3">
      <c r="A954" s="6"/>
      <c r="B954" s="6"/>
      <c r="C954" s="6"/>
    </row>
    <row r="955" spans="1:3" x14ac:dyDescent="0.3">
      <c r="A955" s="6"/>
      <c r="B955" s="6"/>
      <c r="C955" s="6"/>
    </row>
    <row r="956" spans="1:3" x14ac:dyDescent="0.3">
      <c r="A956" s="6"/>
      <c r="B956" s="6"/>
      <c r="C956" s="6"/>
    </row>
    <row r="957" spans="1:3" x14ac:dyDescent="0.3">
      <c r="A957" s="6"/>
      <c r="B957" s="6"/>
      <c r="C957" s="6"/>
    </row>
    <row r="958" spans="1:3" x14ac:dyDescent="0.3">
      <c r="A958" s="6"/>
      <c r="B958" s="6"/>
      <c r="C958" s="6"/>
    </row>
    <row r="959" spans="1:3" x14ac:dyDescent="0.3">
      <c r="A959" s="6"/>
      <c r="B959" s="6"/>
      <c r="C959" s="6"/>
    </row>
    <row r="960" spans="1:3" x14ac:dyDescent="0.3">
      <c r="A960" s="6"/>
      <c r="B960" s="6"/>
      <c r="C960" s="6"/>
    </row>
    <row r="961" spans="1:3" x14ac:dyDescent="0.3">
      <c r="A961" s="6"/>
      <c r="B961" s="6"/>
      <c r="C961" s="6"/>
    </row>
    <row r="962" spans="1:3" x14ac:dyDescent="0.3">
      <c r="A962" s="6"/>
      <c r="B962" s="6"/>
      <c r="C962" s="6"/>
    </row>
    <row r="963" spans="1:3" x14ac:dyDescent="0.3">
      <c r="A963" s="6"/>
      <c r="B963" s="6"/>
      <c r="C963" s="6"/>
    </row>
    <row r="964" spans="1:3" x14ac:dyDescent="0.3">
      <c r="A964" s="6"/>
      <c r="B964" s="6"/>
      <c r="C964" s="6"/>
    </row>
    <row r="965" spans="1:3" x14ac:dyDescent="0.3">
      <c r="A965" s="6"/>
      <c r="B965" s="6"/>
      <c r="C965" s="6"/>
    </row>
    <row r="966" spans="1:3" x14ac:dyDescent="0.3">
      <c r="A966" s="6"/>
      <c r="B966" s="6"/>
      <c r="C966" s="6"/>
    </row>
    <row r="967" spans="1:3" x14ac:dyDescent="0.3">
      <c r="A967" s="6"/>
      <c r="B967" s="6"/>
      <c r="C967" s="6"/>
    </row>
    <row r="968" spans="1:3" x14ac:dyDescent="0.3">
      <c r="A968" s="6"/>
      <c r="B968" s="6"/>
      <c r="C968" s="6"/>
    </row>
    <row r="969" spans="1:3" x14ac:dyDescent="0.3">
      <c r="A969" s="6"/>
      <c r="B969" s="6"/>
      <c r="C969" s="6"/>
    </row>
    <row r="970" spans="1:3" x14ac:dyDescent="0.3">
      <c r="A970" s="6"/>
      <c r="B970" s="6"/>
      <c r="C970" s="6"/>
    </row>
    <row r="971" spans="1:3" x14ac:dyDescent="0.3">
      <c r="A971" s="6"/>
      <c r="B971" s="6"/>
      <c r="C971" s="6"/>
    </row>
    <row r="972" spans="1:3" x14ac:dyDescent="0.3">
      <c r="A972" s="6"/>
      <c r="B972" s="6"/>
      <c r="C972" s="6"/>
    </row>
    <row r="973" spans="1:3" x14ac:dyDescent="0.3">
      <c r="A973" s="6"/>
      <c r="B973" s="6"/>
      <c r="C973" s="6"/>
    </row>
    <row r="974" spans="1:3" x14ac:dyDescent="0.3">
      <c r="A974" s="6"/>
      <c r="B974" s="6"/>
      <c r="C974" s="6"/>
    </row>
    <row r="975" spans="1:3" x14ac:dyDescent="0.3">
      <c r="A975" s="6"/>
      <c r="B975" s="6"/>
      <c r="C975" s="6"/>
    </row>
    <row r="976" spans="1:3" x14ac:dyDescent="0.3">
      <c r="A976" s="6"/>
      <c r="B976" s="6"/>
      <c r="C976" s="6"/>
    </row>
    <row r="977" spans="1:3" x14ac:dyDescent="0.3">
      <c r="A977" s="6"/>
      <c r="B977" s="6"/>
      <c r="C977" s="6"/>
    </row>
    <row r="978" spans="1:3" x14ac:dyDescent="0.3">
      <c r="A978" s="6"/>
      <c r="B978" s="6"/>
      <c r="C978" s="6"/>
    </row>
    <row r="979" spans="1:3" x14ac:dyDescent="0.3">
      <c r="A979" s="6"/>
      <c r="B979" s="6"/>
      <c r="C979" s="6"/>
    </row>
    <row r="980" spans="1:3" x14ac:dyDescent="0.3">
      <c r="A980" s="6"/>
      <c r="B980" s="6"/>
      <c r="C980" s="6"/>
    </row>
    <row r="981" spans="1:3" x14ac:dyDescent="0.3">
      <c r="A981" s="6"/>
      <c r="B981" s="6"/>
      <c r="C981" s="6"/>
    </row>
    <row r="982" spans="1:3" x14ac:dyDescent="0.3">
      <c r="A982" s="6"/>
      <c r="B982" s="6"/>
      <c r="C982" s="6"/>
    </row>
    <row r="983" spans="1:3" x14ac:dyDescent="0.3">
      <c r="A983" s="6"/>
      <c r="B983" s="6"/>
      <c r="C983" s="6"/>
    </row>
    <row r="984" spans="1:3" x14ac:dyDescent="0.3">
      <c r="A984" s="6"/>
      <c r="B984" s="6"/>
      <c r="C984" s="6"/>
    </row>
    <row r="985" spans="1:3" x14ac:dyDescent="0.3">
      <c r="A985" s="6"/>
      <c r="B985" s="6"/>
      <c r="C985" s="6"/>
    </row>
    <row r="986" spans="1:3" x14ac:dyDescent="0.3">
      <c r="A986" s="6"/>
      <c r="B986" s="6"/>
      <c r="C986" s="6"/>
    </row>
    <row r="987" spans="1:3" x14ac:dyDescent="0.3">
      <c r="A987" s="6"/>
      <c r="B987" s="6"/>
      <c r="C987" s="6"/>
    </row>
    <row r="988" spans="1:3" x14ac:dyDescent="0.3">
      <c r="A988" s="6"/>
      <c r="B988" s="6"/>
      <c r="C988" s="6"/>
    </row>
    <row r="989" spans="1:3" x14ac:dyDescent="0.3">
      <c r="A989" s="6"/>
      <c r="B989" s="6"/>
      <c r="C989" s="6"/>
    </row>
    <row r="990" spans="1:3" x14ac:dyDescent="0.3">
      <c r="A990" s="6"/>
      <c r="B990" s="6"/>
      <c r="C990" s="6"/>
    </row>
    <row r="991" spans="1:3" x14ac:dyDescent="0.3">
      <c r="A991" s="6"/>
      <c r="B991" s="6"/>
      <c r="C991" s="6"/>
    </row>
    <row r="992" spans="1:3" x14ac:dyDescent="0.3">
      <c r="A992" s="6"/>
      <c r="B992" s="6"/>
      <c r="C992" s="6"/>
    </row>
    <row r="993" spans="1:3" x14ac:dyDescent="0.3">
      <c r="A993" s="6"/>
      <c r="B993" s="6"/>
      <c r="C993" s="6"/>
    </row>
    <row r="994" spans="1:3" x14ac:dyDescent="0.3">
      <c r="A994" s="6"/>
      <c r="B994" s="6"/>
      <c r="C994" s="6"/>
    </row>
    <row r="995" spans="1:3" x14ac:dyDescent="0.3">
      <c r="A995" s="6"/>
      <c r="B995" s="6"/>
      <c r="C995" s="6"/>
    </row>
    <row r="996" spans="1:3" x14ac:dyDescent="0.3">
      <c r="A996" s="6"/>
      <c r="B996" s="6"/>
      <c r="C996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47"/>
  <sheetViews>
    <sheetView workbookViewId="0"/>
  </sheetViews>
  <sheetFormatPr baseColWidth="10" defaultColWidth="14.44140625" defaultRowHeight="15" customHeight="1" x14ac:dyDescent="0.3"/>
  <cols>
    <col min="1" max="1" width="72" customWidth="1"/>
    <col min="2" max="2" width="18.5546875" customWidth="1"/>
    <col min="3" max="3" width="13.109375" customWidth="1"/>
    <col min="4" max="5" width="12" customWidth="1"/>
    <col min="6" max="6" width="30.44140625" customWidth="1"/>
    <col min="7" max="7" width="22.33203125" customWidth="1"/>
    <col min="8" max="8" width="11" customWidth="1"/>
  </cols>
  <sheetData>
    <row r="1" spans="1:8" x14ac:dyDescent="0.3">
      <c r="A1" s="213" t="s">
        <v>708</v>
      </c>
      <c r="B1" s="212"/>
      <c r="C1" s="212"/>
      <c r="D1" s="25"/>
      <c r="E1" s="25"/>
      <c r="F1" s="25"/>
      <c r="G1" s="25"/>
      <c r="H1" s="25"/>
    </row>
    <row r="2" spans="1:8" x14ac:dyDescent="0.3">
      <c r="A2" s="214" t="s">
        <v>709</v>
      </c>
      <c r="B2" s="212"/>
      <c r="C2" s="25"/>
      <c r="D2" s="25"/>
      <c r="E2" s="25"/>
      <c r="F2" s="25"/>
      <c r="G2" s="25"/>
      <c r="H2" s="25"/>
    </row>
    <row r="3" spans="1:8" x14ac:dyDescent="0.3">
      <c r="A3" s="25"/>
      <c r="B3" s="25"/>
      <c r="C3" s="25"/>
      <c r="D3" s="25"/>
      <c r="E3" s="25"/>
      <c r="F3" s="25"/>
      <c r="G3" s="25"/>
      <c r="H3" s="25"/>
    </row>
    <row r="4" spans="1:8" x14ac:dyDescent="0.3">
      <c r="A4" s="215" t="s">
        <v>710</v>
      </c>
      <c r="B4" s="212"/>
      <c r="C4" s="25"/>
      <c r="D4" s="25"/>
      <c r="E4" s="25"/>
      <c r="F4" s="25" t="s">
        <v>711</v>
      </c>
      <c r="G4" s="25"/>
      <c r="H4" s="25"/>
    </row>
    <row r="5" spans="1:8" x14ac:dyDescent="0.3">
      <c r="A5" s="30" t="s">
        <v>712</v>
      </c>
      <c r="B5" s="30" t="s">
        <v>713</v>
      </c>
      <c r="C5" s="30" t="s">
        <v>714</v>
      </c>
      <c r="D5" s="30" t="s">
        <v>715</v>
      </c>
      <c r="E5" s="30" t="s">
        <v>716</v>
      </c>
      <c r="F5" s="30" t="s">
        <v>196</v>
      </c>
      <c r="G5" s="25"/>
      <c r="H5" s="25"/>
    </row>
    <row r="6" spans="1:8" x14ac:dyDescent="0.3">
      <c r="A6" s="98" t="s">
        <v>717</v>
      </c>
      <c r="B6" s="99">
        <f>25000/8</f>
        <v>3125</v>
      </c>
      <c r="C6" s="99">
        <f t="shared" ref="C6:D6" si="0">25000/10</f>
        <v>2500</v>
      </c>
      <c r="D6" s="99">
        <f t="shared" si="0"/>
        <v>2500</v>
      </c>
      <c r="E6" s="99">
        <f>25000/12</f>
        <v>2083.3333333333335</v>
      </c>
      <c r="F6" s="100" t="s">
        <v>718</v>
      </c>
      <c r="G6" s="25"/>
      <c r="H6" s="25"/>
    </row>
    <row r="7" spans="1:8" x14ac:dyDescent="0.3">
      <c r="A7" s="98" t="s">
        <v>719</v>
      </c>
      <c r="B7" s="99">
        <f>25000/2</f>
        <v>12500</v>
      </c>
      <c r="C7" s="99">
        <f t="shared" ref="C7:D7" si="1">25000/3</f>
        <v>8333.3333333333339</v>
      </c>
      <c r="D7" s="99">
        <f t="shared" si="1"/>
        <v>8333.3333333333339</v>
      </c>
      <c r="E7" s="99">
        <f>25000/4</f>
        <v>6250</v>
      </c>
      <c r="F7" s="100" t="s">
        <v>720</v>
      </c>
      <c r="G7" s="25"/>
      <c r="H7" s="25"/>
    </row>
    <row r="8" spans="1:8" x14ac:dyDescent="0.3">
      <c r="A8" s="98" t="s">
        <v>721</v>
      </c>
      <c r="B8" s="99" t="s">
        <v>722</v>
      </c>
      <c r="C8" s="99" t="s">
        <v>723</v>
      </c>
      <c r="D8" s="99" t="s">
        <v>724</v>
      </c>
      <c r="E8" s="99" t="s">
        <v>725</v>
      </c>
      <c r="F8" s="100" t="s">
        <v>726</v>
      </c>
      <c r="G8" s="25"/>
      <c r="H8" s="25"/>
    </row>
    <row r="9" spans="1:8" x14ac:dyDescent="0.3">
      <c r="A9" s="98" t="s">
        <v>727</v>
      </c>
      <c r="B9" s="99">
        <v>1500</v>
      </c>
      <c r="C9" s="99">
        <v>1000</v>
      </c>
      <c r="D9" s="99">
        <v>800</v>
      </c>
      <c r="E9" s="99">
        <v>600</v>
      </c>
      <c r="F9" s="100" t="s">
        <v>728</v>
      </c>
      <c r="G9" s="25"/>
      <c r="H9" s="25"/>
    </row>
    <row r="10" spans="1:8" x14ac:dyDescent="0.3">
      <c r="A10" s="98" t="s">
        <v>729</v>
      </c>
      <c r="B10" s="99">
        <v>1200</v>
      </c>
      <c r="C10" s="99" t="s">
        <v>730</v>
      </c>
      <c r="D10" s="99" t="s">
        <v>731</v>
      </c>
      <c r="E10" s="99" t="s">
        <v>732</v>
      </c>
      <c r="F10" s="100" t="s">
        <v>733</v>
      </c>
      <c r="G10" s="25"/>
      <c r="H10" s="25"/>
    </row>
    <row r="11" spans="1:8" x14ac:dyDescent="0.3">
      <c r="A11" s="98" t="s">
        <v>734</v>
      </c>
      <c r="B11" s="99">
        <v>1500</v>
      </c>
      <c r="C11" s="99">
        <v>1000</v>
      </c>
      <c r="D11" s="99">
        <v>800</v>
      </c>
      <c r="E11" s="99">
        <v>800</v>
      </c>
      <c r="F11" s="100"/>
      <c r="G11" s="25"/>
      <c r="H11" s="25"/>
    </row>
    <row r="12" spans="1:8" x14ac:dyDescent="0.3">
      <c r="A12" s="98" t="s">
        <v>735</v>
      </c>
      <c r="B12" s="99">
        <v>3000</v>
      </c>
      <c r="C12" s="99">
        <v>3000</v>
      </c>
      <c r="D12" s="99">
        <v>2500</v>
      </c>
      <c r="E12" s="99">
        <v>2000</v>
      </c>
      <c r="F12" s="100" t="s">
        <v>736</v>
      </c>
      <c r="G12" s="25"/>
      <c r="H12" s="25"/>
    </row>
    <row r="13" spans="1:8" x14ac:dyDescent="0.3">
      <c r="A13" s="98" t="s">
        <v>737</v>
      </c>
      <c r="B13" s="99">
        <v>500</v>
      </c>
      <c r="C13" s="99">
        <v>300</v>
      </c>
      <c r="D13" s="99">
        <v>200</v>
      </c>
      <c r="E13" s="99">
        <v>150</v>
      </c>
      <c r="F13" s="100" t="s">
        <v>738</v>
      </c>
      <c r="G13" s="25"/>
      <c r="H13" s="25"/>
    </row>
    <row r="14" spans="1:8" x14ac:dyDescent="0.3">
      <c r="A14" s="25"/>
      <c r="B14" s="25"/>
      <c r="C14" s="25"/>
      <c r="D14" s="25"/>
      <c r="E14" s="25"/>
      <c r="F14" s="25"/>
      <c r="G14" s="25"/>
      <c r="H14" s="25"/>
    </row>
    <row r="15" spans="1:8" x14ac:dyDescent="0.3">
      <c r="A15" s="25"/>
      <c r="B15" s="25"/>
      <c r="C15" s="25"/>
      <c r="D15" s="25"/>
      <c r="E15" s="25"/>
      <c r="F15" s="25"/>
      <c r="G15" s="25"/>
      <c r="H15" s="25"/>
    </row>
    <row r="16" spans="1:8" x14ac:dyDescent="0.3">
      <c r="A16" s="215" t="s">
        <v>739</v>
      </c>
      <c r="B16" s="212"/>
      <c r="C16" s="25"/>
      <c r="D16" s="25"/>
      <c r="E16" s="25"/>
      <c r="F16" s="25"/>
      <c r="G16" s="25"/>
      <c r="H16" s="25"/>
    </row>
    <row r="17" spans="1:8" x14ac:dyDescent="0.3">
      <c r="A17" s="30" t="s">
        <v>740</v>
      </c>
      <c r="B17" s="30" t="s">
        <v>741</v>
      </c>
      <c r="C17" s="30" t="s">
        <v>742</v>
      </c>
      <c r="D17" s="30" t="s">
        <v>743</v>
      </c>
      <c r="E17" s="30" t="s">
        <v>744</v>
      </c>
      <c r="F17" s="30" t="s">
        <v>745</v>
      </c>
      <c r="G17" s="30" t="s">
        <v>746</v>
      </c>
      <c r="H17" s="30" t="s">
        <v>192</v>
      </c>
    </row>
    <row r="18" spans="1:8" x14ac:dyDescent="0.3">
      <c r="A18" s="98" t="s">
        <v>747</v>
      </c>
      <c r="B18" s="101">
        <v>37000</v>
      </c>
      <c r="C18" s="102">
        <v>0</v>
      </c>
      <c r="D18" s="102">
        <f t="shared" ref="D18:D30" si="2">$B$9+$B$10</f>
        <v>2700</v>
      </c>
      <c r="E18" s="102">
        <f t="shared" ref="E18:E30" si="3">$B$11+$B$12+$B$13</f>
        <v>5000</v>
      </c>
      <c r="F18" s="103">
        <f t="shared" ref="F18:F30" si="4">SUM(B18:E18)</f>
        <v>44700</v>
      </c>
      <c r="G18" s="104">
        <v>80000</v>
      </c>
      <c r="H18" s="105">
        <f t="shared" ref="H18:H30" si="5">IF(G18&gt;0,(G18-F18)/G18,0)</f>
        <v>0.44124999999999998</v>
      </c>
    </row>
    <row r="19" spans="1:8" x14ac:dyDescent="0.3">
      <c r="A19" s="98" t="s">
        <v>748</v>
      </c>
      <c r="B19" s="101">
        <v>37000</v>
      </c>
      <c r="C19" s="102">
        <f t="shared" ref="C19:C20" si="6">B6</f>
        <v>3125</v>
      </c>
      <c r="D19" s="102">
        <f t="shared" si="2"/>
        <v>2700</v>
      </c>
      <c r="E19" s="102">
        <f t="shared" si="3"/>
        <v>5000</v>
      </c>
      <c r="F19" s="103">
        <f t="shared" si="4"/>
        <v>47825</v>
      </c>
      <c r="G19" s="104">
        <v>80000</v>
      </c>
      <c r="H19" s="105">
        <f t="shared" si="5"/>
        <v>0.40218749999999998</v>
      </c>
    </row>
    <row r="20" spans="1:8" x14ac:dyDescent="0.3">
      <c r="A20" s="98" t="s">
        <v>749</v>
      </c>
      <c r="B20" s="101">
        <v>37000</v>
      </c>
      <c r="C20" s="102">
        <f t="shared" si="6"/>
        <v>12500</v>
      </c>
      <c r="D20" s="102">
        <f t="shared" si="2"/>
        <v>2700</v>
      </c>
      <c r="E20" s="102">
        <f t="shared" si="3"/>
        <v>5000</v>
      </c>
      <c r="F20" s="103">
        <f t="shared" si="4"/>
        <v>57200</v>
      </c>
      <c r="G20" s="104">
        <v>80000</v>
      </c>
      <c r="H20" s="105">
        <f t="shared" si="5"/>
        <v>0.28499999999999998</v>
      </c>
    </row>
    <row r="21" spans="1:8" x14ac:dyDescent="0.3">
      <c r="A21" s="98" t="s">
        <v>750</v>
      </c>
      <c r="B21" s="101">
        <v>37000</v>
      </c>
      <c r="C21" s="102">
        <f>C19+C20</f>
        <v>15625</v>
      </c>
      <c r="D21" s="102">
        <f t="shared" si="2"/>
        <v>2700</v>
      </c>
      <c r="E21" s="102">
        <f t="shared" si="3"/>
        <v>5000</v>
      </c>
      <c r="F21" s="103">
        <f t="shared" si="4"/>
        <v>60325</v>
      </c>
      <c r="G21" s="104">
        <v>80000</v>
      </c>
      <c r="H21" s="105">
        <f t="shared" si="5"/>
        <v>0.2459375</v>
      </c>
    </row>
    <row r="22" spans="1:8" x14ac:dyDescent="0.3">
      <c r="A22" s="98" t="s">
        <v>751</v>
      </c>
      <c r="B22" s="101">
        <v>76000</v>
      </c>
      <c r="C22" s="102" t="s">
        <v>752</v>
      </c>
      <c r="D22" s="102">
        <f t="shared" si="2"/>
        <v>2700</v>
      </c>
      <c r="E22" s="102">
        <f t="shared" si="3"/>
        <v>5000</v>
      </c>
      <c r="F22" s="103">
        <f t="shared" si="4"/>
        <v>83700</v>
      </c>
      <c r="G22" s="104">
        <v>120000</v>
      </c>
      <c r="H22" s="105">
        <f t="shared" si="5"/>
        <v>0.30249999999999999</v>
      </c>
    </row>
    <row r="23" spans="1:8" x14ac:dyDescent="0.3">
      <c r="A23" s="98" t="s">
        <v>753</v>
      </c>
      <c r="B23" s="101">
        <v>76000</v>
      </c>
      <c r="C23" s="102">
        <f>C21</f>
        <v>15625</v>
      </c>
      <c r="D23" s="102">
        <f t="shared" si="2"/>
        <v>2700</v>
      </c>
      <c r="E23" s="102">
        <f t="shared" si="3"/>
        <v>5000</v>
      </c>
      <c r="F23" s="103">
        <f t="shared" si="4"/>
        <v>99325</v>
      </c>
      <c r="G23" s="104">
        <v>130000</v>
      </c>
      <c r="H23" s="105">
        <f t="shared" si="5"/>
        <v>0.23596153846153847</v>
      </c>
    </row>
    <row r="24" spans="1:8" x14ac:dyDescent="0.3">
      <c r="A24" s="98" t="s">
        <v>754</v>
      </c>
      <c r="B24" s="101">
        <v>56000</v>
      </c>
      <c r="C24" s="102" t="s">
        <v>752</v>
      </c>
      <c r="D24" s="102">
        <f t="shared" si="2"/>
        <v>2700</v>
      </c>
      <c r="E24" s="102">
        <f t="shared" si="3"/>
        <v>5000</v>
      </c>
      <c r="F24" s="103">
        <f t="shared" si="4"/>
        <v>63700</v>
      </c>
      <c r="G24" s="104">
        <v>100000</v>
      </c>
      <c r="H24" s="105">
        <f t="shared" si="5"/>
        <v>0.36299999999999999</v>
      </c>
    </row>
    <row r="25" spans="1:8" x14ac:dyDescent="0.3">
      <c r="A25" s="98" t="s">
        <v>755</v>
      </c>
      <c r="B25" s="101">
        <v>56000</v>
      </c>
      <c r="C25" s="102">
        <f>C23</f>
        <v>15625</v>
      </c>
      <c r="D25" s="102">
        <f t="shared" si="2"/>
        <v>2700</v>
      </c>
      <c r="E25" s="102">
        <f t="shared" si="3"/>
        <v>5000</v>
      </c>
      <c r="F25" s="103">
        <f t="shared" si="4"/>
        <v>79325</v>
      </c>
      <c r="G25" s="104">
        <v>120000</v>
      </c>
      <c r="H25" s="105">
        <f t="shared" si="5"/>
        <v>0.33895833333333331</v>
      </c>
    </row>
    <row r="26" spans="1:8" x14ac:dyDescent="0.3">
      <c r="A26" s="98" t="s">
        <v>756</v>
      </c>
      <c r="B26" s="101">
        <v>62000</v>
      </c>
      <c r="C26" s="102" t="s">
        <v>752</v>
      </c>
      <c r="D26" s="102">
        <f t="shared" si="2"/>
        <v>2700</v>
      </c>
      <c r="E26" s="102">
        <f t="shared" si="3"/>
        <v>5000</v>
      </c>
      <c r="F26" s="103">
        <f t="shared" si="4"/>
        <v>69700</v>
      </c>
      <c r="G26" s="104">
        <v>100000</v>
      </c>
      <c r="H26" s="105">
        <f t="shared" si="5"/>
        <v>0.30299999999999999</v>
      </c>
    </row>
    <row r="27" spans="1:8" x14ac:dyDescent="0.3">
      <c r="A27" s="98" t="s">
        <v>757</v>
      </c>
      <c r="B27" s="101">
        <v>62000</v>
      </c>
      <c r="C27" s="102" t="s">
        <v>752</v>
      </c>
      <c r="D27" s="102">
        <f t="shared" si="2"/>
        <v>2700</v>
      </c>
      <c r="E27" s="102">
        <f t="shared" si="3"/>
        <v>5000</v>
      </c>
      <c r="F27" s="103">
        <f t="shared" si="4"/>
        <v>69700</v>
      </c>
      <c r="G27" s="104">
        <v>100000</v>
      </c>
      <c r="H27" s="105">
        <f t="shared" si="5"/>
        <v>0.30299999999999999</v>
      </c>
    </row>
    <row r="28" spans="1:8" x14ac:dyDescent="0.3">
      <c r="A28" s="98" t="s">
        <v>758</v>
      </c>
      <c r="B28" s="101">
        <v>49000</v>
      </c>
      <c r="C28" s="102" t="s">
        <v>752</v>
      </c>
      <c r="D28" s="102">
        <f t="shared" si="2"/>
        <v>2700</v>
      </c>
      <c r="E28" s="102">
        <f t="shared" si="3"/>
        <v>5000</v>
      </c>
      <c r="F28" s="103">
        <f t="shared" si="4"/>
        <v>56700</v>
      </c>
      <c r="G28" s="104">
        <v>80000</v>
      </c>
      <c r="H28" s="105">
        <f t="shared" si="5"/>
        <v>0.29125000000000001</v>
      </c>
    </row>
    <row r="29" spans="1:8" x14ac:dyDescent="0.3">
      <c r="A29" s="98" t="s">
        <v>759</v>
      </c>
      <c r="B29" s="101">
        <v>45000</v>
      </c>
      <c r="C29" s="102" t="s">
        <v>752</v>
      </c>
      <c r="D29" s="102">
        <f t="shared" si="2"/>
        <v>2700</v>
      </c>
      <c r="E29" s="102">
        <f t="shared" si="3"/>
        <v>5000</v>
      </c>
      <c r="F29" s="103">
        <f t="shared" si="4"/>
        <v>52700</v>
      </c>
      <c r="G29" s="104">
        <v>80000</v>
      </c>
      <c r="H29" s="105">
        <f t="shared" si="5"/>
        <v>0.34125</v>
      </c>
    </row>
    <row r="30" spans="1:8" x14ac:dyDescent="0.3">
      <c r="A30" s="98" t="s">
        <v>760</v>
      </c>
      <c r="B30" s="101">
        <v>45000</v>
      </c>
      <c r="C30" s="102">
        <f>C25</f>
        <v>15625</v>
      </c>
      <c r="D30" s="102">
        <f t="shared" si="2"/>
        <v>2700</v>
      </c>
      <c r="E30" s="102">
        <f t="shared" si="3"/>
        <v>5000</v>
      </c>
      <c r="F30" s="103">
        <f t="shared" si="4"/>
        <v>68325</v>
      </c>
      <c r="G30" s="104">
        <v>100000</v>
      </c>
      <c r="H30" s="105">
        <f t="shared" si="5"/>
        <v>0.31674999999999998</v>
      </c>
    </row>
    <row r="31" spans="1:8" x14ac:dyDescent="0.3">
      <c r="A31" s="25"/>
      <c r="B31" s="25"/>
      <c r="C31" s="25"/>
      <c r="D31" s="25"/>
      <c r="E31" s="25"/>
      <c r="F31" s="25"/>
      <c r="G31" s="25"/>
      <c r="H31" s="25"/>
    </row>
    <row r="32" spans="1:8" x14ac:dyDescent="0.3">
      <c r="A32" s="25"/>
      <c r="B32" s="25"/>
      <c r="C32" s="25"/>
      <c r="D32" s="25"/>
      <c r="E32" s="25"/>
      <c r="F32" s="25"/>
      <c r="G32" s="25"/>
      <c r="H32" s="25"/>
    </row>
    <row r="33" spans="1:8" x14ac:dyDescent="0.3">
      <c r="A33" s="25"/>
      <c r="B33" s="25"/>
      <c r="C33" s="25"/>
      <c r="D33" s="25"/>
      <c r="E33" s="25"/>
      <c r="F33" s="25"/>
      <c r="G33" s="25"/>
      <c r="H33" s="25"/>
    </row>
    <row r="34" spans="1:8" x14ac:dyDescent="0.3">
      <c r="A34" s="215" t="s">
        <v>761</v>
      </c>
      <c r="B34" s="212"/>
      <c r="C34" s="212"/>
      <c r="D34" s="25"/>
      <c r="E34" s="25"/>
      <c r="F34" s="25"/>
      <c r="G34" s="25"/>
      <c r="H34" s="25"/>
    </row>
    <row r="35" spans="1:8" x14ac:dyDescent="0.3">
      <c r="A35" s="30" t="s">
        <v>762</v>
      </c>
      <c r="B35" s="30" t="s">
        <v>763</v>
      </c>
      <c r="C35" s="30" t="s">
        <v>191</v>
      </c>
      <c r="D35" s="30" t="s">
        <v>764</v>
      </c>
      <c r="E35" s="30" t="s">
        <v>192</v>
      </c>
      <c r="F35" s="30" t="s">
        <v>765</v>
      </c>
      <c r="G35" s="25"/>
      <c r="H35" s="25"/>
    </row>
    <row r="36" spans="1:8" x14ac:dyDescent="0.3">
      <c r="A36" s="98" t="s">
        <v>766</v>
      </c>
      <c r="B36" s="102">
        <f>F21</f>
        <v>60325</v>
      </c>
      <c r="C36" s="104">
        <v>80000</v>
      </c>
      <c r="D36" s="102">
        <f t="shared" ref="D36:D39" si="7">C36-B36</f>
        <v>19675</v>
      </c>
      <c r="E36" s="105">
        <f t="shared" ref="E36:E39" si="8">IF(C36&gt;0,(C36-B36)/C36,0)</f>
        <v>0.2459375</v>
      </c>
      <c r="F36" s="100" t="s">
        <v>767</v>
      </c>
      <c r="G36" s="25"/>
      <c r="H36" s="25"/>
    </row>
    <row r="37" spans="1:8" x14ac:dyDescent="0.3">
      <c r="A37" s="98" t="s">
        <v>768</v>
      </c>
      <c r="B37" s="102">
        <f>F21</f>
        <v>60325</v>
      </c>
      <c r="C37" s="104">
        <v>90000</v>
      </c>
      <c r="D37" s="102">
        <f t="shared" si="7"/>
        <v>29675</v>
      </c>
      <c r="E37" s="105">
        <f t="shared" si="8"/>
        <v>0.32972222222222225</v>
      </c>
      <c r="F37" s="100" t="s">
        <v>769</v>
      </c>
      <c r="G37" s="25"/>
      <c r="H37" s="25"/>
    </row>
    <row r="38" spans="1:8" x14ac:dyDescent="0.3">
      <c r="A38" s="98" t="s">
        <v>770</v>
      </c>
      <c r="B38" s="102">
        <f>F21</f>
        <v>60325</v>
      </c>
      <c r="C38" s="104">
        <v>110000</v>
      </c>
      <c r="D38" s="102">
        <f t="shared" si="7"/>
        <v>49675</v>
      </c>
      <c r="E38" s="105">
        <f t="shared" si="8"/>
        <v>0.4515909090909091</v>
      </c>
      <c r="F38" s="100" t="s">
        <v>771</v>
      </c>
      <c r="G38" s="25"/>
      <c r="H38" s="25"/>
    </row>
    <row r="39" spans="1:8" x14ac:dyDescent="0.3">
      <c r="A39" s="98" t="s">
        <v>772</v>
      </c>
      <c r="B39" s="102">
        <f>F21*1.1</f>
        <v>66357.5</v>
      </c>
      <c r="C39" s="104">
        <v>140000</v>
      </c>
      <c r="D39" s="102">
        <f t="shared" si="7"/>
        <v>73642.5</v>
      </c>
      <c r="E39" s="105">
        <f t="shared" si="8"/>
        <v>0.52601785714285709</v>
      </c>
      <c r="F39" s="100" t="s">
        <v>773</v>
      </c>
      <c r="G39" s="25"/>
      <c r="H39" s="25"/>
    </row>
    <row r="40" spans="1:8" x14ac:dyDescent="0.3">
      <c r="A40" s="25"/>
      <c r="B40" s="25"/>
      <c r="C40" s="25"/>
      <c r="D40" s="25"/>
      <c r="E40" s="25"/>
      <c r="F40" s="25"/>
      <c r="G40" s="25"/>
      <c r="H40" s="25"/>
    </row>
    <row r="41" spans="1:8" x14ac:dyDescent="0.3">
      <c r="A41" s="25"/>
      <c r="B41" s="25"/>
      <c r="C41" s="25"/>
      <c r="D41" s="25"/>
      <c r="E41" s="25"/>
      <c r="F41" s="25"/>
      <c r="G41" s="25"/>
      <c r="H41" s="25"/>
    </row>
    <row r="42" spans="1:8" x14ac:dyDescent="0.3">
      <c r="A42" s="49" t="s">
        <v>774</v>
      </c>
      <c r="B42" s="25"/>
      <c r="C42" s="25"/>
      <c r="D42" s="25"/>
      <c r="E42" s="25"/>
      <c r="F42" s="25"/>
      <c r="G42" s="25"/>
      <c r="H42" s="25"/>
    </row>
    <row r="43" spans="1:8" x14ac:dyDescent="0.3">
      <c r="A43" s="211" t="s">
        <v>775</v>
      </c>
      <c r="B43" s="212"/>
      <c r="C43" s="212"/>
      <c r="D43" s="25"/>
      <c r="E43" s="25"/>
      <c r="F43" s="25"/>
      <c r="G43" s="25"/>
      <c r="H43" s="25"/>
    </row>
    <row r="44" spans="1:8" x14ac:dyDescent="0.3">
      <c r="A44" s="211" t="s">
        <v>776</v>
      </c>
      <c r="B44" s="212"/>
      <c r="C44" s="212"/>
      <c r="D44" s="25"/>
      <c r="E44" s="25"/>
      <c r="F44" s="25"/>
      <c r="G44" s="25"/>
      <c r="H44" s="25"/>
    </row>
    <row r="45" spans="1:8" x14ac:dyDescent="0.3">
      <c r="A45" s="211" t="s">
        <v>777</v>
      </c>
      <c r="B45" s="212"/>
      <c r="C45" s="212"/>
      <c r="D45" s="25"/>
      <c r="E45" s="25"/>
      <c r="F45" s="25"/>
      <c r="G45" s="25"/>
      <c r="H45" s="25"/>
    </row>
    <row r="46" spans="1:8" x14ac:dyDescent="0.3">
      <c r="D46" s="25"/>
      <c r="E46" s="25"/>
      <c r="F46" s="25"/>
      <c r="G46" s="25"/>
      <c r="H46" s="25"/>
    </row>
    <row r="47" spans="1:8" x14ac:dyDescent="0.3">
      <c r="A47" s="211"/>
      <c r="B47" s="212"/>
      <c r="C47" s="212"/>
      <c r="D47" s="25"/>
      <c r="E47" s="25"/>
      <c r="F47" s="25"/>
      <c r="G47" s="25"/>
      <c r="H47" s="25"/>
    </row>
  </sheetData>
  <mergeCells count="9">
    <mergeCell ref="A45:C45"/>
    <mergeCell ref="A47:C47"/>
    <mergeCell ref="A1:C1"/>
    <mergeCell ref="A2:B2"/>
    <mergeCell ref="A4:B4"/>
    <mergeCell ref="A16:B16"/>
    <mergeCell ref="A34:C34"/>
    <mergeCell ref="A43:C43"/>
    <mergeCell ref="A44:C4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CAF50"/>
    <outlinePr summaryBelow="0" summaryRight="0"/>
  </sheetPr>
  <dimension ref="A1:H83"/>
  <sheetViews>
    <sheetView workbookViewId="0"/>
  </sheetViews>
  <sheetFormatPr baseColWidth="10" defaultColWidth="14.44140625" defaultRowHeight="15" customHeight="1" x14ac:dyDescent="0.3"/>
  <cols>
    <col min="1" max="1" width="53.109375" customWidth="1"/>
    <col min="2" max="2" width="36.109375" customWidth="1"/>
    <col min="3" max="3" width="21.88671875" customWidth="1"/>
    <col min="4" max="4" width="12" customWidth="1"/>
    <col min="5" max="5" width="13.6640625" customWidth="1"/>
    <col min="6" max="7" width="10.6640625" customWidth="1"/>
    <col min="8" max="8" width="12.44140625" customWidth="1"/>
  </cols>
  <sheetData>
    <row r="1" spans="1:8" ht="15" customHeight="1" x14ac:dyDescent="0.4">
      <c r="A1" s="106" t="s">
        <v>778</v>
      </c>
      <c r="B1" s="25"/>
      <c r="C1" s="25"/>
      <c r="D1" s="25"/>
      <c r="E1" s="25"/>
      <c r="F1" s="25"/>
      <c r="G1" s="25"/>
      <c r="H1" s="25"/>
    </row>
    <row r="2" spans="1:8" x14ac:dyDescent="0.3">
      <c r="A2" s="107" t="s">
        <v>779</v>
      </c>
      <c r="B2" s="25"/>
      <c r="C2" s="25"/>
      <c r="D2" s="25"/>
      <c r="E2" s="25"/>
      <c r="F2" s="25"/>
      <c r="G2" s="25"/>
      <c r="H2" s="25"/>
    </row>
    <row r="3" spans="1:8" x14ac:dyDescent="0.3">
      <c r="A3" s="25"/>
      <c r="B3" s="25"/>
      <c r="C3" s="25"/>
      <c r="D3" s="25"/>
      <c r="E3" s="25"/>
      <c r="F3" s="25"/>
      <c r="G3" s="25"/>
      <c r="H3" s="25"/>
    </row>
    <row r="4" spans="1:8" ht="15" customHeight="1" x14ac:dyDescent="0.35">
      <c r="A4" s="108" t="s">
        <v>780</v>
      </c>
      <c r="B4" s="109"/>
      <c r="C4" s="25"/>
      <c r="D4" s="25"/>
      <c r="E4" s="25"/>
      <c r="F4" s="25"/>
      <c r="G4" s="25"/>
      <c r="H4" s="25"/>
    </row>
    <row r="5" spans="1:8" x14ac:dyDescent="0.3">
      <c r="A5" s="110" t="s">
        <v>781</v>
      </c>
      <c r="B5" s="110" t="s">
        <v>782</v>
      </c>
      <c r="C5" s="110"/>
      <c r="D5" s="25"/>
      <c r="E5" s="25"/>
      <c r="F5" s="25"/>
      <c r="G5" s="25"/>
      <c r="H5" s="25"/>
    </row>
    <row r="6" spans="1:8" x14ac:dyDescent="0.3">
      <c r="A6" s="25"/>
      <c r="B6" s="25"/>
      <c r="C6" s="25"/>
      <c r="D6" s="25"/>
      <c r="E6" s="25"/>
      <c r="F6" s="25"/>
      <c r="G6" s="25"/>
      <c r="H6" s="25"/>
    </row>
    <row r="7" spans="1:8" x14ac:dyDescent="0.3">
      <c r="A7" s="28" t="s">
        <v>783</v>
      </c>
      <c r="B7" s="111">
        <f>'Costos Fijos'!B12</f>
        <v>1964900</v>
      </c>
      <c r="C7" s="25"/>
      <c r="D7" s="25"/>
      <c r="E7" s="25"/>
      <c r="F7" s="25"/>
      <c r="G7" s="25"/>
      <c r="H7" s="25"/>
    </row>
    <row r="8" spans="1:8" x14ac:dyDescent="0.3">
      <c r="A8" s="28" t="s">
        <v>784</v>
      </c>
      <c r="B8" s="112">
        <f ca="1">Resumen!B22</f>
        <v>91764.705882352937</v>
      </c>
      <c r="C8" s="25"/>
      <c r="D8" s="25"/>
      <c r="E8" s="25"/>
      <c r="F8" s="25"/>
      <c r="G8" s="25"/>
      <c r="H8" s="25"/>
    </row>
    <row r="9" spans="1:8" x14ac:dyDescent="0.3">
      <c r="A9" s="28" t="s">
        <v>785</v>
      </c>
      <c r="B9" s="112">
        <f ca="1">Resumen!B21</f>
        <v>41000</v>
      </c>
      <c r="C9" s="25"/>
      <c r="D9" s="25"/>
      <c r="E9" s="25"/>
      <c r="F9" s="25"/>
      <c r="G9" s="25"/>
      <c r="H9" s="25"/>
    </row>
    <row r="10" spans="1:8" x14ac:dyDescent="0.3">
      <c r="A10" s="28" t="s">
        <v>786</v>
      </c>
      <c r="B10" s="112">
        <f ca="1">B8-B9</f>
        <v>50764.705882352937</v>
      </c>
      <c r="C10" s="25"/>
      <c r="D10" s="25"/>
      <c r="E10" s="25"/>
      <c r="F10" s="25"/>
      <c r="G10" s="25"/>
      <c r="H10" s="25"/>
    </row>
    <row r="11" spans="1:8" x14ac:dyDescent="0.3">
      <c r="A11" s="28" t="s">
        <v>787</v>
      </c>
      <c r="B11" s="113">
        <f ca="1">B10/B8</f>
        <v>0.55320512820512824</v>
      </c>
      <c r="C11" s="25"/>
      <c r="D11" s="25"/>
      <c r="E11" s="25"/>
      <c r="F11" s="25"/>
      <c r="G11" s="25"/>
      <c r="H11" s="25"/>
    </row>
    <row r="12" spans="1:8" x14ac:dyDescent="0.3">
      <c r="A12" s="25"/>
      <c r="B12" s="25"/>
      <c r="C12" s="25"/>
      <c r="D12" s="25"/>
      <c r="E12" s="25"/>
      <c r="F12" s="25"/>
      <c r="G12" s="25"/>
      <c r="H12" s="25"/>
    </row>
    <row r="13" spans="1:8" ht="15" customHeight="1" x14ac:dyDescent="0.35">
      <c r="A13" s="108" t="s">
        <v>788</v>
      </c>
      <c r="B13" s="109"/>
      <c r="C13" s="25"/>
      <c r="D13" s="25"/>
      <c r="E13" s="25"/>
      <c r="F13" s="25"/>
      <c r="G13" s="25"/>
      <c r="H13" s="25"/>
    </row>
    <row r="14" spans="1:8" x14ac:dyDescent="0.3">
      <c r="A14" s="114" t="s">
        <v>789</v>
      </c>
      <c r="B14" s="25"/>
      <c r="C14" s="25"/>
      <c r="D14" s="25"/>
      <c r="E14" s="25"/>
      <c r="F14" s="25"/>
      <c r="G14" s="25"/>
      <c r="H14" s="25"/>
    </row>
    <row r="15" spans="1:8" x14ac:dyDescent="0.3">
      <c r="A15" s="25"/>
      <c r="B15" s="25"/>
      <c r="C15" s="25"/>
      <c r="D15" s="25"/>
      <c r="E15" s="25"/>
      <c r="F15" s="25"/>
      <c r="G15" s="25"/>
      <c r="H15" s="25"/>
    </row>
    <row r="16" spans="1:8" ht="15" customHeight="1" x14ac:dyDescent="0.35">
      <c r="A16" s="28" t="s">
        <v>790</v>
      </c>
      <c r="B16" s="115">
        <f ca="1">ROUNDUP(B7/B10,0)</f>
        <v>39</v>
      </c>
      <c r="C16" s="25"/>
      <c r="D16" s="25"/>
      <c r="E16" s="25"/>
      <c r="F16" s="25"/>
      <c r="G16" s="25"/>
      <c r="H16" s="25"/>
    </row>
    <row r="17" spans="1:8" ht="15" customHeight="1" x14ac:dyDescent="0.35">
      <c r="A17" s="28" t="s">
        <v>791</v>
      </c>
      <c r="B17" s="115">
        <f ca="1">ROUNDUP(B16/26,0)</f>
        <v>2</v>
      </c>
      <c r="C17" s="25"/>
      <c r="D17" s="25"/>
      <c r="E17" s="25"/>
      <c r="F17" s="25"/>
      <c r="G17" s="25"/>
      <c r="H17" s="25"/>
    </row>
    <row r="18" spans="1:8" ht="15" customHeight="1" x14ac:dyDescent="0.35">
      <c r="A18" s="28" t="s">
        <v>792</v>
      </c>
      <c r="B18" s="116">
        <f ca="1">B16*B8</f>
        <v>3578823.5294117643</v>
      </c>
      <c r="C18" s="25"/>
      <c r="D18" s="25"/>
      <c r="E18" s="25"/>
      <c r="F18" s="25"/>
      <c r="G18" s="25"/>
      <c r="H18" s="25"/>
    </row>
    <row r="19" spans="1:8" x14ac:dyDescent="0.3">
      <c r="A19" s="25"/>
      <c r="B19" s="25"/>
      <c r="C19" s="25"/>
      <c r="D19" s="25"/>
      <c r="E19" s="25"/>
      <c r="F19" s="25"/>
      <c r="G19" s="25"/>
      <c r="H19" s="25"/>
    </row>
    <row r="20" spans="1:8" ht="15" customHeight="1" x14ac:dyDescent="0.35">
      <c r="A20" s="218" t="s">
        <v>793</v>
      </c>
      <c r="B20" s="212"/>
      <c r="C20" s="109"/>
      <c r="D20" s="109"/>
      <c r="E20" s="109"/>
      <c r="F20" s="109"/>
      <c r="G20" s="109"/>
      <c r="H20" s="109"/>
    </row>
    <row r="21" spans="1:8" ht="15" customHeight="1" x14ac:dyDescent="0.35">
      <c r="A21" s="28" t="s">
        <v>794</v>
      </c>
      <c r="B21" s="117">
        <f ca="1">B17+1</f>
        <v>3</v>
      </c>
      <c r="C21" s="217" t="s">
        <v>795</v>
      </c>
      <c r="D21" s="212"/>
      <c r="E21" s="25"/>
      <c r="F21" s="25"/>
      <c r="G21" s="25"/>
      <c r="H21" s="25"/>
    </row>
    <row r="22" spans="1:8" x14ac:dyDescent="0.3">
      <c r="A22" s="25"/>
      <c r="B22" s="25"/>
      <c r="C22" s="25"/>
      <c r="D22" s="25"/>
      <c r="E22" s="25"/>
      <c r="F22" s="25"/>
      <c r="G22" s="25"/>
      <c r="H22" s="25"/>
    </row>
    <row r="23" spans="1:8" x14ac:dyDescent="0.3">
      <c r="A23" s="118"/>
      <c r="B23" s="119" t="s">
        <v>796</v>
      </c>
      <c r="C23" s="119" t="s">
        <v>797</v>
      </c>
      <c r="D23" s="119" t="s">
        <v>798</v>
      </c>
      <c r="E23" s="119" t="s">
        <v>799</v>
      </c>
      <c r="F23" s="119" t="s">
        <v>800</v>
      </c>
      <c r="G23" s="119" t="s">
        <v>801</v>
      </c>
      <c r="H23" s="120" t="s">
        <v>86</v>
      </c>
    </row>
    <row r="24" spans="1:8" x14ac:dyDescent="0.3">
      <c r="A24" s="28" t="s">
        <v>802</v>
      </c>
      <c r="B24" s="121">
        <v>26</v>
      </c>
      <c r="C24" s="121">
        <v>26</v>
      </c>
      <c r="D24" s="121">
        <v>26</v>
      </c>
      <c r="E24" s="121">
        <v>26</v>
      </c>
      <c r="F24" s="121">
        <v>26</v>
      </c>
      <c r="G24" s="121">
        <v>26</v>
      </c>
      <c r="H24" s="122">
        <f t="shared" ref="H24:H25" si="0">SUM(B24:G24)</f>
        <v>156</v>
      </c>
    </row>
    <row r="25" spans="1:8" x14ac:dyDescent="0.3">
      <c r="A25" s="28" t="s">
        <v>803</v>
      </c>
      <c r="B25" s="123">
        <f t="shared" ref="B25:G25" ca="1" si="1">$B$21*B24</f>
        <v>78</v>
      </c>
      <c r="C25" s="123">
        <f t="shared" ca="1" si="1"/>
        <v>78</v>
      </c>
      <c r="D25" s="123">
        <f t="shared" ca="1" si="1"/>
        <v>78</v>
      </c>
      <c r="E25" s="123">
        <f t="shared" ca="1" si="1"/>
        <v>78</v>
      </c>
      <c r="F25" s="123">
        <f t="shared" ca="1" si="1"/>
        <v>78</v>
      </c>
      <c r="G25" s="123">
        <f t="shared" ca="1" si="1"/>
        <v>78</v>
      </c>
      <c r="H25" s="122">
        <f t="shared" ca="1" si="0"/>
        <v>468</v>
      </c>
    </row>
    <row r="26" spans="1:8" x14ac:dyDescent="0.3">
      <c r="A26" s="25"/>
      <c r="B26" s="25"/>
      <c r="C26" s="25"/>
      <c r="D26" s="25"/>
      <c r="E26" s="25"/>
      <c r="F26" s="25"/>
      <c r="G26" s="25"/>
      <c r="H26" s="25"/>
    </row>
    <row r="27" spans="1:8" x14ac:dyDescent="0.3">
      <c r="A27" s="124" t="s">
        <v>804</v>
      </c>
      <c r="B27" s="125"/>
      <c r="C27" s="125"/>
      <c r="D27" s="125"/>
      <c r="E27" s="125"/>
      <c r="F27" s="125"/>
      <c r="G27" s="125"/>
      <c r="H27" s="125"/>
    </row>
    <row r="28" spans="1:8" x14ac:dyDescent="0.3">
      <c r="A28" s="25" t="s">
        <v>805</v>
      </c>
      <c r="B28" s="126">
        <f t="shared" ref="B28:G28" ca="1" si="2">B25*$B$8</f>
        <v>7157647.0588235287</v>
      </c>
      <c r="C28" s="126">
        <f t="shared" ca="1" si="2"/>
        <v>7157647.0588235287</v>
      </c>
      <c r="D28" s="126">
        <f t="shared" ca="1" si="2"/>
        <v>7157647.0588235287</v>
      </c>
      <c r="E28" s="126">
        <f t="shared" ca="1" si="2"/>
        <v>7157647.0588235287</v>
      </c>
      <c r="F28" s="126">
        <f t="shared" ca="1" si="2"/>
        <v>7157647.0588235287</v>
      </c>
      <c r="G28" s="126">
        <f t="shared" ca="1" si="2"/>
        <v>7157647.0588235287</v>
      </c>
      <c r="H28" s="127">
        <f ca="1">SUM(B28:G28)</f>
        <v>42945882.35294117</v>
      </c>
    </row>
    <row r="29" spans="1:8" ht="14.4" x14ac:dyDescent="0.3">
      <c r="A29" s="25"/>
      <c r="B29" s="25"/>
      <c r="C29" s="25"/>
      <c r="D29" s="25"/>
      <c r="E29" s="25"/>
      <c r="F29" s="25"/>
      <c r="G29" s="25"/>
      <c r="H29" s="25"/>
    </row>
    <row r="30" spans="1:8" ht="14.4" x14ac:dyDescent="0.3">
      <c r="A30" s="128" t="s">
        <v>806</v>
      </c>
      <c r="B30" s="129"/>
      <c r="C30" s="129"/>
      <c r="D30" s="129"/>
      <c r="E30" s="129"/>
      <c r="F30" s="129"/>
      <c r="G30" s="129"/>
      <c r="H30" s="129"/>
    </row>
    <row r="31" spans="1:8" ht="14.4" x14ac:dyDescent="0.3">
      <c r="A31" s="25" t="s">
        <v>807</v>
      </c>
      <c r="B31" s="126">
        <f t="shared" ref="B31:G31" ca="1" si="3">B25*$B$9</f>
        <v>3198000</v>
      </c>
      <c r="C31" s="126">
        <f t="shared" ca="1" si="3"/>
        <v>3198000</v>
      </c>
      <c r="D31" s="126">
        <f t="shared" ca="1" si="3"/>
        <v>3198000</v>
      </c>
      <c r="E31" s="126">
        <f t="shared" ca="1" si="3"/>
        <v>3198000</v>
      </c>
      <c r="F31" s="126">
        <f t="shared" ca="1" si="3"/>
        <v>3198000</v>
      </c>
      <c r="G31" s="126">
        <f t="shared" ca="1" si="3"/>
        <v>3198000</v>
      </c>
      <c r="H31" s="127">
        <f t="shared" ref="H31:H33" ca="1" si="4">SUM(B31:G31)</f>
        <v>19188000</v>
      </c>
    </row>
    <row r="32" spans="1:8" ht="14.4" x14ac:dyDescent="0.3">
      <c r="A32" s="25" t="s">
        <v>808</v>
      </c>
      <c r="B32" s="126">
        <f t="shared" ref="B32:G32" ca="1" si="5">B31*8%</f>
        <v>255840</v>
      </c>
      <c r="C32" s="126">
        <f t="shared" ca="1" si="5"/>
        <v>255840</v>
      </c>
      <c r="D32" s="126">
        <f t="shared" ca="1" si="5"/>
        <v>255840</v>
      </c>
      <c r="E32" s="126">
        <f t="shared" ca="1" si="5"/>
        <v>255840</v>
      </c>
      <c r="F32" s="126">
        <f t="shared" ca="1" si="5"/>
        <v>255840</v>
      </c>
      <c r="G32" s="126">
        <f t="shared" ca="1" si="5"/>
        <v>255840</v>
      </c>
      <c r="H32" s="127">
        <f t="shared" ca="1" si="4"/>
        <v>1535040</v>
      </c>
    </row>
    <row r="33" spans="1:8" ht="14.4" x14ac:dyDescent="0.3">
      <c r="A33" s="25" t="s">
        <v>809</v>
      </c>
      <c r="B33" s="130">
        <f t="shared" ref="B33:G33" si="6">$B$7</f>
        <v>1964900</v>
      </c>
      <c r="C33" s="130">
        <f t="shared" si="6"/>
        <v>1964900</v>
      </c>
      <c r="D33" s="130">
        <f t="shared" si="6"/>
        <v>1964900</v>
      </c>
      <c r="E33" s="130">
        <f t="shared" si="6"/>
        <v>1964900</v>
      </c>
      <c r="F33" s="130">
        <f t="shared" si="6"/>
        <v>1964900</v>
      </c>
      <c r="G33" s="130">
        <f t="shared" si="6"/>
        <v>1964900</v>
      </c>
      <c r="H33" s="127">
        <f t="shared" si="4"/>
        <v>11789400</v>
      </c>
    </row>
    <row r="34" spans="1:8" ht="14.4" x14ac:dyDescent="0.3">
      <c r="A34" s="28" t="s">
        <v>810</v>
      </c>
      <c r="B34" s="127">
        <f t="shared" ref="B34:H34" ca="1" si="7">B31+B32+B33</f>
        <v>5418740</v>
      </c>
      <c r="C34" s="127">
        <f t="shared" ca="1" si="7"/>
        <v>5418740</v>
      </c>
      <c r="D34" s="127">
        <f t="shared" ca="1" si="7"/>
        <v>5418740</v>
      </c>
      <c r="E34" s="127">
        <f t="shared" ca="1" si="7"/>
        <v>5418740</v>
      </c>
      <c r="F34" s="127">
        <f t="shared" ca="1" si="7"/>
        <v>5418740</v>
      </c>
      <c r="G34" s="127">
        <f t="shared" ca="1" si="7"/>
        <v>5418740</v>
      </c>
      <c r="H34" s="127">
        <f t="shared" ca="1" si="7"/>
        <v>32512440</v>
      </c>
    </row>
    <row r="35" spans="1:8" ht="14.4" x14ac:dyDescent="0.3">
      <c r="A35" s="25"/>
      <c r="B35" s="25"/>
      <c r="C35" s="25"/>
      <c r="D35" s="25"/>
      <c r="E35" s="25"/>
      <c r="F35" s="25"/>
      <c r="G35" s="25"/>
      <c r="H35" s="25"/>
    </row>
    <row r="36" spans="1:8" ht="14.4" x14ac:dyDescent="0.3">
      <c r="A36" s="131" t="s">
        <v>811</v>
      </c>
      <c r="B36" s="132"/>
      <c r="C36" s="132"/>
      <c r="D36" s="132"/>
      <c r="E36" s="132"/>
      <c r="F36" s="132"/>
      <c r="G36" s="132"/>
      <c r="H36" s="132"/>
    </row>
    <row r="37" spans="1:8" ht="17.399999999999999" x14ac:dyDescent="0.35">
      <c r="A37" s="28" t="s">
        <v>812</v>
      </c>
      <c r="B37" s="133">
        <f t="shared" ref="B37:G37" ca="1" si="8">B28-B34</f>
        <v>1738907.0588235287</v>
      </c>
      <c r="C37" s="133">
        <f t="shared" ca="1" si="8"/>
        <v>1738907.0588235287</v>
      </c>
      <c r="D37" s="133">
        <f t="shared" ca="1" si="8"/>
        <v>1738907.0588235287</v>
      </c>
      <c r="E37" s="133">
        <f t="shared" ca="1" si="8"/>
        <v>1738907.0588235287</v>
      </c>
      <c r="F37" s="133">
        <f t="shared" ca="1" si="8"/>
        <v>1738907.0588235287</v>
      </c>
      <c r="G37" s="133">
        <f t="shared" ca="1" si="8"/>
        <v>1738907.0588235287</v>
      </c>
      <c r="H37" s="134">
        <f ca="1">SUM(B37:G37)</f>
        <v>10433442.352941174</v>
      </c>
    </row>
    <row r="38" spans="1:8" ht="14.4" x14ac:dyDescent="0.3">
      <c r="A38" s="28" t="s">
        <v>813</v>
      </c>
      <c r="B38" s="126">
        <f t="shared" ref="B38:H38" ca="1" si="9">B37/3</f>
        <v>579635.68627450953</v>
      </c>
      <c r="C38" s="126">
        <f t="shared" ca="1" si="9"/>
        <v>579635.68627450953</v>
      </c>
      <c r="D38" s="126">
        <f t="shared" ca="1" si="9"/>
        <v>579635.68627450953</v>
      </c>
      <c r="E38" s="126">
        <f t="shared" ca="1" si="9"/>
        <v>579635.68627450953</v>
      </c>
      <c r="F38" s="126">
        <f t="shared" ca="1" si="9"/>
        <v>579635.68627450953</v>
      </c>
      <c r="G38" s="126">
        <f t="shared" ca="1" si="9"/>
        <v>579635.68627450953</v>
      </c>
      <c r="H38" s="127">
        <f t="shared" ca="1" si="9"/>
        <v>3477814.1176470579</v>
      </c>
    </row>
    <row r="39" spans="1:8" ht="14.4" x14ac:dyDescent="0.3">
      <c r="A39" s="28" t="s">
        <v>814</v>
      </c>
      <c r="B39" s="135">
        <f t="shared" ref="B39:H39" ca="1" si="10">IFERROR(B37/B28,0)</f>
        <v>0.24294395134779742</v>
      </c>
      <c r="C39" s="135">
        <f t="shared" ca="1" si="10"/>
        <v>0.24294395134779742</v>
      </c>
      <c r="D39" s="135">
        <f t="shared" ca="1" si="10"/>
        <v>0.24294395134779742</v>
      </c>
      <c r="E39" s="135">
        <f t="shared" ca="1" si="10"/>
        <v>0.24294395134779742</v>
      </c>
      <c r="F39" s="135">
        <f t="shared" ca="1" si="10"/>
        <v>0.24294395134779742</v>
      </c>
      <c r="G39" s="135">
        <f t="shared" ca="1" si="10"/>
        <v>0.24294395134779742</v>
      </c>
      <c r="H39" s="136">
        <f t="shared" ca="1" si="10"/>
        <v>0.24294395134779748</v>
      </c>
    </row>
    <row r="40" spans="1:8" ht="14.4" x14ac:dyDescent="0.3">
      <c r="A40" s="25"/>
      <c r="B40" s="25"/>
      <c r="C40" s="25"/>
      <c r="D40" s="25"/>
      <c r="E40" s="25"/>
      <c r="F40" s="25"/>
      <c r="G40" s="25"/>
      <c r="H40" s="25"/>
    </row>
    <row r="41" spans="1:8" ht="17.399999999999999" x14ac:dyDescent="0.35">
      <c r="A41" s="108" t="s">
        <v>815</v>
      </c>
      <c r="B41" s="109"/>
      <c r="C41" s="109"/>
      <c r="D41" s="109"/>
      <c r="E41" s="109"/>
      <c r="F41" s="25"/>
      <c r="G41" s="25"/>
      <c r="H41" s="25"/>
    </row>
    <row r="42" spans="1:8" ht="14.4" x14ac:dyDescent="0.3">
      <c r="A42" s="25"/>
      <c r="B42" s="25"/>
      <c r="C42" s="25"/>
      <c r="D42" s="25"/>
      <c r="E42" s="25"/>
      <c r="F42" s="25"/>
      <c r="G42" s="25"/>
      <c r="H42" s="25"/>
    </row>
    <row r="43" spans="1:8" ht="14.4" x14ac:dyDescent="0.3">
      <c r="A43" s="118"/>
      <c r="B43" s="119" t="s">
        <v>816</v>
      </c>
      <c r="C43" s="137" t="s">
        <v>817</v>
      </c>
      <c r="D43" s="119" t="s">
        <v>818</v>
      </c>
      <c r="E43" s="119" t="s">
        <v>819</v>
      </c>
      <c r="F43" s="25"/>
      <c r="G43" s="25"/>
      <c r="H43" s="25"/>
    </row>
    <row r="44" spans="1:8" ht="14.4" x14ac:dyDescent="0.3">
      <c r="A44" s="25" t="s">
        <v>820</v>
      </c>
      <c r="B44" s="121">
        <v>2</v>
      </c>
      <c r="C44" s="121">
        <f ca="1">B21</f>
        <v>3</v>
      </c>
      <c r="D44" s="121">
        <v>5</v>
      </c>
      <c r="E44" s="121">
        <v>6</v>
      </c>
      <c r="F44" s="25"/>
      <c r="G44" s="25"/>
      <c r="H44" s="25"/>
    </row>
    <row r="45" spans="1:8" ht="14.4" x14ac:dyDescent="0.3">
      <c r="A45" s="25" t="s">
        <v>821</v>
      </c>
      <c r="B45" s="123">
        <f t="shared" ref="B45:E45" si="11">B44*26</f>
        <v>52</v>
      </c>
      <c r="C45" s="123">
        <f t="shared" ca="1" si="11"/>
        <v>78</v>
      </c>
      <c r="D45" s="123">
        <f t="shared" si="11"/>
        <v>130</v>
      </c>
      <c r="E45" s="123">
        <f t="shared" si="11"/>
        <v>156</v>
      </c>
      <c r="F45" s="25"/>
      <c r="G45" s="25"/>
      <c r="H45" s="25"/>
    </row>
    <row r="46" spans="1:8" ht="14.4" x14ac:dyDescent="0.3">
      <c r="A46" s="25"/>
      <c r="B46" s="25"/>
      <c r="C46" s="25"/>
      <c r="D46" s="25"/>
      <c r="E46" s="25"/>
      <c r="F46" s="25"/>
      <c r="G46" s="25"/>
      <c r="H46" s="25"/>
    </row>
    <row r="47" spans="1:8" ht="14.4" x14ac:dyDescent="0.3">
      <c r="A47" s="28" t="s">
        <v>822</v>
      </c>
      <c r="B47" s="126">
        <f t="shared" ref="B47:E47" ca="1" si="12">B45*$B$8</f>
        <v>4771764.7058823528</v>
      </c>
      <c r="C47" s="126">
        <f t="shared" ca="1" si="12"/>
        <v>7157647.0588235287</v>
      </c>
      <c r="D47" s="126">
        <f t="shared" ca="1" si="12"/>
        <v>11929411.764705881</v>
      </c>
      <c r="E47" s="126">
        <f t="shared" ca="1" si="12"/>
        <v>14315294.117647057</v>
      </c>
      <c r="F47" s="25"/>
      <c r="G47" s="25"/>
      <c r="H47" s="25"/>
    </row>
    <row r="48" spans="1:8" ht="14.4" x14ac:dyDescent="0.3">
      <c r="A48" s="25" t="s">
        <v>823</v>
      </c>
      <c r="B48" s="126">
        <f t="shared" ref="B48:E48" ca="1" si="13">B45*$B$9*1.08</f>
        <v>2302560</v>
      </c>
      <c r="C48" s="126">
        <f t="shared" ca="1" si="13"/>
        <v>3453840</v>
      </c>
      <c r="D48" s="126">
        <f t="shared" ca="1" si="13"/>
        <v>5756400</v>
      </c>
      <c r="E48" s="126">
        <f t="shared" ca="1" si="13"/>
        <v>6907680</v>
      </c>
      <c r="F48" s="25"/>
      <c r="G48" s="25"/>
      <c r="H48" s="25"/>
    </row>
    <row r="49" spans="1:8" ht="14.4" x14ac:dyDescent="0.3">
      <c r="A49" s="25" t="s">
        <v>809</v>
      </c>
      <c r="B49" s="130">
        <f t="shared" ref="B49:D49" si="14">$B$7</f>
        <v>1964900</v>
      </c>
      <c r="C49" s="130">
        <f t="shared" si="14"/>
        <v>1964900</v>
      </c>
      <c r="D49" s="130">
        <f t="shared" si="14"/>
        <v>1964900</v>
      </c>
      <c r="E49" s="130">
        <f>$B$7+3000000</f>
        <v>4964900</v>
      </c>
      <c r="F49" s="25"/>
      <c r="G49" s="25"/>
      <c r="H49" s="25"/>
    </row>
    <row r="50" spans="1:8" ht="14.4" x14ac:dyDescent="0.3">
      <c r="A50" s="28" t="s">
        <v>810</v>
      </c>
      <c r="B50" s="127">
        <f t="shared" ref="B50:E50" ca="1" si="15">B48+B49</f>
        <v>4267460</v>
      </c>
      <c r="C50" s="127">
        <f t="shared" ca="1" si="15"/>
        <v>5418740</v>
      </c>
      <c r="D50" s="127">
        <f t="shared" ca="1" si="15"/>
        <v>7721300</v>
      </c>
      <c r="E50" s="127">
        <f t="shared" ca="1" si="15"/>
        <v>11872580</v>
      </c>
      <c r="F50" s="25"/>
      <c r="G50" s="25"/>
      <c r="H50" s="25"/>
    </row>
    <row r="51" spans="1:8" ht="14.4" x14ac:dyDescent="0.3">
      <c r="A51" s="25"/>
      <c r="B51" s="25"/>
      <c r="C51" s="25"/>
      <c r="D51" s="25"/>
      <c r="E51" s="25"/>
      <c r="F51" s="25"/>
      <c r="G51" s="25"/>
      <c r="H51" s="25"/>
    </row>
    <row r="52" spans="1:8" ht="15.6" x14ac:dyDescent="0.3">
      <c r="A52" s="138" t="s">
        <v>824</v>
      </c>
      <c r="B52" s="139">
        <f t="shared" ref="B52:E52" ca="1" si="16">B47-B50</f>
        <v>504304.70588235278</v>
      </c>
      <c r="C52" s="139">
        <f t="shared" ca="1" si="16"/>
        <v>1738907.0588235287</v>
      </c>
      <c r="D52" s="139">
        <f t="shared" ca="1" si="16"/>
        <v>4208111.7647058815</v>
      </c>
      <c r="E52" s="139">
        <f t="shared" ca="1" si="16"/>
        <v>2442714.1176470574</v>
      </c>
      <c r="F52" s="25"/>
      <c r="G52" s="25"/>
      <c r="H52" s="25"/>
    </row>
    <row r="53" spans="1:8" ht="15.6" x14ac:dyDescent="0.3">
      <c r="A53" s="138" t="s">
        <v>825</v>
      </c>
      <c r="B53" s="140">
        <f t="shared" ref="B53:E53" ca="1" si="17">B52/3</f>
        <v>168101.56862745094</v>
      </c>
      <c r="C53" s="140">
        <f t="shared" ca="1" si="17"/>
        <v>579635.68627450953</v>
      </c>
      <c r="D53" s="140">
        <f t="shared" ca="1" si="17"/>
        <v>1402703.9215686272</v>
      </c>
      <c r="E53" s="140">
        <f t="shared" ca="1" si="17"/>
        <v>814238.0392156858</v>
      </c>
      <c r="F53" s="25"/>
      <c r="G53" s="25"/>
      <c r="H53" s="25"/>
    </row>
    <row r="54" spans="1:8" ht="14.4" x14ac:dyDescent="0.3">
      <c r="A54" s="25" t="s">
        <v>814</v>
      </c>
      <c r="B54" s="141">
        <f t="shared" ref="B54:E54" ca="1" si="18">IFERROR(B52/B47,0)</f>
        <v>0.10568515779092699</v>
      </c>
      <c r="C54" s="141">
        <f t="shared" ca="1" si="18"/>
        <v>0.24294395134779742</v>
      </c>
      <c r="D54" s="141">
        <f t="shared" ca="1" si="18"/>
        <v>0.35275098619329381</v>
      </c>
      <c r="E54" s="141">
        <f t="shared" ca="1" si="18"/>
        <v>0.17063666995397755</v>
      </c>
      <c r="F54" s="25"/>
      <c r="G54" s="25"/>
      <c r="H54" s="25"/>
    </row>
    <row r="55" spans="1:8" ht="14.4" x14ac:dyDescent="0.3">
      <c r="A55" s="25"/>
      <c r="B55" s="25"/>
      <c r="C55" s="25"/>
      <c r="D55" s="25"/>
      <c r="E55" s="25"/>
      <c r="F55" s="25"/>
      <c r="G55" s="25"/>
      <c r="H55" s="25"/>
    </row>
    <row r="56" spans="1:8" ht="17.399999999999999" x14ac:dyDescent="0.35">
      <c r="A56" s="218" t="s">
        <v>826</v>
      </c>
      <c r="B56" s="212"/>
      <c r="C56" s="212"/>
      <c r="D56" s="109"/>
      <c r="E56" s="109"/>
      <c r="F56" s="109"/>
      <c r="G56" s="109"/>
      <c r="H56" s="109"/>
    </row>
    <row r="57" spans="1:8" ht="14.4" x14ac:dyDescent="0.3">
      <c r="A57" s="142" t="s">
        <v>827</v>
      </c>
      <c r="B57" s="25"/>
      <c r="C57" s="25"/>
      <c r="D57" s="25"/>
      <c r="E57" s="25"/>
      <c r="F57" s="25"/>
      <c r="G57" s="25"/>
      <c r="H57" s="25"/>
    </row>
    <row r="58" spans="1:8" ht="14.4" x14ac:dyDescent="0.3">
      <c r="A58" s="119" t="s">
        <v>828</v>
      </c>
      <c r="B58" s="143">
        <v>70000</v>
      </c>
      <c r="C58" s="143">
        <v>80000</v>
      </c>
      <c r="D58" s="143">
        <v>90000</v>
      </c>
      <c r="E58" s="144">
        <f ca="1">B8</f>
        <v>91764.705882352937</v>
      </c>
      <c r="F58" s="143">
        <v>100000</v>
      </c>
      <c r="G58" s="143">
        <v>110000</v>
      </c>
      <c r="H58" s="143">
        <v>120000</v>
      </c>
    </row>
    <row r="59" spans="1:8" ht="14.4" x14ac:dyDescent="0.3">
      <c r="A59" s="119">
        <v>1</v>
      </c>
      <c r="B59" s="145">
        <f t="shared" ref="B59:H59" ca="1" si="19">(B$58-$B$9*1.08)*$A59*26-$B$7</f>
        <v>-1296180</v>
      </c>
      <c r="C59" s="145">
        <f t="shared" ca="1" si="19"/>
        <v>-1036180</v>
      </c>
      <c r="D59" s="145">
        <f t="shared" ca="1" si="19"/>
        <v>-776180</v>
      </c>
      <c r="E59" s="145">
        <f t="shared" ca="1" si="19"/>
        <v>-730297.64705882361</v>
      </c>
      <c r="F59" s="145">
        <f t="shared" ca="1" si="19"/>
        <v>-516180</v>
      </c>
      <c r="G59" s="145">
        <f t="shared" ca="1" si="19"/>
        <v>-256180</v>
      </c>
      <c r="H59" s="145">
        <f t="shared" ca="1" si="19"/>
        <v>3820</v>
      </c>
    </row>
    <row r="60" spans="1:8" ht="14.4" x14ac:dyDescent="0.3">
      <c r="A60" s="119">
        <v>2</v>
      </c>
      <c r="B60" s="145">
        <f t="shared" ref="B60:H60" ca="1" si="20">(B$58-$B$9*1.08)*$A60*26-$B$7</f>
        <v>-627460</v>
      </c>
      <c r="C60" s="145">
        <f t="shared" ca="1" si="20"/>
        <v>-107460</v>
      </c>
      <c r="D60" s="145">
        <f t="shared" ca="1" si="20"/>
        <v>412540</v>
      </c>
      <c r="E60" s="145">
        <f t="shared" ca="1" si="20"/>
        <v>504304.70588235278</v>
      </c>
      <c r="F60" s="145">
        <f t="shared" ca="1" si="20"/>
        <v>932540</v>
      </c>
      <c r="G60" s="145">
        <f t="shared" ca="1" si="20"/>
        <v>1452540</v>
      </c>
      <c r="H60" s="145">
        <f t="shared" ca="1" si="20"/>
        <v>1972540</v>
      </c>
    </row>
    <row r="61" spans="1:8" ht="14.4" x14ac:dyDescent="0.3">
      <c r="A61" s="119">
        <v>3</v>
      </c>
      <c r="B61" s="145">
        <f t="shared" ref="B61:H61" ca="1" si="21">(B$58-$B$9*1.08)*$A61*26-$B$7</f>
        <v>41260</v>
      </c>
      <c r="C61" s="145">
        <f t="shared" ca="1" si="21"/>
        <v>821260</v>
      </c>
      <c r="D61" s="145">
        <f t="shared" ca="1" si="21"/>
        <v>1601260</v>
      </c>
      <c r="E61" s="145">
        <f t="shared" ca="1" si="21"/>
        <v>1738907.0588235287</v>
      </c>
      <c r="F61" s="145">
        <f t="shared" ca="1" si="21"/>
        <v>2381260</v>
      </c>
      <c r="G61" s="145">
        <f t="shared" ca="1" si="21"/>
        <v>3161260</v>
      </c>
      <c r="H61" s="145">
        <f t="shared" ca="1" si="21"/>
        <v>3941260</v>
      </c>
    </row>
    <row r="62" spans="1:8" ht="14.4" x14ac:dyDescent="0.3">
      <c r="A62" s="137">
        <v>4</v>
      </c>
      <c r="B62" s="145">
        <f t="shared" ref="B62:H62" ca="1" si="22">(B$58-$B$9*1.08)*$A62*26-$B$7</f>
        <v>709980</v>
      </c>
      <c r="C62" s="145">
        <f t="shared" ca="1" si="22"/>
        <v>1749980</v>
      </c>
      <c r="D62" s="145">
        <f t="shared" ca="1" si="22"/>
        <v>2789980</v>
      </c>
      <c r="E62" s="145">
        <f t="shared" ca="1" si="22"/>
        <v>2973509.4117647056</v>
      </c>
      <c r="F62" s="145">
        <f t="shared" ca="1" si="22"/>
        <v>3829980</v>
      </c>
      <c r="G62" s="145">
        <f t="shared" ca="1" si="22"/>
        <v>4869980</v>
      </c>
      <c r="H62" s="145">
        <f t="shared" ca="1" si="22"/>
        <v>5909980</v>
      </c>
    </row>
    <row r="63" spans="1:8" ht="14.4" x14ac:dyDescent="0.3">
      <c r="A63" s="119">
        <v>5</v>
      </c>
      <c r="B63" s="145">
        <f t="shared" ref="B63:H63" ca="1" si="23">(B$58-$B$9*1.08)*$A63*26-$B$7</f>
        <v>1378700</v>
      </c>
      <c r="C63" s="145">
        <f t="shared" ca="1" si="23"/>
        <v>2678700</v>
      </c>
      <c r="D63" s="145">
        <f t="shared" ca="1" si="23"/>
        <v>3978700</v>
      </c>
      <c r="E63" s="145">
        <f t="shared" ca="1" si="23"/>
        <v>4208111.7647058824</v>
      </c>
      <c r="F63" s="145">
        <f t="shared" ca="1" si="23"/>
        <v>5278700</v>
      </c>
      <c r="G63" s="145">
        <f t="shared" ca="1" si="23"/>
        <v>6578700</v>
      </c>
      <c r="H63" s="145">
        <f t="shared" ca="1" si="23"/>
        <v>7878700</v>
      </c>
    </row>
    <row r="64" spans="1:8" ht="14.4" x14ac:dyDescent="0.3">
      <c r="A64" s="119">
        <v>6</v>
      </c>
      <c r="B64" s="145">
        <f t="shared" ref="B64:H64" ca="1" si="24">(B$58-$B$9*1.08)*$A64*26-$B$7</f>
        <v>2047420</v>
      </c>
      <c r="C64" s="145">
        <f t="shared" ca="1" si="24"/>
        <v>3607420</v>
      </c>
      <c r="D64" s="145">
        <f t="shared" ca="1" si="24"/>
        <v>5167420</v>
      </c>
      <c r="E64" s="145">
        <f t="shared" ca="1" si="24"/>
        <v>5442714.1176470574</v>
      </c>
      <c r="F64" s="145">
        <f t="shared" ca="1" si="24"/>
        <v>6727420</v>
      </c>
      <c r="G64" s="145">
        <f t="shared" ca="1" si="24"/>
        <v>8287420</v>
      </c>
      <c r="H64" s="145">
        <f t="shared" ca="1" si="24"/>
        <v>9847420</v>
      </c>
    </row>
    <row r="65" spans="1:8" ht="14.4" x14ac:dyDescent="0.3">
      <c r="A65" s="119">
        <v>7</v>
      </c>
      <c r="B65" s="145">
        <f t="shared" ref="B65:H65" ca="1" si="25">(B$58-$B$9*1.08)*$A65*26-$B$7</f>
        <v>2716140</v>
      </c>
      <c r="C65" s="145">
        <f t="shared" ca="1" si="25"/>
        <v>4536140</v>
      </c>
      <c r="D65" s="145">
        <f t="shared" ca="1" si="25"/>
        <v>6356140</v>
      </c>
      <c r="E65" s="145">
        <f t="shared" ca="1" si="25"/>
        <v>6677316.4705882333</v>
      </c>
      <c r="F65" s="145">
        <f t="shared" ca="1" si="25"/>
        <v>8176140</v>
      </c>
      <c r="G65" s="145">
        <f t="shared" ca="1" si="25"/>
        <v>9996140</v>
      </c>
      <c r="H65" s="145">
        <f t="shared" ca="1" si="25"/>
        <v>11816140</v>
      </c>
    </row>
    <row r="66" spans="1:8" ht="14.4" x14ac:dyDescent="0.3">
      <c r="A66" s="25"/>
      <c r="B66" s="25"/>
      <c r="C66" s="25"/>
      <c r="D66" s="25"/>
      <c r="E66" s="25"/>
      <c r="F66" s="25"/>
      <c r="G66" s="25"/>
      <c r="H66" s="25"/>
    </row>
    <row r="67" spans="1:8" ht="17.399999999999999" x14ac:dyDescent="0.35">
      <c r="A67" s="108" t="s">
        <v>829</v>
      </c>
      <c r="B67" s="109"/>
      <c r="C67" s="109"/>
      <c r="D67" s="109"/>
      <c r="E67" s="109"/>
      <c r="F67" s="109"/>
      <c r="G67" s="109"/>
      <c r="H67" s="109"/>
    </row>
    <row r="68" spans="1:8" ht="14.4" x14ac:dyDescent="0.3">
      <c r="A68" s="25"/>
      <c r="B68" s="25"/>
      <c r="C68" s="25"/>
      <c r="D68" s="25"/>
      <c r="E68" s="25"/>
      <c r="F68" s="25"/>
      <c r="G68" s="25"/>
      <c r="H68" s="25"/>
    </row>
    <row r="69" spans="1:8" ht="14.4" x14ac:dyDescent="0.3">
      <c r="A69" s="28" t="s">
        <v>830</v>
      </c>
      <c r="B69" s="25"/>
      <c r="C69" s="25"/>
      <c r="D69" s="25"/>
      <c r="E69" s="25"/>
      <c r="F69" s="25"/>
      <c r="G69" s="25"/>
      <c r="H69" s="25"/>
    </row>
    <row r="70" spans="1:8" ht="14.4" x14ac:dyDescent="0.3">
      <c r="A70" s="216" t="s">
        <v>831</v>
      </c>
      <c r="B70" s="212"/>
      <c r="C70" s="212"/>
      <c r="D70" s="212"/>
      <c r="E70" s="25"/>
      <c r="F70" s="25"/>
      <c r="G70" s="25"/>
      <c r="H70" s="25"/>
    </row>
    <row r="71" spans="1:8" ht="14.4" x14ac:dyDescent="0.3">
      <c r="A71" s="25" t="s">
        <v>832</v>
      </c>
      <c r="B71" s="25"/>
      <c r="C71" s="25"/>
      <c r="D71" s="25"/>
      <c r="E71" s="25"/>
      <c r="F71" s="25"/>
      <c r="G71" s="25"/>
      <c r="H71" s="25"/>
    </row>
    <row r="72" spans="1:8" ht="14.4" x14ac:dyDescent="0.3">
      <c r="A72" s="25"/>
      <c r="B72" s="25"/>
      <c r="C72" s="25"/>
      <c r="D72" s="25"/>
      <c r="E72" s="25"/>
      <c r="F72" s="25"/>
      <c r="G72" s="25"/>
      <c r="H72" s="25"/>
    </row>
    <row r="73" spans="1:8" ht="14.4" x14ac:dyDescent="0.3">
      <c r="A73" s="28" t="s">
        <v>833</v>
      </c>
      <c r="B73" s="25"/>
      <c r="C73" s="25"/>
      <c r="D73" s="25"/>
      <c r="E73" s="25"/>
      <c r="F73" s="25"/>
      <c r="G73" s="25"/>
      <c r="H73" s="25"/>
    </row>
    <row r="74" spans="1:8" ht="14.4" x14ac:dyDescent="0.3">
      <c r="A74" s="216" t="s">
        <v>834</v>
      </c>
      <c r="B74" s="212"/>
      <c r="C74" s="25"/>
      <c r="D74" s="25"/>
      <c r="E74" s="25"/>
      <c r="F74" s="25"/>
      <c r="G74" s="25"/>
      <c r="H74" s="25"/>
    </row>
    <row r="75" spans="1:8" ht="14.4" x14ac:dyDescent="0.3">
      <c r="A75" s="216" t="s">
        <v>835</v>
      </c>
      <c r="B75" s="212"/>
      <c r="C75" s="25"/>
      <c r="D75" s="25"/>
      <c r="E75" s="25"/>
      <c r="F75" s="25"/>
      <c r="G75" s="25"/>
      <c r="H75" s="25"/>
    </row>
    <row r="76" spans="1:8" ht="14.4" x14ac:dyDescent="0.3">
      <c r="A76" s="25" t="s">
        <v>836</v>
      </c>
      <c r="B76" s="25"/>
      <c r="C76" s="25"/>
      <c r="D76" s="25"/>
      <c r="E76" s="25"/>
      <c r="F76" s="25"/>
      <c r="G76" s="25"/>
      <c r="H76" s="25"/>
    </row>
    <row r="77" spans="1:8" ht="14.4" x14ac:dyDescent="0.3">
      <c r="A77" s="216" t="s">
        <v>837</v>
      </c>
      <c r="B77" s="212"/>
      <c r="C77" s="25"/>
      <c r="D77" s="25"/>
      <c r="E77" s="25"/>
      <c r="F77" s="25"/>
      <c r="G77" s="25"/>
      <c r="H77" s="25"/>
    </row>
    <row r="78" spans="1:8" ht="14.4" x14ac:dyDescent="0.3">
      <c r="A78" s="25"/>
      <c r="B78" s="25"/>
      <c r="C78" s="25"/>
      <c r="D78" s="25"/>
      <c r="E78" s="25"/>
      <c r="F78" s="25"/>
      <c r="G78" s="25"/>
      <c r="H78" s="25"/>
    </row>
    <row r="79" spans="1:8" ht="14.4" x14ac:dyDescent="0.3">
      <c r="A79" s="28"/>
      <c r="B79" s="25"/>
      <c r="C79" s="25"/>
      <c r="D79" s="25"/>
      <c r="E79" s="25"/>
      <c r="F79" s="25"/>
      <c r="G79" s="25"/>
      <c r="H79" s="25"/>
    </row>
    <row r="80" spans="1:8" ht="14.4" x14ac:dyDescent="0.3">
      <c r="A80" s="216"/>
      <c r="B80" s="212"/>
      <c r="C80" s="212"/>
      <c r="D80" s="25"/>
      <c r="E80" s="25"/>
      <c r="F80" s="25"/>
      <c r="G80" s="25"/>
      <c r="H80" s="25"/>
    </row>
    <row r="81" spans="1:8" ht="14.4" x14ac:dyDescent="0.3">
      <c r="A81" s="216"/>
      <c r="B81" s="212"/>
      <c r="C81" s="25"/>
      <c r="D81" s="25"/>
      <c r="E81" s="25"/>
      <c r="F81" s="25"/>
      <c r="G81" s="25"/>
      <c r="H81" s="25"/>
    </row>
    <row r="82" spans="1:8" ht="14.4" x14ac:dyDescent="0.3">
      <c r="A82" s="216"/>
      <c r="B82" s="212"/>
      <c r="C82" s="25"/>
      <c r="D82" s="25"/>
      <c r="E82" s="25"/>
      <c r="F82" s="25"/>
      <c r="G82" s="25"/>
      <c r="H82" s="25"/>
    </row>
    <row r="83" spans="1:8" ht="14.4" x14ac:dyDescent="0.3">
      <c r="A83" s="217"/>
      <c r="B83" s="212"/>
      <c r="C83" s="212"/>
      <c r="D83" s="25"/>
      <c r="E83" s="25"/>
      <c r="F83" s="25"/>
      <c r="G83" s="25"/>
      <c r="H83" s="25"/>
    </row>
  </sheetData>
  <mergeCells count="11">
    <mergeCell ref="A80:C80"/>
    <mergeCell ref="A81:B81"/>
    <mergeCell ref="A82:B82"/>
    <mergeCell ref="A83:C83"/>
    <mergeCell ref="A20:B20"/>
    <mergeCell ref="C21:D21"/>
    <mergeCell ref="A56:C56"/>
    <mergeCell ref="A70:D70"/>
    <mergeCell ref="A74:B74"/>
    <mergeCell ref="A75:B75"/>
    <mergeCell ref="A77:B77"/>
  </mergeCells>
  <conditionalFormatting sqref="B59:H65">
    <cfRule type="cellIs" dxfId="8" priority="1" operator="greaterThan">
      <formula>0</formula>
    </cfRule>
  </conditionalFormatting>
  <conditionalFormatting sqref="B59:H65">
    <cfRule type="cellIs" dxfId="7" priority="2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CAF50"/>
  </sheetPr>
  <dimension ref="A1:AK1055"/>
  <sheetViews>
    <sheetView tabSelected="1" zoomScale="70" zoomScaleNormal="70" workbookViewId="0">
      <pane xSplit="1" ySplit="4" topLeftCell="B8" activePane="bottomRight" state="frozen"/>
      <selection pane="topRight" activeCell="B1" sqref="B1"/>
      <selection pane="bottomLeft" activeCell="A5" sqref="A5"/>
      <selection pane="bottomRight" activeCell="E9" sqref="E9"/>
    </sheetView>
  </sheetViews>
  <sheetFormatPr baseColWidth="10" defaultColWidth="14.44140625" defaultRowHeight="15" customHeight="1" x14ac:dyDescent="0.3"/>
  <cols>
    <col min="1" max="1" width="71" customWidth="1"/>
    <col min="2" max="2" width="12.5546875" customWidth="1"/>
    <col min="3" max="3" width="21.44140625" customWidth="1"/>
    <col min="4" max="4" width="28" customWidth="1"/>
    <col min="5" max="5" width="21.6640625" customWidth="1"/>
    <col min="6" max="6" width="19.6640625" customWidth="1"/>
    <col min="7" max="7" width="16.5546875" customWidth="1"/>
    <col min="8" max="8" width="9.33203125" customWidth="1"/>
    <col min="9" max="9" width="13.5546875" customWidth="1"/>
    <col min="10" max="10" width="19.6640625" customWidth="1"/>
    <col min="11" max="11" width="9.33203125" customWidth="1"/>
    <col min="12" max="12" width="7.88671875" customWidth="1"/>
    <col min="13" max="13" width="16.88671875" customWidth="1"/>
    <col min="14" max="14" width="9.5546875" customWidth="1"/>
    <col min="15" max="15" width="12.109375" customWidth="1"/>
    <col min="16" max="16" width="10.88671875" customWidth="1"/>
    <col min="17" max="17" width="16.88671875" customWidth="1"/>
    <col min="18" max="18" width="11.109375" customWidth="1"/>
    <col min="19" max="19" width="12.109375" customWidth="1"/>
    <col min="20" max="20" width="10.88671875" customWidth="1"/>
    <col min="21" max="21" width="14.88671875" customWidth="1"/>
    <col min="22" max="22" width="11.109375" customWidth="1"/>
    <col min="23" max="23" width="13.33203125" customWidth="1"/>
    <col min="24" max="24" width="11.88671875" customWidth="1"/>
    <col min="25" max="25" width="16.33203125" customWidth="1"/>
    <col min="26" max="26" width="12.109375" customWidth="1"/>
    <col min="27" max="27" width="14.6640625" customWidth="1"/>
    <col min="28" max="28" width="13.44140625" customWidth="1"/>
    <col min="29" max="29" width="16.88671875" customWidth="1"/>
    <col min="30" max="30" width="9.5546875" customWidth="1"/>
    <col min="31" max="31" width="10.88671875" customWidth="1"/>
    <col min="32" max="32" width="16.88671875" customWidth="1"/>
    <col min="33" max="33" width="9.5546875" customWidth="1"/>
    <col min="34" max="34" width="10.88671875" customWidth="1"/>
    <col min="35" max="35" width="14.88671875" customWidth="1"/>
    <col min="36" max="36" width="12.109375" customWidth="1"/>
    <col min="37" max="37" width="11.88671875" customWidth="1"/>
  </cols>
  <sheetData>
    <row r="1" spans="1:28" ht="19.5" customHeight="1" x14ac:dyDescent="0.4">
      <c r="A1" s="146" t="s">
        <v>838</v>
      </c>
      <c r="C1" s="3" t="s">
        <v>839</v>
      </c>
      <c r="D1" s="3" t="s">
        <v>840</v>
      </c>
      <c r="E1" s="3" t="s">
        <v>841</v>
      </c>
      <c r="F1" s="45" t="s">
        <v>842</v>
      </c>
      <c r="G1" s="45" t="s">
        <v>843</v>
      </c>
      <c r="H1" s="45" t="s">
        <v>844</v>
      </c>
      <c r="Q1" s="147"/>
      <c r="R1" s="147"/>
      <c r="S1" s="147"/>
      <c r="T1" s="147"/>
    </row>
    <row r="2" spans="1:28" ht="14.25" customHeight="1" x14ac:dyDescent="0.3">
      <c r="C2" s="48">
        <v>12000</v>
      </c>
      <c r="D2" s="48">
        <v>2000</v>
      </c>
      <c r="E2" s="48">
        <v>7000</v>
      </c>
      <c r="F2" s="48">
        <v>600</v>
      </c>
      <c r="G2" s="48">
        <v>600</v>
      </c>
      <c r="H2" s="48">
        <v>1000</v>
      </c>
      <c r="Q2" s="147"/>
      <c r="R2" s="147"/>
      <c r="S2" s="147"/>
      <c r="T2" s="147"/>
    </row>
    <row r="3" spans="1:28" ht="14.25" customHeight="1" x14ac:dyDescent="0.3">
      <c r="A3" s="148" t="s">
        <v>845</v>
      </c>
    </row>
    <row r="4" spans="1:28" ht="14.25" customHeight="1" x14ac:dyDescent="0.3">
      <c r="A4" s="149" t="s">
        <v>846</v>
      </c>
      <c r="B4" s="150" t="s">
        <v>497</v>
      </c>
      <c r="C4" s="151" t="s">
        <v>847</v>
      </c>
      <c r="D4" s="151" t="s">
        <v>848</v>
      </c>
      <c r="E4" s="151" t="s">
        <v>849</v>
      </c>
      <c r="F4" s="151" t="s">
        <v>850</v>
      </c>
      <c r="G4" s="151" t="s">
        <v>743</v>
      </c>
      <c r="H4" s="151" t="s">
        <v>744</v>
      </c>
      <c r="I4" s="151" t="s">
        <v>851</v>
      </c>
      <c r="J4" s="150" t="s">
        <v>852</v>
      </c>
      <c r="K4" s="150" t="s">
        <v>853</v>
      </c>
      <c r="L4" s="152" t="s">
        <v>854</v>
      </c>
      <c r="M4" s="153" t="s">
        <v>855</v>
      </c>
      <c r="N4" s="154" t="s">
        <v>856</v>
      </c>
      <c r="O4" s="154" t="s">
        <v>857</v>
      </c>
      <c r="P4" s="154" t="s">
        <v>858</v>
      </c>
      <c r="Q4" s="153" t="s">
        <v>859</v>
      </c>
      <c r="R4" s="154" t="s">
        <v>860</v>
      </c>
      <c r="S4" s="154" t="s">
        <v>861</v>
      </c>
      <c r="T4" s="154" t="s">
        <v>862</v>
      </c>
      <c r="U4" s="154" t="s">
        <v>863</v>
      </c>
      <c r="V4" s="154" t="s">
        <v>864</v>
      </c>
      <c r="W4" s="154" t="s">
        <v>865</v>
      </c>
      <c r="X4" s="154" t="s">
        <v>866</v>
      </c>
      <c r="Y4" s="154" t="s">
        <v>867</v>
      </c>
      <c r="Z4" s="154" t="s">
        <v>868</v>
      </c>
      <c r="AA4" s="154" t="s">
        <v>869</v>
      </c>
      <c r="AB4" s="154" t="s">
        <v>870</v>
      </c>
    </row>
    <row r="5" spans="1:28" ht="14.25" customHeight="1" x14ac:dyDescent="0.3">
      <c r="A5" s="6" t="s">
        <v>871</v>
      </c>
      <c r="B5" s="6" t="s">
        <v>509</v>
      </c>
      <c r="C5" s="155">
        <v>35000</v>
      </c>
      <c r="D5" s="155"/>
      <c r="E5" s="155"/>
      <c r="F5" s="155"/>
      <c r="G5" s="155">
        <f t="shared" ref="G5:G42" si="0">$F$2+$G$2</f>
        <v>1200</v>
      </c>
      <c r="H5" s="155">
        <f t="shared" ref="H5:H42" si="1">$H$2</f>
        <v>1000</v>
      </c>
      <c r="I5" s="156">
        <f t="shared" ref="I5:I42" si="2">SUM(C5:H5)</f>
        <v>37200</v>
      </c>
      <c r="J5" s="156">
        <v>75000</v>
      </c>
      <c r="K5" s="155">
        <f t="shared" ref="K5:K42" si="3">J5-I5</f>
        <v>37800</v>
      </c>
      <c r="L5" s="157">
        <f t="shared" ref="L5:L42" si="4">IF(J5&gt;0,(J5-$I5)/J5,0)</f>
        <v>0.504</v>
      </c>
      <c r="M5" s="158">
        <f t="shared" ref="M5:M40" si="5">ROUNDUP($J5*0.9,-3)</f>
        <v>68000</v>
      </c>
      <c r="N5" s="159">
        <f t="shared" ref="N5:N42" si="6">M5*3</f>
        <v>204000</v>
      </c>
      <c r="O5" s="159">
        <f t="shared" ref="O5:O42" si="7">N5-I5*3</f>
        <v>92400</v>
      </c>
      <c r="P5" s="157">
        <f t="shared" ref="P5:P42" si="8">IF(N5&gt;0,(N5-$I5*3)/N5,0)</f>
        <v>0.45294117647058824</v>
      </c>
      <c r="Q5" s="158">
        <f t="shared" ref="Q5:Q40" si="9">ROUNDUP($J5*0.85,-3)</f>
        <v>64000</v>
      </c>
      <c r="R5" s="159">
        <f t="shared" ref="R5:R42" si="10">Q5*6</f>
        <v>384000</v>
      </c>
      <c r="S5" s="159">
        <f t="shared" ref="S5:S42" si="11">R5-I5*6</f>
        <v>160800</v>
      </c>
      <c r="T5" s="157">
        <f t="shared" ref="T5:T42" si="12">IF(R5&gt;0,(R5-$I5*6)/R5,0)</f>
        <v>0.41875000000000001</v>
      </c>
      <c r="U5" s="158">
        <f t="shared" ref="U5:U40" si="13">ROUNDUP($J5*0.8,-3)</f>
        <v>60000</v>
      </c>
      <c r="V5" s="159">
        <f t="shared" ref="V5:V42" si="14">U5*12</f>
        <v>720000</v>
      </c>
      <c r="W5" s="159">
        <f t="shared" ref="W5:W42" si="15">V5-I5*12</f>
        <v>273600</v>
      </c>
      <c r="X5" s="157">
        <f t="shared" ref="X5:X42" si="16">IF(V5&gt;0,(V5-$I5*12)/V5,0)</f>
        <v>0.38</v>
      </c>
      <c r="Y5" s="158">
        <f t="shared" ref="Y5:Y40" si="17">ROUNDUP($J5*0.7,-3)</f>
        <v>53000</v>
      </c>
      <c r="Z5" s="159">
        <f t="shared" ref="Z5:Z42" si="18">Y5*60</f>
        <v>3180000</v>
      </c>
      <c r="AA5" s="159">
        <f t="shared" ref="AA5:AA42" si="19">Z5-I5*60</f>
        <v>948000</v>
      </c>
      <c r="AB5" s="157">
        <f t="shared" ref="AB5:AB42" si="20">IF(Z5&gt;0,(Z5-$I5*60)/Z5,0)</f>
        <v>0.2981132075471698</v>
      </c>
    </row>
    <row r="6" spans="1:28" ht="14.25" customHeight="1" x14ac:dyDescent="0.3">
      <c r="A6" s="6" t="s">
        <v>872</v>
      </c>
      <c r="B6" s="160" t="s">
        <v>505</v>
      </c>
      <c r="C6" s="155">
        <v>37000</v>
      </c>
      <c r="D6" s="155">
        <f>$D$2</f>
        <v>2000</v>
      </c>
      <c r="E6" s="155"/>
      <c r="F6" s="155"/>
      <c r="G6" s="155">
        <f t="shared" si="0"/>
        <v>1200</v>
      </c>
      <c r="H6" s="155">
        <f t="shared" si="1"/>
        <v>1000</v>
      </c>
      <c r="I6" s="156">
        <f t="shared" si="2"/>
        <v>41200</v>
      </c>
      <c r="J6" s="156">
        <v>120000</v>
      </c>
      <c r="K6" s="155">
        <f t="shared" si="3"/>
        <v>78800</v>
      </c>
      <c r="L6" s="157">
        <f t="shared" si="4"/>
        <v>0.65666666666666662</v>
      </c>
      <c r="M6" s="158">
        <f t="shared" si="5"/>
        <v>108000</v>
      </c>
      <c r="N6" s="159">
        <f t="shared" si="6"/>
        <v>324000</v>
      </c>
      <c r="O6" s="159">
        <f t="shared" si="7"/>
        <v>200400</v>
      </c>
      <c r="P6" s="157">
        <f t="shared" si="8"/>
        <v>0.61851851851851847</v>
      </c>
      <c r="Q6" s="158">
        <f t="shared" si="9"/>
        <v>102000</v>
      </c>
      <c r="R6" s="159">
        <f t="shared" si="10"/>
        <v>612000</v>
      </c>
      <c r="S6" s="159">
        <f t="shared" si="11"/>
        <v>364800</v>
      </c>
      <c r="T6" s="157">
        <f t="shared" si="12"/>
        <v>0.59607843137254901</v>
      </c>
      <c r="U6" s="158">
        <f t="shared" si="13"/>
        <v>96000</v>
      </c>
      <c r="V6" s="159">
        <f t="shared" si="14"/>
        <v>1152000</v>
      </c>
      <c r="W6" s="159">
        <f t="shared" si="15"/>
        <v>657600</v>
      </c>
      <c r="X6" s="157">
        <f t="shared" si="16"/>
        <v>0.5708333333333333</v>
      </c>
      <c r="Y6" s="158">
        <f t="shared" si="17"/>
        <v>84000</v>
      </c>
      <c r="Z6" s="159">
        <f t="shared" si="18"/>
        <v>5040000</v>
      </c>
      <c r="AA6" s="159">
        <f t="shared" si="19"/>
        <v>2568000</v>
      </c>
      <c r="AB6" s="157">
        <f t="shared" si="20"/>
        <v>0.50952380952380949</v>
      </c>
    </row>
    <row r="7" spans="1:28" ht="14.25" customHeight="1" x14ac:dyDescent="0.3">
      <c r="A7" s="6" t="s">
        <v>873</v>
      </c>
      <c r="B7" s="160" t="s">
        <v>505</v>
      </c>
      <c r="C7" s="155">
        <v>37000</v>
      </c>
      <c r="D7" s="155"/>
      <c r="E7" s="155">
        <f t="shared" ref="E7:E8" si="21">$E$2</f>
        <v>7000</v>
      </c>
      <c r="F7" s="155"/>
      <c r="G7" s="155">
        <f t="shared" si="0"/>
        <v>1200</v>
      </c>
      <c r="H7" s="155">
        <f t="shared" si="1"/>
        <v>1000</v>
      </c>
      <c r="I7" s="156">
        <f t="shared" si="2"/>
        <v>46200</v>
      </c>
      <c r="J7" s="156">
        <v>120000</v>
      </c>
      <c r="K7" s="155">
        <f t="shared" si="3"/>
        <v>73800</v>
      </c>
      <c r="L7" s="157">
        <f t="shared" si="4"/>
        <v>0.61499999999999999</v>
      </c>
      <c r="M7" s="158">
        <f t="shared" si="5"/>
        <v>108000</v>
      </c>
      <c r="N7" s="159">
        <f t="shared" si="6"/>
        <v>324000</v>
      </c>
      <c r="O7" s="159">
        <f t="shared" si="7"/>
        <v>185400</v>
      </c>
      <c r="P7" s="157">
        <f t="shared" si="8"/>
        <v>0.57222222222222219</v>
      </c>
      <c r="Q7" s="158">
        <f t="shared" si="9"/>
        <v>102000</v>
      </c>
      <c r="R7" s="159">
        <f t="shared" si="10"/>
        <v>612000</v>
      </c>
      <c r="S7" s="159">
        <f t="shared" si="11"/>
        <v>334800</v>
      </c>
      <c r="T7" s="157">
        <f t="shared" si="12"/>
        <v>0.54705882352941182</v>
      </c>
      <c r="U7" s="158">
        <f t="shared" si="13"/>
        <v>96000</v>
      </c>
      <c r="V7" s="159">
        <f t="shared" si="14"/>
        <v>1152000</v>
      </c>
      <c r="W7" s="159">
        <f t="shared" si="15"/>
        <v>597600</v>
      </c>
      <c r="X7" s="157">
        <f t="shared" si="16"/>
        <v>0.51875000000000004</v>
      </c>
      <c r="Y7" s="158">
        <f t="shared" si="17"/>
        <v>84000</v>
      </c>
      <c r="Z7" s="159">
        <f t="shared" si="18"/>
        <v>5040000</v>
      </c>
      <c r="AA7" s="159">
        <f t="shared" si="19"/>
        <v>2268000</v>
      </c>
      <c r="AB7" s="157">
        <f t="shared" si="20"/>
        <v>0.45</v>
      </c>
    </row>
    <row r="8" spans="1:28" ht="14.25" customHeight="1" x14ac:dyDescent="0.3">
      <c r="A8" s="6" t="s">
        <v>874</v>
      </c>
      <c r="B8" s="160" t="s">
        <v>505</v>
      </c>
      <c r="C8" s="155">
        <v>37000</v>
      </c>
      <c r="D8" s="155"/>
      <c r="E8" s="155">
        <f t="shared" si="21"/>
        <v>7000</v>
      </c>
      <c r="F8" s="155">
        <f t="shared" ref="F8:F9" si="22">$C$2</f>
        <v>12000</v>
      </c>
      <c r="G8" s="155">
        <f t="shared" si="0"/>
        <v>1200</v>
      </c>
      <c r="H8" s="155">
        <f t="shared" si="1"/>
        <v>1000</v>
      </c>
      <c r="I8" s="156">
        <f t="shared" si="2"/>
        <v>58200</v>
      </c>
      <c r="J8" s="156">
        <v>120000</v>
      </c>
      <c r="K8" s="155">
        <f t="shared" si="3"/>
        <v>61800</v>
      </c>
      <c r="L8" s="157">
        <f t="shared" si="4"/>
        <v>0.51500000000000001</v>
      </c>
      <c r="M8" s="158">
        <f t="shared" si="5"/>
        <v>108000</v>
      </c>
      <c r="N8" s="159">
        <f t="shared" si="6"/>
        <v>324000</v>
      </c>
      <c r="O8" s="159">
        <f t="shared" si="7"/>
        <v>149400</v>
      </c>
      <c r="P8" s="157">
        <f t="shared" si="8"/>
        <v>0.46111111111111114</v>
      </c>
      <c r="Q8" s="158">
        <f t="shared" si="9"/>
        <v>102000</v>
      </c>
      <c r="R8" s="159">
        <f t="shared" si="10"/>
        <v>612000</v>
      </c>
      <c r="S8" s="159">
        <f t="shared" si="11"/>
        <v>262800</v>
      </c>
      <c r="T8" s="157">
        <f t="shared" si="12"/>
        <v>0.42941176470588233</v>
      </c>
      <c r="U8" s="158">
        <f t="shared" si="13"/>
        <v>96000</v>
      </c>
      <c r="V8" s="159">
        <f t="shared" si="14"/>
        <v>1152000</v>
      </c>
      <c r="W8" s="159">
        <f t="shared" si="15"/>
        <v>453600</v>
      </c>
      <c r="X8" s="157">
        <f t="shared" si="16"/>
        <v>0.39374999999999999</v>
      </c>
      <c r="Y8" s="158">
        <f t="shared" si="17"/>
        <v>84000</v>
      </c>
      <c r="Z8" s="159">
        <f t="shared" si="18"/>
        <v>5040000</v>
      </c>
      <c r="AA8" s="159">
        <f t="shared" si="19"/>
        <v>1548000</v>
      </c>
      <c r="AB8" s="157">
        <f t="shared" si="20"/>
        <v>0.30714285714285716</v>
      </c>
    </row>
    <row r="9" spans="1:28" ht="14.25" customHeight="1" x14ac:dyDescent="0.3">
      <c r="A9" s="6" t="s">
        <v>875</v>
      </c>
      <c r="B9" s="160" t="s">
        <v>505</v>
      </c>
      <c r="C9" s="155">
        <v>37000</v>
      </c>
      <c r="D9" s="155">
        <f>$D$2</f>
        <v>2000</v>
      </c>
      <c r="E9" s="155"/>
      <c r="F9" s="155">
        <f t="shared" si="22"/>
        <v>12000</v>
      </c>
      <c r="G9" s="155">
        <f t="shared" si="0"/>
        <v>1200</v>
      </c>
      <c r="H9" s="155">
        <f t="shared" si="1"/>
        <v>1000</v>
      </c>
      <c r="I9" s="156">
        <f t="shared" si="2"/>
        <v>53200</v>
      </c>
      <c r="J9" s="156">
        <v>120000</v>
      </c>
      <c r="K9" s="155">
        <f t="shared" si="3"/>
        <v>66800</v>
      </c>
      <c r="L9" s="157">
        <f t="shared" si="4"/>
        <v>0.55666666666666664</v>
      </c>
      <c r="M9" s="158">
        <f t="shared" si="5"/>
        <v>108000</v>
      </c>
      <c r="N9" s="159">
        <f t="shared" si="6"/>
        <v>324000</v>
      </c>
      <c r="O9" s="159">
        <f t="shared" si="7"/>
        <v>164400</v>
      </c>
      <c r="P9" s="157">
        <f t="shared" si="8"/>
        <v>0.50740740740740742</v>
      </c>
      <c r="Q9" s="158">
        <f t="shared" si="9"/>
        <v>102000</v>
      </c>
      <c r="R9" s="159">
        <f t="shared" si="10"/>
        <v>612000</v>
      </c>
      <c r="S9" s="159">
        <f t="shared" si="11"/>
        <v>292800</v>
      </c>
      <c r="T9" s="157">
        <f t="shared" si="12"/>
        <v>0.47843137254901963</v>
      </c>
      <c r="U9" s="158">
        <f t="shared" si="13"/>
        <v>96000</v>
      </c>
      <c r="V9" s="159">
        <f t="shared" si="14"/>
        <v>1152000</v>
      </c>
      <c r="W9" s="159">
        <f t="shared" si="15"/>
        <v>513600</v>
      </c>
      <c r="X9" s="157">
        <f t="shared" si="16"/>
        <v>0.44583333333333336</v>
      </c>
      <c r="Y9" s="158">
        <f t="shared" si="17"/>
        <v>84000</v>
      </c>
      <c r="Z9" s="159">
        <f t="shared" si="18"/>
        <v>5040000</v>
      </c>
      <c r="AA9" s="159">
        <f t="shared" si="19"/>
        <v>1848000</v>
      </c>
      <c r="AB9" s="157">
        <f t="shared" si="20"/>
        <v>0.36666666666666664</v>
      </c>
    </row>
    <row r="10" spans="1:28" ht="14.25" customHeight="1" x14ac:dyDescent="0.3">
      <c r="A10" s="6" t="s">
        <v>876</v>
      </c>
      <c r="B10" s="160" t="s">
        <v>505</v>
      </c>
      <c r="C10" s="155">
        <v>37000</v>
      </c>
      <c r="D10" s="155"/>
      <c r="E10" s="155"/>
      <c r="F10" s="155"/>
      <c r="G10" s="155">
        <f t="shared" si="0"/>
        <v>1200</v>
      </c>
      <c r="H10" s="155">
        <f t="shared" si="1"/>
        <v>1000</v>
      </c>
      <c r="I10" s="156">
        <f t="shared" si="2"/>
        <v>39200</v>
      </c>
      <c r="J10" s="156">
        <v>75000</v>
      </c>
      <c r="K10" s="155">
        <f t="shared" si="3"/>
        <v>35800</v>
      </c>
      <c r="L10" s="157">
        <f t="shared" si="4"/>
        <v>0.47733333333333333</v>
      </c>
      <c r="M10" s="158">
        <f t="shared" si="5"/>
        <v>68000</v>
      </c>
      <c r="N10" s="159">
        <f t="shared" si="6"/>
        <v>204000</v>
      </c>
      <c r="O10" s="159">
        <f t="shared" si="7"/>
        <v>86400</v>
      </c>
      <c r="P10" s="157">
        <f t="shared" si="8"/>
        <v>0.42352941176470588</v>
      </c>
      <c r="Q10" s="158">
        <f t="shared" si="9"/>
        <v>64000</v>
      </c>
      <c r="R10" s="159">
        <f t="shared" si="10"/>
        <v>384000</v>
      </c>
      <c r="S10" s="159">
        <f t="shared" si="11"/>
        <v>148800</v>
      </c>
      <c r="T10" s="157">
        <f t="shared" si="12"/>
        <v>0.38750000000000001</v>
      </c>
      <c r="U10" s="158">
        <f t="shared" si="13"/>
        <v>60000</v>
      </c>
      <c r="V10" s="159">
        <f t="shared" si="14"/>
        <v>720000</v>
      </c>
      <c r="W10" s="159">
        <f t="shared" si="15"/>
        <v>249600</v>
      </c>
      <c r="X10" s="157">
        <f t="shared" si="16"/>
        <v>0.34666666666666668</v>
      </c>
      <c r="Y10" s="158">
        <f t="shared" si="17"/>
        <v>53000</v>
      </c>
      <c r="Z10" s="159">
        <f t="shared" si="18"/>
        <v>3180000</v>
      </c>
      <c r="AA10" s="159">
        <f t="shared" si="19"/>
        <v>828000</v>
      </c>
      <c r="AB10" s="157">
        <f t="shared" si="20"/>
        <v>0.26037735849056604</v>
      </c>
    </row>
    <row r="11" spans="1:28" ht="14.25" customHeight="1" x14ac:dyDescent="0.3">
      <c r="A11" s="47" t="s">
        <v>877</v>
      </c>
      <c r="B11" s="160" t="s">
        <v>505</v>
      </c>
      <c r="C11" s="155">
        <v>37000</v>
      </c>
      <c r="D11" s="155">
        <f>$D$2</f>
        <v>2000</v>
      </c>
      <c r="E11" s="155"/>
      <c r="F11" s="155"/>
      <c r="G11" s="155">
        <f t="shared" si="0"/>
        <v>1200</v>
      </c>
      <c r="H11" s="155">
        <f t="shared" si="1"/>
        <v>1000</v>
      </c>
      <c r="I11" s="156">
        <f t="shared" si="2"/>
        <v>41200</v>
      </c>
      <c r="J11" s="156">
        <v>120000</v>
      </c>
      <c r="K11" s="155">
        <f t="shared" si="3"/>
        <v>78800</v>
      </c>
      <c r="L11" s="157">
        <f t="shared" si="4"/>
        <v>0.65666666666666662</v>
      </c>
      <c r="M11" s="158">
        <f t="shared" si="5"/>
        <v>108000</v>
      </c>
      <c r="N11" s="159">
        <f t="shared" si="6"/>
        <v>324000</v>
      </c>
      <c r="O11" s="159">
        <f t="shared" si="7"/>
        <v>200400</v>
      </c>
      <c r="P11" s="157">
        <f t="shared" si="8"/>
        <v>0.61851851851851847</v>
      </c>
      <c r="Q11" s="158">
        <f t="shared" si="9"/>
        <v>102000</v>
      </c>
      <c r="R11" s="159">
        <f t="shared" si="10"/>
        <v>612000</v>
      </c>
      <c r="S11" s="159">
        <f t="shared" si="11"/>
        <v>364800</v>
      </c>
      <c r="T11" s="157">
        <f t="shared" si="12"/>
        <v>0.59607843137254901</v>
      </c>
      <c r="U11" s="158">
        <f t="shared" si="13"/>
        <v>96000</v>
      </c>
      <c r="V11" s="159">
        <f t="shared" si="14"/>
        <v>1152000</v>
      </c>
      <c r="W11" s="159">
        <f t="shared" si="15"/>
        <v>657600</v>
      </c>
      <c r="X11" s="157">
        <f t="shared" si="16"/>
        <v>0.5708333333333333</v>
      </c>
      <c r="Y11" s="158">
        <f t="shared" si="17"/>
        <v>84000</v>
      </c>
      <c r="Z11" s="159">
        <f t="shared" si="18"/>
        <v>5040000</v>
      </c>
      <c r="AA11" s="159">
        <f t="shared" si="19"/>
        <v>2568000</v>
      </c>
      <c r="AB11" s="157">
        <f t="shared" si="20"/>
        <v>0.50952380952380949</v>
      </c>
    </row>
    <row r="12" spans="1:28" ht="14.25" customHeight="1" x14ac:dyDescent="0.3">
      <c r="A12" s="47" t="s">
        <v>878</v>
      </c>
      <c r="B12" s="160" t="s">
        <v>505</v>
      </c>
      <c r="C12" s="155">
        <v>37000</v>
      </c>
      <c r="D12" s="155"/>
      <c r="E12" s="155">
        <f t="shared" ref="E12:E13" si="23">$E$2</f>
        <v>7000</v>
      </c>
      <c r="F12" s="155"/>
      <c r="G12" s="155">
        <f t="shared" si="0"/>
        <v>1200</v>
      </c>
      <c r="H12" s="155">
        <f t="shared" si="1"/>
        <v>1000</v>
      </c>
      <c r="I12" s="156">
        <f t="shared" si="2"/>
        <v>46200</v>
      </c>
      <c r="J12" s="156">
        <v>120000</v>
      </c>
      <c r="K12" s="155">
        <f t="shared" si="3"/>
        <v>73800</v>
      </c>
      <c r="L12" s="157">
        <f t="shared" si="4"/>
        <v>0.61499999999999999</v>
      </c>
      <c r="M12" s="158">
        <f t="shared" si="5"/>
        <v>108000</v>
      </c>
      <c r="N12" s="159">
        <f t="shared" si="6"/>
        <v>324000</v>
      </c>
      <c r="O12" s="159">
        <f t="shared" si="7"/>
        <v>185400</v>
      </c>
      <c r="P12" s="157">
        <f t="shared" si="8"/>
        <v>0.57222222222222219</v>
      </c>
      <c r="Q12" s="158">
        <f t="shared" si="9"/>
        <v>102000</v>
      </c>
      <c r="R12" s="159">
        <f t="shared" si="10"/>
        <v>612000</v>
      </c>
      <c r="S12" s="159">
        <f t="shared" si="11"/>
        <v>334800</v>
      </c>
      <c r="T12" s="157">
        <f t="shared" si="12"/>
        <v>0.54705882352941182</v>
      </c>
      <c r="U12" s="158">
        <f t="shared" si="13"/>
        <v>96000</v>
      </c>
      <c r="V12" s="159">
        <f t="shared" si="14"/>
        <v>1152000</v>
      </c>
      <c r="W12" s="159">
        <f t="shared" si="15"/>
        <v>597600</v>
      </c>
      <c r="X12" s="157">
        <f t="shared" si="16"/>
        <v>0.51875000000000004</v>
      </c>
      <c r="Y12" s="158">
        <f t="shared" si="17"/>
        <v>84000</v>
      </c>
      <c r="Z12" s="159">
        <f t="shared" si="18"/>
        <v>5040000</v>
      </c>
      <c r="AA12" s="159">
        <f t="shared" si="19"/>
        <v>2268000</v>
      </c>
      <c r="AB12" s="157">
        <f t="shared" si="20"/>
        <v>0.45</v>
      </c>
    </row>
    <row r="13" spans="1:28" ht="14.25" customHeight="1" x14ac:dyDescent="0.3">
      <c r="A13" s="47" t="s">
        <v>879</v>
      </c>
      <c r="B13" s="160" t="s">
        <v>505</v>
      </c>
      <c r="C13" s="155">
        <v>37000</v>
      </c>
      <c r="D13" s="155"/>
      <c r="E13" s="155">
        <f t="shared" si="23"/>
        <v>7000</v>
      </c>
      <c r="F13" s="155">
        <f t="shared" ref="F13:F14" si="24">$C$2</f>
        <v>12000</v>
      </c>
      <c r="G13" s="155">
        <f t="shared" si="0"/>
        <v>1200</v>
      </c>
      <c r="H13" s="155">
        <f t="shared" si="1"/>
        <v>1000</v>
      </c>
      <c r="I13" s="156">
        <f t="shared" si="2"/>
        <v>58200</v>
      </c>
      <c r="J13" s="156">
        <v>120000</v>
      </c>
      <c r="K13" s="155">
        <f t="shared" si="3"/>
        <v>61800</v>
      </c>
      <c r="L13" s="157">
        <f t="shared" si="4"/>
        <v>0.51500000000000001</v>
      </c>
      <c r="M13" s="158">
        <f t="shared" si="5"/>
        <v>108000</v>
      </c>
      <c r="N13" s="159">
        <f t="shared" si="6"/>
        <v>324000</v>
      </c>
      <c r="O13" s="159">
        <f t="shared" si="7"/>
        <v>149400</v>
      </c>
      <c r="P13" s="157">
        <f t="shared" si="8"/>
        <v>0.46111111111111114</v>
      </c>
      <c r="Q13" s="158">
        <f t="shared" si="9"/>
        <v>102000</v>
      </c>
      <c r="R13" s="159">
        <f t="shared" si="10"/>
        <v>612000</v>
      </c>
      <c r="S13" s="159">
        <f t="shared" si="11"/>
        <v>262800</v>
      </c>
      <c r="T13" s="157">
        <f t="shared" si="12"/>
        <v>0.42941176470588233</v>
      </c>
      <c r="U13" s="158">
        <f t="shared" si="13"/>
        <v>96000</v>
      </c>
      <c r="V13" s="159">
        <f t="shared" si="14"/>
        <v>1152000</v>
      </c>
      <c r="W13" s="159">
        <f t="shared" si="15"/>
        <v>453600</v>
      </c>
      <c r="X13" s="157">
        <f t="shared" si="16"/>
        <v>0.39374999999999999</v>
      </c>
      <c r="Y13" s="158">
        <f t="shared" si="17"/>
        <v>84000</v>
      </c>
      <c r="Z13" s="159">
        <f t="shared" si="18"/>
        <v>5040000</v>
      </c>
      <c r="AA13" s="159">
        <f t="shared" si="19"/>
        <v>1548000</v>
      </c>
      <c r="AB13" s="157">
        <f t="shared" si="20"/>
        <v>0.30714285714285716</v>
      </c>
    </row>
    <row r="14" spans="1:28" ht="14.25" customHeight="1" x14ac:dyDescent="0.3">
      <c r="A14" s="47" t="s">
        <v>880</v>
      </c>
      <c r="B14" s="160" t="s">
        <v>505</v>
      </c>
      <c r="C14" s="155">
        <v>37000</v>
      </c>
      <c r="D14" s="155">
        <f>$D$2</f>
        <v>2000</v>
      </c>
      <c r="E14" s="155"/>
      <c r="F14" s="155">
        <f t="shared" si="24"/>
        <v>12000</v>
      </c>
      <c r="G14" s="155">
        <f t="shared" si="0"/>
        <v>1200</v>
      </c>
      <c r="H14" s="155">
        <f t="shared" si="1"/>
        <v>1000</v>
      </c>
      <c r="I14" s="156">
        <f t="shared" si="2"/>
        <v>53200</v>
      </c>
      <c r="J14" s="156">
        <v>120000</v>
      </c>
      <c r="K14" s="155">
        <f t="shared" si="3"/>
        <v>66800</v>
      </c>
      <c r="L14" s="157">
        <f t="shared" si="4"/>
        <v>0.55666666666666664</v>
      </c>
      <c r="M14" s="158">
        <f t="shared" si="5"/>
        <v>108000</v>
      </c>
      <c r="N14" s="159">
        <f t="shared" si="6"/>
        <v>324000</v>
      </c>
      <c r="O14" s="159">
        <f t="shared" si="7"/>
        <v>164400</v>
      </c>
      <c r="P14" s="157">
        <f t="shared" si="8"/>
        <v>0.50740740740740742</v>
      </c>
      <c r="Q14" s="158">
        <f t="shared" si="9"/>
        <v>102000</v>
      </c>
      <c r="R14" s="159">
        <f t="shared" si="10"/>
        <v>612000</v>
      </c>
      <c r="S14" s="159">
        <f t="shared" si="11"/>
        <v>292800</v>
      </c>
      <c r="T14" s="157">
        <f t="shared" si="12"/>
        <v>0.47843137254901963</v>
      </c>
      <c r="U14" s="158">
        <f t="shared" si="13"/>
        <v>96000</v>
      </c>
      <c r="V14" s="159">
        <f t="shared" si="14"/>
        <v>1152000</v>
      </c>
      <c r="W14" s="159">
        <f t="shared" si="15"/>
        <v>513600</v>
      </c>
      <c r="X14" s="157">
        <f t="shared" si="16"/>
        <v>0.44583333333333336</v>
      </c>
      <c r="Y14" s="158">
        <f t="shared" si="17"/>
        <v>84000</v>
      </c>
      <c r="Z14" s="159">
        <f t="shared" si="18"/>
        <v>5040000</v>
      </c>
      <c r="AA14" s="159">
        <f t="shared" si="19"/>
        <v>1848000</v>
      </c>
      <c r="AB14" s="157">
        <f t="shared" si="20"/>
        <v>0.36666666666666664</v>
      </c>
    </row>
    <row r="15" spans="1:28" ht="14.25" customHeight="1" x14ac:dyDescent="0.3">
      <c r="A15" s="47" t="s">
        <v>881</v>
      </c>
      <c r="B15" s="160" t="s">
        <v>505</v>
      </c>
      <c r="C15" s="155">
        <v>37000</v>
      </c>
      <c r="D15" s="155"/>
      <c r="E15" s="155"/>
      <c r="F15" s="155"/>
      <c r="G15" s="155">
        <f t="shared" si="0"/>
        <v>1200</v>
      </c>
      <c r="H15" s="155">
        <f t="shared" si="1"/>
        <v>1000</v>
      </c>
      <c r="I15" s="156">
        <f t="shared" si="2"/>
        <v>39200</v>
      </c>
      <c r="J15" s="156">
        <v>75000</v>
      </c>
      <c r="K15" s="155">
        <f t="shared" si="3"/>
        <v>35800</v>
      </c>
      <c r="L15" s="157">
        <f t="shared" si="4"/>
        <v>0.47733333333333333</v>
      </c>
      <c r="M15" s="158">
        <f t="shared" si="5"/>
        <v>68000</v>
      </c>
      <c r="N15" s="159">
        <f t="shared" si="6"/>
        <v>204000</v>
      </c>
      <c r="O15" s="159">
        <f t="shared" si="7"/>
        <v>86400</v>
      </c>
      <c r="P15" s="157">
        <f t="shared" si="8"/>
        <v>0.42352941176470588</v>
      </c>
      <c r="Q15" s="158">
        <f t="shared" si="9"/>
        <v>64000</v>
      </c>
      <c r="R15" s="159">
        <f t="shared" si="10"/>
        <v>384000</v>
      </c>
      <c r="S15" s="159">
        <f t="shared" si="11"/>
        <v>148800</v>
      </c>
      <c r="T15" s="157">
        <f t="shared" si="12"/>
        <v>0.38750000000000001</v>
      </c>
      <c r="U15" s="158">
        <f t="shared" si="13"/>
        <v>60000</v>
      </c>
      <c r="V15" s="159">
        <f t="shared" si="14"/>
        <v>720000</v>
      </c>
      <c r="W15" s="159">
        <f t="shared" si="15"/>
        <v>249600</v>
      </c>
      <c r="X15" s="157">
        <f t="shared" si="16"/>
        <v>0.34666666666666668</v>
      </c>
      <c r="Y15" s="158">
        <f t="shared" si="17"/>
        <v>53000</v>
      </c>
      <c r="Z15" s="159">
        <f t="shared" si="18"/>
        <v>3180000</v>
      </c>
      <c r="AA15" s="159">
        <f t="shared" si="19"/>
        <v>828000</v>
      </c>
      <c r="AB15" s="157">
        <f t="shared" si="20"/>
        <v>0.26037735849056604</v>
      </c>
    </row>
    <row r="16" spans="1:28" ht="14.25" customHeight="1" x14ac:dyDescent="0.3">
      <c r="A16" s="6" t="s">
        <v>882</v>
      </c>
      <c r="B16" s="160" t="s">
        <v>505</v>
      </c>
      <c r="C16" s="155">
        <v>37000</v>
      </c>
      <c r="D16" s="155">
        <f>$D$2</f>
        <v>2000</v>
      </c>
      <c r="E16" s="155"/>
      <c r="F16" s="155"/>
      <c r="G16" s="155">
        <f t="shared" si="0"/>
        <v>1200</v>
      </c>
      <c r="H16" s="155">
        <f t="shared" si="1"/>
        <v>1000</v>
      </c>
      <c r="I16" s="156">
        <f t="shared" si="2"/>
        <v>41200</v>
      </c>
      <c r="J16" s="156">
        <v>120000</v>
      </c>
      <c r="K16" s="155">
        <f t="shared" si="3"/>
        <v>78800</v>
      </c>
      <c r="L16" s="157">
        <f t="shared" si="4"/>
        <v>0.65666666666666662</v>
      </c>
      <c r="M16" s="158">
        <f t="shared" si="5"/>
        <v>108000</v>
      </c>
      <c r="N16" s="159">
        <f t="shared" si="6"/>
        <v>324000</v>
      </c>
      <c r="O16" s="159">
        <f t="shared" si="7"/>
        <v>200400</v>
      </c>
      <c r="P16" s="157">
        <f t="shared" si="8"/>
        <v>0.61851851851851847</v>
      </c>
      <c r="Q16" s="158">
        <f t="shared" si="9"/>
        <v>102000</v>
      </c>
      <c r="R16" s="159">
        <f t="shared" si="10"/>
        <v>612000</v>
      </c>
      <c r="S16" s="159">
        <f t="shared" si="11"/>
        <v>364800</v>
      </c>
      <c r="T16" s="157">
        <f t="shared" si="12"/>
        <v>0.59607843137254901</v>
      </c>
      <c r="U16" s="158">
        <f t="shared" si="13"/>
        <v>96000</v>
      </c>
      <c r="V16" s="159">
        <f t="shared" si="14"/>
        <v>1152000</v>
      </c>
      <c r="W16" s="159">
        <f t="shared" si="15"/>
        <v>657600</v>
      </c>
      <c r="X16" s="157">
        <f t="shared" si="16"/>
        <v>0.5708333333333333</v>
      </c>
      <c r="Y16" s="158">
        <f t="shared" si="17"/>
        <v>84000</v>
      </c>
      <c r="Z16" s="159">
        <f t="shared" si="18"/>
        <v>5040000</v>
      </c>
      <c r="AA16" s="159">
        <f t="shared" si="19"/>
        <v>2568000</v>
      </c>
      <c r="AB16" s="157">
        <f t="shared" si="20"/>
        <v>0.50952380952380949</v>
      </c>
    </row>
    <row r="17" spans="1:28" ht="14.25" customHeight="1" x14ac:dyDescent="0.3">
      <c r="A17" s="6" t="s">
        <v>883</v>
      </c>
      <c r="B17" s="160" t="s">
        <v>505</v>
      </c>
      <c r="C17" s="155">
        <v>37000</v>
      </c>
      <c r="D17" s="155"/>
      <c r="E17" s="155">
        <f t="shared" ref="E17:E18" si="25">$E$2</f>
        <v>7000</v>
      </c>
      <c r="F17" s="155"/>
      <c r="G17" s="155">
        <f t="shared" si="0"/>
        <v>1200</v>
      </c>
      <c r="H17" s="155">
        <f t="shared" si="1"/>
        <v>1000</v>
      </c>
      <c r="I17" s="156">
        <f t="shared" si="2"/>
        <v>46200</v>
      </c>
      <c r="J17" s="156">
        <v>120000</v>
      </c>
      <c r="K17" s="155">
        <f t="shared" si="3"/>
        <v>73800</v>
      </c>
      <c r="L17" s="157">
        <f t="shared" si="4"/>
        <v>0.61499999999999999</v>
      </c>
      <c r="M17" s="158">
        <f t="shared" si="5"/>
        <v>108000</v>
      </c>
      <c r="N17" s="159">
        <f t="shared" si="6"/>
        <v>324000</v>
      </c>
      <c r="O17" s="159">
        <f t="shared" si="7"/>
        <v>185400</v>
      </c>
      <c r="P17" s="157">
        <f t="shared" si="8"/>
        <v>0.57222222222222219</v>
      </c>
      <c r="Q17" s="158">
        <f t="shared" si="9"/>
        <v>102000</v>
      </c>
      <c r="R17" s="159">
        <f t="shared" si="10"/>
        <v>612000</v>
      </c>
      <c r="S17" s="159">
        <f t="shared" si="11"/>
        <v>334800</v>
      </c>
      <c r="T17" s="157">
        <f t="shared" si="12"/>
        <v>0.54705882352941182</v>
      </c>
      <c r="U17" s="158">
        <f t="shared" si="13"/>
        <v>96000</v>
      </c>
      <c r="V17" s="159">
        <f t="shared" si="14"/>
        <v>1152000</v>
      </c>
      <c r="W17" s="159">
        <f t="shared" si="15"/>
        <v>597600</v>
      </c>
      <c r="X17" s="157">
        <f t="shared" si="16"/>
        <v>0.51875000000000004</v>
      </c>
      <c r="Y17" s="158">
        <f t="shared" si="17"/>
        <v>84000</v>
      </c>
      <c r="Z17" s="159">
        <f t="shared" si="18"/>
        <v>5040000</v>
      </c>
      <c r="AA17" s="159">
        <f t="shared" si="19"/>
        <v>2268000</v>
      </c>
      <c r="AB17" s="157">
        <f t="shared" si="20"/>
        <v>0.45</v>
      </c>
    </row>
    <row r="18" spans="1:28" ht="14.25" customHeight="1" x14ac:dyDescent="0.3">
      <c r="A18" s="6" t="s">
        <v>884</v>
      </c>
      <c r="B18" s="160" t="s">
        <v>505</v>
      </c>
      <c r="C18" s="155">
        <v>37000</v>
      </c>
      <c r="D18" s="155"/>
      <c r="E18" s="155">
        <f t="shared" si="25"/>
        <v>7000</v>
      </c>
      <c r="F18" s="155">
        <f t="shared" ref="F18:F19" si="26">$C$2</f>
        <v>12000</v>
      </c>
      <c r="G18" s="155">
        <f t="shared" si="0"/>
        <v>1200</v>
      </c>
      <c r="H18" s="155">
        <f t="shared" si="1"/>
        <v>1000</v>
      </c>
      <c r="I18" s="156">
        <f t="shared" si="2"/>
        <v>58200</v>
      </c>
      <c r="J18" s="156">
        <v>120000</v>
      </c>
      <c r="K18" s="155">
        <f t="shared" si="3"/>
        <v>61800</v>
      </c>
      <c r="L18" s="157">
        <f t="shared" si="4"/>
        <v>0.51500000000000001</v>
      </c>
      <c r="M18" s="158">
        <f t="shared" si="5"/>
        <v>108000</v>
      </c>
      <c r="N18" s="159">
        <f t="shared" si="6"/>
        <v>324000</v>
      </c>
      <c r="O18" s="159">
        <f t="shared" si="7"/>
        <v>149400</v>
      </c>
      <c r="P18" s="157">
        <f t="shared" si="8"/>
        <v>0.46111111111111114</v>
      </c>
      <c r="Q18" s="158">
        <f t="shared" si="9"/>
        <v>102000</v>
      </c>
      <c r="R18" s="159">
        <f t="shared" si="10"/>
        <v>612000</v>
      </c>
      <c r="S18" s="159">
        <f t="shared" si="11"/>
        <v>262800</v>
      </c>
      <c r="T18" s="157">
        <f t="shared" si="12"/>
        <v>0.42941176470588233</v>
      </c>
      <c r="U18" s="158">
        <f t="shared" si="13"/>
        <v>96000</v>
      </c>
      <c r="V18" s="159">
        <f t="shared" si="14"/>
        <v>1152000</v>
      </c>
      <c r="W18" s="159">
        <f t="shared" si="15"/>
        <v>453600</v>
      </c>
      <c r="X18" s="157">
        <f t="shared" si="16"/>
        <v>0.39374999999999999</v>
      </c>
      <c r="Y18" s="158">
        <f t="shared" si="17"/>
        <v>84000</v>
      </c>
      <c r="Z18" s="159">
        <f t="shared" si="18"/>
        <v>5040000</v>
      </c>
      <c r="AA18" s="159">
        <f t="shared" si="19"/>
        <v>1548000</v>
      </c>
      <c r="AB18" s="157">
        <f t="shared" si="20"/>
        <v>0.30714285714285716</v>
      </c>
    </row>
    <row r="19" spans="1:28" ht="14.25" customHeight="1" x14ac:dyDescent="0.3">
      <c r="A19" s="6" t="s">
        <v>885</v>
      </c>
      <c r="B19" s="160" t="s">
        <v>505</v>
      </c>
      <c r="C19" s="155">
        <v>37000</v>
      </c>
      <c r="D19" s="155">
        <f>$D$2</f>
        <v>2000</v>
      </c>
      <c r="E19" s="155"/>
      <c r="F19" s="155">
        <f t="shared" si="26"/>
        <v>12000</v>
      </c>
      <c r="G19" s="155">
        <f t="shared" si="0"/>
        <v>1200</v>
      </c>
      <c r="H19" s="155">
        <f t="shared" si="1"/>
        <v>1000</v>
      </c>
      <c r="I19" s="156">
        <f t="shared" si="2"/>
        <v>53200</v>
      </c>
      <c r="J19" s="156">
        <v>120000</v>
      </c>
      <c r="K19" s="155">
        <f t="shared" si="3"/>
        <v>66800</v>
      </c>
      <c r="L19" s="157">
        <f t="shared" si="4"/>
        <v>0.55666666666666664</v>
      </c>
      <c r="M19" s="158">
        <f t="shared" si="5"/>
        <v>108000</v>
      </c>
      <c r="N19" s="159">
        <f t="shared" si="6"/>
        <v>324000</v>
      </c>
      <c r="O19" s="159">
        <f t="shared" si="7"/>
        <v>164400</v>
      </c>
      <c r="P19" s="157">
        <f t="shared" si="8"/>
        <v>0.50740740740740742</v>
      </c>
      <c r="Q19" s="158">
        <f t="shared" si="9"/>
        <v>102000</v>
      </c>
      <c r="R19" s="159">
        <f t="shared" si="10"/>
        <v>612000</v>
      </c>
      <c r="S19" s="159">
        <f t="shared" si="11"/>
        <v>292800</v>
      </c>
      <c r="T19" s="157">
        <f t="shared" si="12"/>
        <v>0.47843137254901963</v>
      </c>
      <c r="U19" s="158">
        <f t="shared" si="13"/>
        <v>96000</v>
      </c>
      <c r="V19" s="159">
        <f t="shared" si="14"/>
        <v>1152000</v>
      </c>
      <c r="W19" s="159">
        <f t="shared" si="15"/>
        <v>513600</v>
      </c>
      <c r="X19" s="157">
        <f t="shared" si="16"/>
        <v>0.44583333333333336</v>
      </c>
      <c r="Y19" s="158">
        <f t="shared" si="17"/>
        <v>84000</v>
      </c>
      <c r="Z19" s="159">
        <f t="shared" si="18"/>
        <v>5040000</v>
      </c>
      <c r="AA19" s="159">
        <f t="shared" si="19"/>
        <v>1848000</v>
      </c>
      <c r="AB19" s="157">
        <f t="shared" si="20"/>
        <v>0.36666666666666664</v>
      </c>
    </row>
    <row r="20" spans="1:28" ht="14.25" customHeight="1" x14ac:dyDescent="0.3">
      <c r="A20" s="6" t="s">
        <v>886</v>
      </c>
      <c r="B20" s="160" t="s">
        <v>505</v>
      </c>
      <c r="C20" s="155">
        <v>37000</v>
      </c>
      <c r="D20" s="155"/>
      <c r="E20" s="155"/>
      <c r="F20" s="155"/>
      <c r="G20" s="155">
        <f t="shared" si="0"/>
        <v>1200</v>
      </c>
      <c r="H20" s="155">
        <f t="shared" si="1"/>
        <v>1000</v>
      </c>
      <c r="I20" s="156">
        <f t="shared" si="2"/>
        <v>39200</v>
      </c>
      <c r="J20" s="156">
        <v>75000</v>
      </c>
      <c r="K20" s="155">
        <f t="shared" si="3"/>
        <v>35800</v>
      </c>
      <c r="L20" s="157">
        <f t="shared" si="4"/>
        <v>0.47733333333333333</v>
      </c>
      <c r="M20" s="158">
        <f t="shared" si="5"/>
        <v>68000</v>
      </c>
      <c r="N20" s="159">
        <f t="shared" si="6"/>
        <v>204000</v>
      </c>
      <c r="O20" s="159">
        <f t="shared" si="7"/>
        <v>86400</v>
      </c>
      <c r="P20" s="157">
        <f t="shared" si="8"/>
        <v>0.42352941176470588</v>
      </c>
      <c r="Q20" s="158">
        <f t="shared" si="9"/>
        <v>64000</v>
      </c>
      <c r="R20" s="159">
        <f t="shared" si="10"/>
        <v>384000</v>
      </c>
      <c r="S20" s="159">
        <f t="shared" si="11"/>
        <v>148800</v>
      </c>
      <c r="T20" s="157">
        <f t="shared" si="12"/>
        <v>0.38750000000000001</v>
      </c>
      <c r="U20" s="158">
        <f t="shared" si="13"/>
        <v>60000</v>
      </c>
      <c r="V20" s="159">
        <f t="shared" si="14"/>
        <v>720000</v>
      </c>
      <c r="W20" s="159">
        <f t="shared" si="15"/>
        <v>249600</v>
      </c>
      <c r="X20" s="157">
        <f t="shared" si="16"/>
        <v>0.34666666666666668</v>
      </c>
      <c r="Y20" s="158">
        <f t="shared" si="17"/>
        <v>53000</v>
      </c>
      <c r="Z20" s="159">
        <f t="shared" si="18"/>
        <v>3180000</v>
      </c>
      <c r="AA20" s="159">
        <f t="shared" si="19"/>
        <v>828000</v>
      </c>
      <c r="AB20" s="157">
        <f t="shared" si="20"/>
        <v>0.26037735849056604</v>
      </c>
    </row>
    <row r="21" spans="1:28" ht="14.25" customHeight="1" x14ac:dyDescent="0.3">
      <c r="A21" s="47" t="s">
        <v>887</v>
      </c>
      <c r="B21" s="160" t="s">
        <v>505</v>
      </c>
      <c r="C21" s="155">
        <v>90000</v>
      </c>
      <c r="D21" s="155"/>
      <c r="E21" s="155">
        <f>$E$2</f>
        <v>7000</v>
      </c>
      <c r="F21" s="155"/>
      <c r="G21" s="155">
        <f t="shared" si="0"/>
        <v>1200</v>
      </c>
      <c r="H21" s="155">
        <f t="shared" si="1"/>
        <v>1000</v>
      </c>
      <c r="I21" s="156">
        <f t="shared" si="2"/>
        <v>99200</v>
      </c>
      <c r="J21" s="156">
        <v>180000</v>
      </c>
      <c r="K21" s="155">
        <f t="shared" si="3"/>
        <v>80800</v>
      </c>
      <c r="L21" s="157">
        <f t="shared" si="4"/>
        <v>0.44888888888888889</v>
      </c>
      <c r="M21" s="158">
        <f t="shared" si="5"/>
        <v>162000</v>
      </c>
      <c r="N21" s="159">
        <f t="shared" si="6"/>
        <v>486000</v>
      </c>
      <c r="O21" s="159">
        <f t="shared" si="7"/>
        <v>188400</v>
      </c>
      <c r="P21" s="157">
        <f t="shared" si="8"/>
        <v>0.38765432098765434</v>
      </c>
      <c r="Q21" s="158">
        <f t="shared" si="9"/>
        <v>153000</v>
      </c>
      <c r="R21" s="159">
        <f t="shared" si="10"/>
        <v>918000</v>
      </c>
      <c r="S21" s="159">
        <f t="shared" si="11"/>
        <v>322800</v>
      </c>
      <c r="T21" s="157">
        <f t="shared" si="12"/>
        <v>0.3516339869281046</v>
      </c>
      <c r="U21" s="158">
        <f t="shared" si="13"/>
        <v>144000</v>
      </c>
      <c r="V21" s="159">
        <f t="shared" si="14"/>
        <v>1728000</v>
      </c>
      <c r="W21" s="159">
        <f t="shared" si="15"/>
        <v>537600</v>
      </c>
      <c r="X21" s="157">
        <f t="shared" si="16"/>
        <v>0.31111111111111112</v>
      </c>
      <c r="Y21" s="158">
        <f t="shared" si="17"/>
        <v>126000</v>
      </c>
      <c r="Z21" s="159">
        <f t="shared" si="18"/>
        <v>7560000</v>
      </c>
      <c r="AA21" s="159">
        <f t="shared" si="19"/>
        <v>1608000</v>
      </c>
      <c r="AB21" s="157">
        <f t="shared" si="20"/>
        <v>0.21269841269841269</v>
      </c>
    </row>
    <row r="22" spans="1:28" ht="14.25" customHeight="1" x14ac:dyDescent="0.3">
      <c r="A22" s="47" t="s">
        <v>888</v>
      </c>
      <c r="B22" s="6" t="s">
        <v>505</v>
      </c>
      <c r="C22" s="155">
        <v>90000</v>
      </c>
      <c r="D22" s="155"/>
      <c r="E22" s="155"/>
      <c r="F22" s="155"/>
      <c r="G22" s="155">
        <f t="shared" si="0"/>
        <v>1200</v>
      </c>
      <c r="H22" s="155">
        <f t="shared" si="1"/>
        <v>1000</v>
      </c>
      <c r="I22" s="156">
        <f t="shared" si="2"/>
        <v>92200</v>
      </c>
      <c r="J22" s="156">
        <v>180000</v>
      </c>
      <c r="K22" s="155">
        <f t="shared" si="3"/>
        <v>87800</v>
      </c>
      <c r="L22" s="157">
        <f t="shared" si="4"/>
        <v>0.48777777777777775</v>
      </c>
      <c r="M22" s="158">
        <f t="shared" si="5"/>
        <v>162000</v>
      </c>
      <c r="N22" s="159">
        <f t="shared" si="6"/>
        <v>486000</v>
      </c>
      <c r="O22" s="159">
        <f t="shared" si="7"/>
        <v>209400</v>
      </c>
      <c r="P22" s="157">
        <f t="shared" si="8"/>
        <v>0.43086419753086419</v>
      </c>
      <c r="Q22" s="158">
        <f t="shared" si="9"/>
        <v>153000</v>
      </c>
      <c r="R22" s="159">
        <f t="shared" si="10"/>
        <v>918000</v>
      </c>
      <c r="S22" s="159">
        <f t="shared" si="11"/>
        <v>364800</v>
      </c>
      <c r="T22" s="157">
        <f t="shared" si="12"/>
        <v>0.39738562091503266</v>
      </c>
      <c r="U22" s="158">
        <f t="shared" si="13"/>
        <v>144000</v>
      </c>
      <c r="V22" s="159">
        <f t="shared" si="14"/>
        <v>1728000</v>
      </c>
      <c r="W22" s="159">
        <f t="shared" si="15"/>
        <v>621600</v>
      </c>
      <c r="X22" s="157">
        <f t="shared" si="16"/>
        <v>0.35972222222222222</v>
      </c>
      <c r="Y22" s="158">
        <f t="shared" si="17"/>
        <v>126000</v>
      </c>
      <c r="Z22" s="159">
        <f t="shared" si="18"/>
        <v>7560000</v>
      </c>
      <c r="AA22" s="159">
        <f t="shared" si="19"/>
        <v>2028000</v>
      </c>
      <c r="AB22" s="157">
        <f t="shared" si="20"/>
        <v>0.26825396825396824</v>
      </c>
    </row>
    <row r="23" spans="1:28" ht="14.25" customHeight="1" x14ac:dyDescent="0.3">
      <c r="A23" s="160" t="s">
        <v>889</v>
      </c>
      <c r="B23" s="160" t="s">
        <v>505</v>
      </c>
      <c r="C23" s="155">
        <v>120000</v>
      </c>
      <c r="D23" s="155"/>
      <c r="E23" s="155">
        <f>$E$2</f>
        <v>7000</v>
      </c>
      <c r="F23" s="155"/>
      <c r="G23" s="155">
        <f t="shared" si="0"/>
        <v>1200</v>
      </c>
      <c r="H23" s="155">
        <f t="shared" si="1"/>
        <v>1000</v>
      </c>
      <c r="I23" s="156">
        <f t="shared" si="2"/>
        <v>129200</v>
      </c>
      <c r="J23" s="156">
        <v>200000</v>
      </c>
      <c r="K23" s="155">
        <f t="shared" si="3"/>
        <v>70800</v>
      </c>
      <c r="L23" s="157">
        <f t="shared" si="4"/>
        <v>0.35399999999999998</v>
      </c>
      <c r="M23" s="158">
        <f t="shared" si="5"/>
        <v>180000</v>
      </c>
      <c r="N23" s="159">
        <f t="shared" si="6"/>
        <v>540000</v>
      </c>
      <c r="O23" s="159">
        <f t="shared" si="7"/>
        <v>152400</v>
      </c>
      <c r="P23" s="157">
        <f t="shared" si="8"/>
        <v>0.28222222222222221</v>
      </c>
      <c r="Q23" s="158">
        <f t="shared" si="9"/>
        <v>170000</v>
      </c>
      <c r="R23" s="159">
        <f t="shared" si="10"/>
        <v>1020000</v>
      </c>
      <c r="S23" s="159">
        <f t="shared" si="11"/>
        <v>244800</v>
      </c>
      <c r="T23" s="157">
        <f t="shared" si="12"/>
        <v>0.24</v>
      </c>
      <c r="U23" s="158">
        <f t="shared" si="13"/>
        <v>160000</v>
      </c>
      <c r="V23" s="159">
        <f t="shared" si="14"/>
        <v>1920000</v>
      </c>
      <c r="W23" s="159">
        <f t="shared" si="15"/>
        <v>369600</v>
      </c>
      <c r="X23" s="157">
        <f t="shared" si="16"/>
        <v>0.1925</v>
      </c>
      <c r="Y23" s="158">
        <f t="shared" si="17"/>
        <v>140000</v>
      </c>
      <c r="Z23" s="159">
        <f t="shared" si="18"/>
        <v>8400000</v>
      </c>
      <c r="AA23" s="159">
        <f t="shared" si="19"/>
        <v>648000</v>
      </c>
      <c r="AB23" s="157">
        <f t="shared" si="20"/>
        <v>7.7142857142857138E-2</v>
      </c>
    </row>
    <row r="24" spans="1:28" ht="14.25" customHeight="1" x14ac:dyDescent="0.3">
      <c r="A24" s="160" t="s">
        <v>890</v>
      </c>
      <c r="B24" s="6" t="s">
        <v>505</v>
      </c>
      <c r="C24" s="155">
        <v>120000</v>
      </c>
      <c r="D24" s="155"/>
      <c r="E24" s="155"/>
      <c r="F24" s="155"/>
      <c r="G24" s="155">
        <f t="shared" si="0"/>
        <v>1200</v>
      </c>
      <c r="H24" s="155">
        <f t="shared" si="1"/>
        <v>1000</v>
      </c>
      <c r="I24" s="156">
        <f t="shared" si="2"/>
        <v>122200</v>
      </c>
      <c r="J24" s="156">
        <v>190000</v>
      </c>
      <c r="K24" s="155">
        <f t="shared" si="3"/>
        <v>67800</v>
      </c>
      <c r="L24" s="157">
        <f t="shared" si="4"/>
        <v>0.3568421052631579</v>
      </c>
      <c r="M24" s="158">
        <f t="shared" si="5"/>
        <v>171000</v>
      </c>
      <c r="N24" s="159">
        <f t="shared" si="6"/>
        <v>513000</v>
      </c>
      <c r="O24" s="159">
        <f t="shared" si="7"/>
        <v>146400</v>
      </c>
      <c r="P24" s="157">
        <f t="shared" si="8"/>
        <v>0.28538011695906434</v>
      </c>
      <c r="Q24" s="158">
        <f t="shared" si="9"/>
        <v>162000</v>
      </c>
      <c r="R24" s="159">
        <f t="shared" si="10"/>
        <v>972000</v>
      </c>
      <c r="S24" s="159">
        <f t="shared" si="11"/>
        <v>238800</v>
      </c>
      <c r="T24" s="157">
        <f t="shared" si="12"/>
        <v>0.24567901234567902</v>
      </c>
      <c r="U24" s="158">
        <f t="shared" si="13"/>
        <v>152000</v>
      </c>
      <c r="V24" s="159">
        <f t="shared" si="14"/>
        <v>1824000</v>
      </c>
      <c r="W24" s="159">
        <f t="shared" si="15"/>
        <v>357600</v>
      </c>
      <c r="X24" s="157">
        <f t="shared" si="16"/>
        <v>0.19605263157894737</v>
      </c>
      <c r="Y24" s="158">
        <f t="shared" si="17"/>
        <v>133000</v>
      </c>
      <c r="Z24" s="159">
        <f t="shared" si="18"/>
        <v>7980000</v>
      </c>
      <c r="AA24" s="159">
        <f t="shared" si="19"/>
        <v>648000</v>
      </c>
      <c r="AB24" s="157">
        <f t="shared" si="20"/>
        <v>8.1203007518796999E-2</v>
      </c>
    </row>
    <row r="25" spans="1:28" ht="14.25" customHeight="1" x14ac:dyDescent="0.3">
      <c r="A25" s="47" t="s">
        <v>891</v>
      </c>
      <c r="B25" s="6" t="s">
        <v>509</v>
      </c>
      <c r="C25" s="155">
        <v>50000</v>
      </c>
      <c r="D25" s="155"/>
      <c r="E25" s="155">
        <f>$E$2</f>
        <v>7000</v>
      </c>
      <c r="F25" s="155"/>
      <c r="G25" s="155">
        <f t="shared" si="0"/>
        <v>1200</v>
      </c>
      <c r="H25" s="155">
        <f t="shared" si="1"/>
        <v>1000</v>
      </c>
      <c r="I25" s="156">
        <f t="shared" si="2"/>
        <v>59200</v>
      </c>
      <c r="J25" s="156">
        <v>120000</v>
      </c>
      <c r="K25" s="155">
        <f t="shared" si="3"/>
        <v>60800</v>
      </c>
      <c r="L25" s="157">
        <f t="shared" si="4"/>
        <v>0.50666666666666671</v>
      </c>
      <c r="M25" s="158">
        <f t="shared" si="5"/>
        <v>108000</v>
      </c>
      <c r="N25" s="159">
        <f t="shared" si="6"/>
        <v>324000</v>
      </c>
      <c r="O25" s="159">
        <f t="shared" si="7"/>
        <v>146400</v>
      </c>
      <c r="P25" s="157">
        <f t="shared" si="8"/>
        <v>0.45185185185185184</v>
      </c>
      <c r="Q25" s="158">
        <f t="shared" si="9"/>
        <v>102000</v>
      </c>
      <c r="R25" s="159">
        <f t="shared" si="10"/>
        <v>612000</v>
      </c>
      <c r="S25" s="159">
        <f t="shared" si="11"/>
        <v>256800</v>
      </c>
      <c r="T25" s="157">
        <f t="shared" si="12"/>
        <v>0.41960784313725491</v>
      </c>
      <c r="U25" s="158">
        <f t="shared" si="13"/>
        <v>96000</v>
      </c>
      <c r="V25" s="159">
        <f t="shared" si="14"/>
        <v>1152000</v>
      </c>
      <c r="W25" s="159">
        <f t="shared" si="15"/>
        <v>441600</v>
      </c>
      <c r="X25" s="157">
        <f t="shared" si="16"/>
        <v>0.38333333333333336</v>
      </c>
      <c r="Y25" s="158">
        <f t="shared" si="17"/>
        <v>84000</v>
      </c>
      <c r="Z25" s="159">
        <f t="shared" si="18"/>
        <v>5040000</v>
      </c>
      <c r="AA25" s="159">
        <f t="shared" si="19"/>
        <v>1488000</v>
      </c>
      <c r="AB25" s="157">
        <f t="shared" si="20"/>
        <v>0.29523809523809524</v>
      </c>
    </row>
    <row r="26" spans="1:28" ht="14.25" customHeight="1" x14ac:dyDescent="0.3">
      <c r="A26" s="47" t="s">
        <v>892</v>
      </c>
      <c r="B26" s="6" t="s">
        <v>509</v>
      </c>
      <c r="C26" s="155">
        <v>50000</v>
      </c>
      <c r="D26" s="155"/>
      <c r="E26" s="155"/>
      <c r="F26" s="155">
        <f t="shared" ref="F26:F28" si="27">$C$2</f>
        <v>12000</v>
      </c>
      <c r="G26" s="155">
        <f t="shared" si="0"/>
        <v>1200</v>
      </c>
      <c r="H26" s="155">
        <f t="shared" si="1"/>
        <v>1000</v>
      </c>
      <c r="I26" s="156">
        <f t="shared" si="2"/>
        <v>64200</v>
      </c>
      <c r="J26" s="156">
        <v>130000</v>
      </c>
      <c r="K26" s="155">
        <f t="shared" si="3"/>
        <v>65800</v>
      </c>
      <c r="L26" s="157">
        <f t="shared" si="4"/>
        <v>0.50615384615384618</v>
      </c>
      <c r="M26" s="158">
        <f t="shared" si="5"/>
        <v>117000</v>
      </c>
      <c r="N26" s="159">
        <f t="shared" si="6"/>
        <v>351000</v>
      </c>
      <c r="O26" s="159">
        <f t="shared" si="7"/>
        <v>158400</v>
      </c>
      <c r="P26" s="157">
        <f t="shared" si="8"/>
        <v>0.45128205128205129</v>
      </c>
      <c r="Q26" s="158">
        <f t="shared" si="9"/>
        <v>111000</v>
      </c>
      <c r="R26" s="159">
        <f t="shared" si="10"/>
        <v>666000</v>
      </c>
      <c r="S26" s="159">
        <f t="shared" si="11"/>
        <v>280800</v>
      </c>
      <c r="T26" s="157">
        <f t="shared" si="12"/>
        <v>0.42162162162162165</v>
      </c>
      <c r="U26" s="158">
        <f t="shared" si="13"/>
        <v>104000</v>
      </c>
      <c r="V26" s="159">
        <f t="shared" si="14"/>
        <v>1248000</v>
      </c>
      <c r="W26" s="159">
        <f t="shared" si="15"/>
        <v>477600</v>
      </c>
      <c r="X26" s="157">
        <f t="shared" si="16"/>
        <v>0.38269230769230766</v>
      </c>
      <c r="Y26" s="158">
        <f t="shared" si="17"/>
        <v>91000</v>
      </c>
      <c r="Z26" s="159">
        <f t="shared" si="18"/>
        <v>5460000</v>
      </c>
      <c r="AA26" s="159">
        <f t="shared" si="19"/>
        <v>1608000</v>
      </c>
      <c r="AB26" s="157">
        <f t="shared" si="20"/>
        <v>0.29450549450549451</v>
      </c>
    </row>
    <row r="27" spans="1:28" ht="14.25" customHeight="1" x14ac:dyDescent="0.3">
      <c r="A27" s="47" t="s">
        <v>893</v>
      </c>
      <c r="B27" s="6" t="s">
        <v>509</v>
      </c>
      <c r="C27" s="155">
        <v>50000</v>
      </c>
      <c r="D27" s="155"/>
      <c r="E27" s="155">
        <f>$E$2</f>
        <v>7000</v>
      </c>
      <c r="F27" s="155">
        <f t="shared" si="27"/>
        <v>12000</v>
      </c>
      <c r="G27" s="155">
        <f t="shared" si="0"/>
        <v>1200</v>
      </c>
      <c r="H27" s="155">
        <f t="shared" si="1"/>
        <v>1000</v>
      </c>
      <c r="I27" s="156">
        <f t="shared" si="2"/>
        <v>71200</v>
      </c>
      <c r="J27" s="156">
        <v>140000</v>
      </c>
      <c r="K27" s="155">
        <f t="shared" si="3"/>
        <v>68800</v>
      </c>
      <c r="L27" s="157">
        <f t="shared" si="4"/>
        <v>0.49142857142857144</v>
      </c>
      <c r="M27" s="158">
        <f t="shared" si="5"/>
        <v>126000</v>
      </c>
      <c r="N27" s="159">
        <f t="shared" si="6"/>
        <v>378000</v>
      </c>
      <c r="O27" s="159">
        <f t="shared" si="7"/>
        <v>164400</v>
      </c>
      <c r="P27" s="157">
        <f t="shared" si="8"/>
        <v>0.43492063492063493</v>
      </c>
      <c r="Q27" s="158">
        <f t="shared" si="9"/>
        <v>119000</v>
      </c>
      <c r="R27" s="159">
        <f t="shared" si="10"/>
        <v>714000</v>
      </c>
      <c r="S27" s="159">
        <f t="shared" si="11"/>
        <v>286800</v>
      </c>
      <c r="T27" s="157">
        <f t="shared" si="12"/>
        <v>0.40168067226890758</v>
      </c>
      <c r="U27" s="158">
        <f t="shared" si="13"/>
        <v>112000</v>
      </c>
      <c r="V27" s="159">
        <f t="shared" si="14"/>
        <v>1344000</v>
      </c>
      <c r="W27" s="159">
        <f t="shared" si="15"/>
        <v>489600</v>
      </c>
      <c r="X27" s="157">
        <f t="shared" si="16"/>
        <v>0.36428571428571427</v>
      </c>
      <c r="Y27" s="158">
        <f t="shared" si="17"/>
        <v>98000</v>
      </c>
      <c r="Z27" s="159">
        <f t="shared" si="18"/>
        <v>5880000</v>
      </c>
      <c r="AA27" s="159">
        <f t="shared" si="19"/>
        <v>1608000</v>
      </c>
      <c r="AB27" s="157">
        <f t="shared" si="20"/>
        <v>0.27346938775510204</v>
      </c>
    </row>
    <row r="28" spans="1:28" ht="14.25" customHeight="1" x14ac:dyDescent="0.3">
      <c r="A28" s="47" t="s">
        <v>894</v>
      </c>
      <c r="B28" s="6" t="s">
        <v>509</v>
      </c>
      <c r="C28" s="155">
        <v>50000</v>
      </c>
      <c r="D28" s="155">
        <f>$D$2</f>
        <v>2000</v>
      </c>
      <c r="E28" s="155"/>
      <c r="F28" s="155">
        <f t="shared" si="27"/>
        <v>12000</v>
      </c>
      <c r="G28" s="155">
        <f t="shared" si="0"/>
        <v>1200</v>
      </c>
      <c r="H28" s="155">
        <f t="shared" si="1"/>
        <v>1000</v>
      </c>
      <c r="I28" s="156">
        <f t="shared" si="2"/>
        <v>66200</v>
      </c>
      <c r="J28" s="156">
        <v>140000</v>
      </c>
      <c r="K28" s="155">
        <f t="shared" si="3"/>
        <v>73800</v>
      </c>
      <c r="L28" s="157">
        <f t="shared" si="4"/>
        <v>0.52714285714285714</v>
      </c>
      <c r="M28" s="158">
        <f t="shared" si="5"/>
        <v>126000</v>
      </c>
      <c r="N28" s="159">
        <f t="shared" si="6"/>
        <v>378000</v>
      </c>
      <c r="O28" s="159">
        <f t="shared" si="7"/>
        <v>179400</v>
      </c>
      <c r="P28" s="157">
        <f t="shared" si="8"/>
        <v>0.47460317460317458</v>
      </c>
      <c r="Q28" s="158">
        <f t="shared" si="9"/>
        <v>119000</v>
      </c>
      <c r="R28" s="159">
        <f t="shared" si="10"/>
        <v>714000</v>
      </c>
      <c r="S28" s="159">
        <f t="shared" si="11"/>
        <v>316800</v>
      </c>
      <c r="T28" s="157">
        <f t="shared" si="12"/>
        <v>0.44369747899159662</v>
      </c>
      <c r="U28" s="158">
        <f t="shared" si="13"/>
        <v>112000</v>
      </c>
      <c r="V28" s="159">
        <f t="shared" si="14"/>
        <v>1344000</v>
      </c>
      <c r="W28" s="159">
        <f t="shared" si="15"/>
        <v>549600</v>
      </c>
      <c r="X28" s="157">
        <f t="shared" si="16"/>
        <v>0.40892857142857142</v>
      </c>
      <c r="Y28" s="158">
        <f t="shared" si="17"/>
        <v>98000</v>
      </c>
      <c r="Z28" s="159">
        <f t="shared" si="18"/>
        <v>5880000</v>
      </c>
      <c r="AA28" s="159">
        <f t="shared" si="19"/>
        <v>1908000</v>
      </c>
      <c r="AB28" s="157">
        <f t="shared" si="20"/>
        <v>0.32448979591836735</v>
      </c>
    </row>
    <row r="29" spans="1:28" ht="14.25" customHeight="1" x14ac:dyDescent="0.3">
      <c r="A29" s="47" t="s">
        <v>895</v>
      </c>
      <c r="B29" s="6" t="s">
        <v>509</v>
      </c>
      <c r="C29" s="155">
        <v>50000</v>
      </c>
      <c r="D29" s="155"/>
      <c r="E29" s="155"/>
      <c r="F29" s="155"/>
      <c r="G29" s="155">
        <f t="shared" si="0"/>
        <v>1200</v>
      </c>
      <c r="H29" s="155">
        <f t="shared" si="1"/>
        <v>1000</v>
      </c>
      <c r="I29" s="156">
        <f t="shared" si="2"/>
        <v>52200</v>
      </c>
      <c r="J29" s="156">
        <v>120000</v>
      </c>
      <c r="K29" s="155">
        <f t="shared" si="3"/>
        <v>67800</v>
      </c>
      <c r="L29" s="157">
        <f t="shared" si="4"/>
        <v>0.56499999999999995</v>
      </c>
      <c r="M29" s="158">
        <f t="shared" si="5"/>
        <v>108000</v>
      </c>
      <c r="N29" s="159">
        <f t="shared" si="6"/>
        <v>324000</v>
      </c>
      <c r="O29" s="159">
        <f t="shared" si="7"/>
        <v>167400</v>
      </c>
      <c r="P29" s="157">
        <f t="shared" si="8"/>
        <v>0.51666666666666672</v>
      </c>
      <c r="Q29" s="158">
        <f t="shared" si="9"/>
        <v>102000</v>
      </c>
      <c r="R29" s="159">
        <f t="shared" si="10"/>
        <v>612000</v>
      </c>
      <c r="S29" s="159">
        <f t="shared" si="11"/>
        <v>298800</v>
      </c>
      <c r="T29" s="157">
        <f t="shared" si="12"/>
        <v>0.48823529411764705</v>
      </c>
      <c r="U29" s="158">
        <f t="shared" si="13"/>
        <v>96000</v>
      </c>
      <c r="V29" s="159">
        <f t="shared" si="14"/>
        <v>1152000</v>
      </c>
      <c r="W29" s="159">
        <f t="shared" si="15"/>
        <v>525600</v>
      </c>
      <c r="X29" s="157">
        <f t="shared" si="16"/>
        <v>0.45624999999999999</v>
      </c>
      <c r="Y29" s="158">
        <f t="shared" si="17"/>
        <v>84000</v>
      </c>
      <c r="Z29" s="159">
        <f t="shared" si="18"/>
        <v>5040000</v>
      </c>
      <c r="AA29" s="159">
        <f t="shared" si="19"/>
        <v>1908000</v>
      </c>
      <c r="AB29" s="157">
        <f t="shared" si="20"/>
        <v>0.37857142857142856</v>
      </c>
    </row>
    <row r="30" spans="1:28" ht="14.25" customHeight="1" x14ac:dyDescent="0.3">
      <c r="A30" s="47" t="s">
        <v>896</v>
      </c>
      <c r="B30" s="6" t="s">
        <v>509</v>
      </c>
      <c r="C30" s="155">
        <v>55000</v>
      </c>
      <c r="D30" s="155"/>
      <c r="E30" s="155">
        <f>$E$2</f>
        <v>7000</v>
      </c>
      <c r="F30" s="155"/>
      <c r="G30" s="155">
        <f t="shared" si="0"/>
        <v>1200</v>
      </c>
      <c r="H30" s="155">
        <f t="shared" si="1"/>
        <v>1000</v>
      </c>
      <c r="I30" s="156">
        <f t="shared" si="2"/>
        <v>64200</v>
      </c>
      <c r="J30" s="156">
        <v>120000</v>
      </c>
      <c r="K30" s="155">
        <f t="shared" si="3"/>
        <v>55800</v>
      </c>
      <c r="L30" s="157">
        <f t="shared" si="4"/>
        <v>0.46500000000000002</v>
      </c>
      <c r="M30" s="158">
        <f t="shared" si="5"/>
        <v>108000</v>
      </c>
      <c r="N30" s="159">
        <f t="shared" si="6"/>
        <v>324000</v>
      </c>
      <c r="O30" s="159">
        <f t="shared" si="7"/>
        <v>131400</v>
      </c>
      <c r="P30" s="157">
        <f t="shared" si="8"/>
        <v>0.40555555555555556</v>
      </c>
      <c r="Q30" s="158">
        <f t="shared" si="9"/>
        <v>102000</v>
      </c>
      <c r="R30" s="159">
        <f t="shared" si="10"/>
        <v>612000</v>
      </c>
      <c r="S30" s="159">
        <f t="shared" si="11"/>
        <v>226800</v>
      </c>
      <c r="T30" s="157">
        <f t="shared" si="12"/>
        <v>0.37058823529411766</v>
      </c>
      <c r="U30" s="158">
        <f t="shared" si="13"/>
        <v>96000</v>
      </c>
      <c r="V30" s="159">
        <f t="shared" si="14"/>
        <v>1152000</v>
      </c>
      <c r="W30" s="159">
        <f t="shared" si="15"/>
        <v>381600</v>
      </c>
      <c r="X30" s="157">
        <f t="shared" si="16"/>
        <v>0.33124999999999999</v>
      </c>
      <c r="Y30" s="158">
        <f t="shared" si="17"/>
        <v>84000</v>
      </c>
      <c r="Z30" s="159">
        <f t="shared" si="18"/>
        <v>5040000</v>
      </c>
      <c r="AA30" s="159">
        <f t="shared" si="19"/>
        <v>1188000</v>
      </c>
      <c r="AB30" s="157">
        <f t="shared" si="20"/>
        <v>0.23571428571428571</v>
      </c>
    </row>
    <row r="31" spans="1:28" ht="14.25" customHeight="1" x14ac:dyDescent="0.3">
      <c r="A31" s="47" t="s">
        <v>897</v>
      </c>
      <c r="B31" s="6" t="s">
        <v>509</v>
      </c>
      <c r="C31" s="155">
        <v>55000</v>
      </c>
      <c r="D31" s="155"/>
      <c r="E31" s="155"/>
      <c r="F31" s="155">
        <f t="shared" ref="F31:F33" si="28">$C$2</f>
        <v>12000</v>
      </c>
      <c r="G31" s="155">
        <f t="shared" si="0"/>
        <v>1200</v>
      </c>
      <c r="H31" s="155">
        <f t="shared" si="1"/>
        <v>1000</v>
      </c>
      <c r="I31" s="156">
        <f t="shared" si="2"/>
        <v>69200</v>
      </c>
      <c r="J31" s="156">
        <v>130000</v>
      </c>
      <c r="K31" s="155">
        <f t="shared" si="3"/>
        <v>60800</v>
      </c>
      <c r="L31" s="157">
        <f t="shared" si="4"/>
        <v>0.46769230769230768</v>
      </c>
      <c r="M31" s="158">
        <f t="shared" si="5"/>
        <v>117000</v>
      </c>
      <c r="N31" s="159">
        <f t="shared" si="6"/>
        <v>351000</v>
      </c>
      <c r="O31" s="159">
        <f t="shared" si="7"/>
        <v>143400</v>
      </c>
      <c r="P31" s="157">
        <f t="shared" si="8"/>
        <v>0.40854700854700854</v>
      </c>
      <c r="Q31" s="158">
        <f t="shared" si="9"/>
        <v>111000</v>
      </c>
      <c r="R31" s="159">
        <f t="shared" si="10"/>
        <v>666000</v>
      </c>
      <c r="S31" s="159">
        <f t="shared" si="11"/>
        <v>250800</v>
      </c>
      <c r="T31" s="157">
        <f t="shared" si="12"/>
        <v>0.37657657657657656</v>
      </c>
      <c r="U31" s="158">
        <f t="shared" si="13"/>
        <v>104000</v>
      </c>
      <c r="V31" s="159">
        <f t="shared" si="14"/>
        <v>1248000</v>
      </c>
      <c r="W31" s="159">
        <f t="shared" si="15"/>
        <v>417600</v>
      </c>
      <c r="X31" s="157">
        <f t="shared" si="16"/>
        <v>0.33461538461538459</v>
      </c>
      <c r="Y31" s="158">
        <f t="shared" si="17"/>
        <v>91000</v>
      </c>
      <c r="Z31" s="159">
        <f t="shared" si="18"/>
        <v>5460000</v>
      </c>
      <c r="AA31" s="159">
        <f t="shared" si="19"/>
        <v>1308000</v>
      </c>
      <c r="AB31" s="157">
        <f t="shared" si="20"/>
        <v>0.23956043956043957</v>
      </c>
    </row>
    <row r="32" spans="1:28" ht="14.25" customHeight="1" x14ac:dyDescent="0.3">
      <c r="A32" s="47" t="s">
        <v>898</v>
      </c>
      <c r="B32" s="6" t="s">
        <v>509</v>
      </c>
      <c r="C32" s="155">
        <v>55000</v>
      </c>
      <c r="D32" s="155"/>
      <c r="E32" s="155">
        <f>$E$2</f>
        <v>7000</v>
      </c>
      <c r="F32" s="155">
        <f t="shared" si="28"/>
        <v>12000</v>
      </c>
      <c r="G32" s="155">
        <f t="shared" si="0"/>
        <v>1200</v>
      </c>
      <c r="H32" s="155">
        <f t="shared" si="1"/>
        <v>1000</v>
      </c>
      <c r="I32" s="156">
        <f t="shared" si="2"/>
        <v>76200</v>
      </c>
      <c r="J32" s="156">
        <v>140000</v>
      </c>
      <c r="K32" s="155">
        <f t="shared" si="3"/>
        <v>63800</v>
      </c>
      <c r="L32" s="157">
        <f t="shared" si="4"/>
        <v>0.45571428571428574</v>
      </c>
      <c r="M32" s="158">
        <f t="shared" si="5"/>
        <v>126000</v>
      </c>
      <c r="N32" s="159">
        <f t="shared" si="6"/>
        <v>378000</v>
      </c>
      <c r="O32" s="159">
        <f t="shared" si="7"/>
        <v>149400</v>
      </c>
      <c r="P32" s="157">
        <f t="shared" si="8"/>
        <v>0.39523809523809522</v>
      </c>
      <c r="Q32" s="158">
        <f t="shared" si="9"/>
        <v>119000</v>
      </c>
      <c r="R32" s="159">
        <f t="shared" si="10"/>
        <v>714000</v>
      </c>
      <c r="S32" s="159">
        <f t="shared" si="11"/>
        <v>256800</v>
      </c>
      <c r="T32" s="157">
        <f t="shared" si="12"/>
        <v>0.35966386554621849</v>
      </c>
      <c r="U32" s="158">
        <f t="shared" si="13"/>
        <v>112000</v>
      </c>
      <c r="V32" s="159">
        <f t="shared" si="14"/>
        <v>1344000</v>
      </c>
      <c r="W32" s="159">
        <f t="shared" si="15"/>
        <v>429600</v>
      </c>
      <c r="X32" s="157">
        <f t="shared" si="16"/>
        <v>0.31964285714285712</v>
      </c>
      <c r="Y32" s="158">
        <f t="shared" si="17"/>
        <v>98000</v>
      </c>
      <c r="Z32" s="159">
        <f t="shared" si="18"/>
        <v>5880000</v>
      </c>
      <c r="AA32" s="159">
        <f t="shared" si="19"/>
        <v>1308000</v>
      </c>
      <c r="AB32" s="157">
        <f t="shared" si="20"/>
        <v>0.22244897959183674</v>
      </c>
    </row>
    <row r="33" spans="1:37" ht="14.25" customHeight="1" x14ac:dyDescent="0.3">
      <c r="A33" s="47" t="s">
        <v>899</v>
      </c>
      <c r="B33" s="6" t="s">
        <v>509</v>
      </c>
      <c r="C33" s="155">
        <v>55000</v>
      </c>
      <c r="D33" s="155">
        <f>$D$2</f>
        <v>2000</v>
      </c>
      <c r="E33" s="155"/>
      <c r="F33" s="155">
        <f t="shared" si="28"/>
        <v>12000</v>
      </c>
      <c r="G33" s="155">
        <f t="shared" si="0"/>
        <v>1200</v>
      </c>
      <c r="H33" s="155">
        <f t="shared" si="1"/>
        <v>1000</v>
      </c>
      <c r="I33" s="156">
        <f t="shared" si="2"/>
        <v>71200</v>
      </c>
      <c r="J33" s="156">
        <v>140000</v>
      </c>
      <c r="K33" s="155">
        <f t="shared" si="3"/>
        <v>68800</v>
      </c>
      <c r="L33" s="157">
        <f t="shared" si="4"/>
        <v>0.49142857142857144</v>
      </c>
      <c r="M33" s="158">
        <f t="shared" si="5"/>
        <v>126000</v>
      </c>
      <c r="N33" s="159">
        <f t="shared" si="6"/>
        <v>378000</v>
      </c>
      <c r="O33" s="159">
        <f t="shared" si="7"/>
        <v>164400</v>
      </c>
      <c r="P33" s="157">
        <f t="shared" si="8"/>
        <v>0.43492063492063493</v>
      </c>
      <c r="Q33" s="158">
        <f t="shared" si="9"/>
        <v>119000</v>
      </c>
      <c r="R33" s="159">
        <f t="shared" si="10"/>
        <v>714000</v>
      </c>
      <c r="S33" s="159">
        <f t="shared" si="11"/>
        <v>286800</v>
      </c>
      <c r="T33" s="157">
        <f t="shared" si="12"/>
        <v>0.40168067226890758</v>
      </c>
      <c r="U33" s="158">
        <f t="shared" si="13"/>
        <v>112000</v>
      </c>
      <c r="V33" s="159">
        <f t="shared" si="14"/>
        <v>1344000</v>
      </c>
      <c r="W33" s="159">
        <f t="shared" si="15"/>
        <v>489600</v>
      </c>
      <c r="X33" s="157">
        <f t="shared" si="16"/>
        <v>0.36428571428571427</v>
      </c>
      <c r="Y33" s="158">
        <f t="shared" si="17"/>
        <v>98000</v>
      </c>
      <c r="Z33" s="159">
        <f t="shared" si="18"/>
        <v>5880000</v>
      </c>
      <c r="AA33" s="159">
        <f t="shared" si="19"/>
        <v>1608000</v>
      </c>
      <c r="AB33" s="157">
        <f t="shared" si="20"/>
        <v>0.27346938775510204</v>
      </c>
    </row>
    <row r="34" spans="1:37" ht="14.25" customHeight="1" x14ac:dyDescent="0.3">
      <c r="A34" s="47" t="s">
        <v>900</v>
      </c>
      <c r="B34" s="6" t="s">
        <v>509</v>
      </c>
      <c r="C34" s="155">
        <v>55000</v>
      </c>
      <c r="D34" s="155"/>
      <c r="E34" s="155"/>
      <c r="F34" s="155"/>
      <c r="G34" s="155">
        <f t="shared" si="0"/>
        <v>1200</v>
      </c>
      <c r="H34" s="155">
        <f t="shared" si="1"/>
        <v>1000</v>
      </c>
      <c r="I34" s="156">
        <f t="shared" si="2"/>
        <v>57200</v>
      </c>
      <c r="J34" s="156">
        <v>120000</v>
      </c>
      <c r="K34" s="155">
        <f t="shared" si="3"/>
        <v>62800</v>
      </c>
      <c r="L34" s="157">
        <f t="shared" si="4"/>
        <v>0.52333333333333332</v>
      </c>
      <c r="M34" s="158">
        <f t="shared" si="5"/>
        <v>108000</v>
      </c>
      <c r="N34" s="159">
        <f t="shared" si="6"/>
        <v>324000</v>
      </c>
      <c r="O34" s="159">
        <f t="shared" si="7"/>
        <v>152400</v>
      </c>
      <c r="P34" s="157">
        <f t="shared" si="8"/>
        <v>0.47037037037037038</v>
      </c>
      <c r="Q34" s="158">
        <f t="shared" si="9"/>
        <v>102000</v>
      </c>
      <c r="R34" s="159">
        <f t="shared" si="10"/>
        <v>612000</v>
      </c>
      <c r="S34" s="159">
        <f t="shared" si="11"/>
        <v>268800</v>
      </c>
      <c r="T34" s="157">
        <f t="shared" si="12"/>
        <v>0.4392156862745098</v>
      </c>
      <c r="U34" s="158">
        <f t="shared" si="13"/>
        <v>96000</v>
      </c>
      <c r="V34" s="159">
        <f t="shared" si="14"/>
        <v>1152000</v>
      </c>
      <c r="W34" s="159">
        <f t="shared" si="15"/>
        <v>465600</v>
      </c>
      <c r="X34" s="157">
        <f t="shared" si="16"/>
        <v>0.40416666666666667</v>
      </c>
      <c r="Y34" s="158">
        <f t="shared" si="17"/>
        <v>84000</v>
      </c>
      <c r="Z34" s="159">
        <f t="shared" si="18"/>
        <v>5040000</v>
      </c>
      <c r="AA34" s="159">
        <f t="shared" si="19"/>
        <v>1608000</v>
      </c>
      <c r="AB34" s="157">
        <f t="shared" si="20"/>
        <v>0.31904761904761902</v>
      </c>
    </row>
    <row r="35" spans="1:37" ht="14.25" customHeight="1" x14ac:dyDescent="0.3">
      <c r="A35" s="47" t="s">
        <v>901</v>
      </c>
      <c r="B35" s="6" t="s">
        <v>509</v>
      </c>
      <c r="C35" s="155">
        <v>55000</v>
      </c>
      <c r="D35" s="155"/>
      <c r="E35" s="155"/>
      <c r="F35" s="155"/>
      <c r="G35" s="155">
        <f t="shared" si="0"/>
        <v>1200</v>
      </c>
      <c r="H35" s="155">
        <f t="shared" si="1"/>
        <v>1000</v>
      </c>
      <c r="I35" s="156">
        <f t="shared" si="2"/>
        <v>57200</v>
      </c>
      <c r="J35" s="156">
        <v>100000</v>
      </c>
      <c r="K35" s="155">
        <f t="shared" si="3"/>
        <v>42800</v>
      </c>
      <c r="L35" s="157">
        <f t="shared" si="4"/>
        <v>0.42799999999999999</v>
      </c>
      <c r="M35" s="158">
        <f t="shared" si="5"/>
        <v>90000</v>
      </c>
      <c r="N35" s="159">
        <f t="shared" si="6"/>
        <v>270000</v>
      </c>
      <c r="O35" s="159">
        <f t="shared" si="7"/>
        <v>98400</v>
      </c>
      <c r="P35" s="157">
        <f t="shared" si="8"/>
        <v>0.36444444444444446</v>
      </c>
      <c r="Q35" s="158">
        <f t="shared" si="9"/>
        <v>85000</v>
      </c>
      <c r="R35" s="159">
        <f t="shared" si="10"/>
        <v>510000</v>
      </c>
      <c r="S35" s="159">
        <f t="shared" si="11"/>
        <v>166800</v>
      </c>
      <c r="T35" s="157">
        <f t="shared" si="12"/>
        <v>0.32705882352941179</v>
      </c>
      <c r="U35" s="158">
        <f t="shared" si="13"/>
        <v>80000</v>
      </c>
      <c r="V35" s="159">
        <f t="shared" si="14"/>
        <v>960000</v>
      </c>
      <c r="W35" s="159">
        <f t="shared" si="15"/>
        <v>273600</v>
      </c>
      <c r="X35" s="157">
        <f t="shared" si="16"/>
        <v>0.28499999999999998</v>
      </c>
      <c r="Y35" s="158">
        <f t="shared" si="17"/>
        <v>70000</v>
      </c>
      <c r="Z35" s="159">
        <f t="shared" si="18"/>
        <v>4200000</v>
      </c>
      <c r="AA35" s="159">
        <f t="shared" si="19"/>
        <v>768000</v>
      </c>
      <c r="AB35" s="157">
        <f t="shared" si="20"/>
        <v>0.18285714285714286</v>
      </c>
    </row>
    <row r="36" spans="1:37" ht="14.25" customHeight="1" x14ac:dyDescent="0.3">
      <c r="A36" s="47" t="s">
        <v>384</v>
      </c>
      <c r="B36" s="6" t="s">
        <v>509</v>
      </c>
      <c r="C36" s="155">
        <v>55000</v>
      </c>
      <c r="D36" s="155"/>
      <c r="E36" s="155"/>
      <c r="F36" s="155"/>
      <c r="G36" s="155">
        <f t="shared" si="0"/>
        <v>1200</v>
      </c>
      <c r="H36" s="155">
        <f t="shared" si="1"/>
        <v>1000</v>
      </c>
      <c r="I36" s="156">
        <f t="shared" si="2"/>
        <v>57200</v>
      </c>
      <c r="J36" s="156">
        <v>100000</v>
      </c>
      <c r="K36" s="155">
        <f t="shared" si="3"/>
        <v>42800</v>
      </c>
      <c r="L36" s="157">
        <f t="shared" si="4"/>
        <v>0.42799999999999999</v>
      </c>
      <c r="M36" s="158">
        <f t="shared" si="5"/>
        <v>90000</v>
      </c>
      <c r="N36" s="159">
        <f t="shared" si="6"/>
        <v>270000</v>
      </c>
      <c r="O36" s="159">
        <f t="shared" si="7"/>
        <v>98400</v>
      </c>
      <c r="P36" s="157">
        <f t="shared" si="8"/>
        <v>0.36444444444444446</v>
      </c>
      <c r="Q36" s="158">
        <f t="shared" si="9"/>
        <v>85000</v>
      </c>
      <c r="R36" s="159">
        <f t="shared" si="10"/>
        <v>510000</v>
      </c>
      <c r="S36" s="159">
        <f t="shared" si="11"/>
        <v>166800</v>
      </c>
      <c r="T36" s="157">
        <f t="shared" si="12"/>
        <v>0.32705882352941179</v>
      </c>
      <c r="U36" s="158">
        <f t="shared" si="13"/>
        <v>80000</v>
      </c>
      <c r="V36" s="159">
        <f t="shared" si="14"/>
        <v>960000</v>
      </c>
      <c r="W36" s="159">
        <f t="shared" si="15"/>
        <v>273600</v>
      </c>
      <c r="X36" s="157">
        <f t="shared" si="16"/>
        <v>0.28499999999999998</v>
      </c>
      <c r="Y36" s="158">
        <f t="shared" si="17"/>
        <v>70000</v>
      </c>
      <c r="Z36" s="159">
        <f t="shared" si="18"/>
        <v>4200000</v>
      </c>
      <c r="AA36" s="159">
        <f t="shared" si="19"/>
        <v>768000</v>
      </c>
      <c r="AB36" s="157">
        <f t="shared" si="20"/>
        <v>0.18285714285714286</v>
      </c>
    </row>
    <row r="37" spans="1:37" ht="14.25" customHeight="1" x14ac:dyDescent="0.3">
      <c r="A37" s="47" t="s">
        <v>401</v>
      </c>
      <c r="B37" s="6" t="s">
        <v>509</v>
      </c>
      <c r="C37" s="155">
        <v>45000</v>
      </c>
      <c r="D37" s="155"/>
      <c r="E37" s="155"/>
      <c r="F37" s="155"/>
      <c r="G37" s="155">
        <f t="shared" si="0"/>
        <v>1200</v>
      </c>
      <c r="H37" s="155">
        <f t="shared" si="1"/>
        <v>1000</v>
      </c>
      <c r="I37" s="156">
        <f t="shared" si="2"/>
        <v>47200</v>
      </c>
      <c r="J37" s="156">
        <v>90000</v>
      </c>
      <c r="K37" s="155">
        <f t="shared" si="3"/>
        <v>42800</v>
      </c>
      <c r="L37" s="157">
        <f t="shared" si="4"/>
        <v>0.47555555555555556</v>
      </c>
      <c r="M37" s="158">
        <f t="shared" si="5"/>
        <v>81000</v>
      </c>
      <c r="N37" s="159">
        <f t="shared" si="6"/>
        <v>243000</v>
      </c>
      <c r="O37" s="159">
        <f t="shared" si="7"/>
        <v>101400</v>
      </c>
      <c r="P37" s="157">
        <f t="shared" si="8"/>
        <v>0.41728395061728396</v>
      </c>
      <c r="Q37" s="158">
        <f t="shared" si="9"/>
        <v>77000</v>
      </c>
      <c r="R37" s="159">
        <f t="shared" si="10"/>
        <v>462000</v>
      </c>
      <c r="S37" s="159">
        <f t="shared" si="11"/>
        <v>178800</v>
      </c>
      <c r="T37" s="157">
        <f t="shared" si="12"/>
        <v>0.38701298701298703</v>
      </c>
      <c r="U37" s="158">
        <f t="shared" si="13"/>
        <v>72000</v>
      </c>
      <c r="V37" s="159">
        <f t="shared" si="14"/>
        <v>864000</v>
      </c>
      <c r="W37" s="159">
        <f t="shared" si="15"/>
        <v>297600</v>
      </c>
      <c r="X37" s="157">
        <f t="shared" si="16"/>
        <v>0.34444444444444444</v>
      </c>
      <c r="Y37" s="158">
        <f t="shared" si="17"/>
        <v>63000</v>
      </c>
      <c r="Z37" s="159">
        <f t="shared" si="18"/>
        <v>3780000</v>
      </c>
      <c r="AA37" s="159">
        <f t="shared" si="19"/>
        <v>948000</v>
      </c>
      <c r="AB37" s="157">
        <f t="shared" si="20"/>
        <v>0.25079365079365079</v>
      </c>
    </row>
    <row r="38" spans="1:37" ht="14.25" customHeight="1" x14ac:dyDescent="0.3">
      <c r="A38" s="47" t="s">
        <v>353</v>
      </c>
      <c r="B38" s="6" t="s">
        <v>509</v>
      </c>
      <c r="C38" s="155">
        <v>40000</v>
      </c>
      <c r="D38" s="155"/>
      <c r="E38" s="155"/>
      <c r="F38" s="155"/>
      <c r="G38" s="155">
        <f t="shared" si="0"/>
        <v>1200</v>
      </c>
      <c r="H38" s="155">
        <f t="shared" si="1"/>
        <v>1000</v>
      </c>
      <c r="I38" s="156">
        <f t="shared" si="2"/>
        <v>42200</v>
      </c>
      <c r="J38" s="156">
        <v>110000</v>
      </c>
      <c r="K38" s="155">
        <f t="shared" si="3"/>
        <v>67800</v>
      </c>
      <c r="L38" s="157">
        <f t="shared" si="4"/>
        <v>0.61636363636363634</v>
      </c>
      <c r="M38" s="158">
        <f t="shared" si="5"/>
        <v>99000</v>
      </c>
      <c r="N38" s="159">
        <f t="shared" si="6"/>
        <v>297000</v>
      </c>
      <c r="O38" s="159">
        <f t="shared" si="7"/>
        <v>170400</v>
      </c>
      <c r="P38" s="157">
        <f t="shared" si="8"/>
        <v>0.57373737373737377</v>
      </c>
      <c r="Q38" s="158">
        <f t="shared" si="9"/>
        <v>94000</v>
      </c>
      <c r="R38" s="159">
        <f t="shared" si="10"/>
        <v>564000</v>
      </c>
      <c r="S38" s="159">
        <f t="shared" si="11"/>
        <v>310800</v>
      </c>
      <c r="T38" s="157">
        <f t="shared" si="12"/>
        <v>0.55106382978723401</v>
      </c>
      <c r="U38" s="158">
        <f t="shared" si="13"/>
        <v>88000</v>
      </c>
      <c r="V38" s="159">
        <f t="shared" si="14"/>
        <v>1056000</v>
      </c>
      <c r="W38" s="159">
        <f t="shared" si="15"/>
        <v>549600</v>
      </c>
      <c r="X38" s="157">
        <f t="shared" si="16"/>
        <v>0.5204545454545455</v>
      </c>
      <c r="Y38" s="158">
        <f t="shared" si="17"/>
        <v>77000</v>
      </c>
      <c r="Z38" s="159">
        <f t="shared" si="18"/>
        <v>4620000</v>
      </c>
      <c r="AA38" s="159">
        <f t="shared" si="19"/>
        <v>2088000</v>
      </c>
      <c r="AB38" s="157">
        <f t="shared" si="20"/>
        <v>0.45194805194805193</v>
      </c>
    </row>
    <row r="39" spans="1:37" ht="14.25" customHeight="1" x14ac:dyDescent="0.3">
      <c r="A39" s="47" t="s">
        <v>902</v>
      </c>
      <c r="B39" s="6" t="s">
        <v>509</v>
      </c>
      <c r="C39" s="155">
        <v>32000</v>
      </c>
      <c r="D39" s="155"/>
      <c r="E39" s="155"/>
      <c r="F39" s="155"/>
      <c r="G39" s="155">
        <f t="shared" si="0"/>
        <v>1200</v>
      </c>
      <c r="H39" s="155">
        <f t="shared" si="1"/>
        <v>1000</v>
      </c>
      <c r="I39" s="156">
        <f t="shared" si="2"/>
        <v>34200</v>
      </c>
      <c r="J39" s="156">
        <v>75000</v>
      </c>
      <c r="K39" s="155">
        <f t="shared" si="3"/>
        <v>40800</v>
      </c>
      <c r="L39" s="157">
        <f t="shared" si="4"/>
        <v>0.54400000000000004</v>
      </c>
      <c r="M39" s="158">
        <f t="shared" si="5"/>
        <v>68000</v>
      </c>
      <c r="N39" s="159">
        <f t="shared" si="6"/>
        <v>204000</v>
      </c>
      <c r="O39" s="159">
        <f t="shared" si="7"/>
        <v>101400</v>
      </c>
      <c r="P39" s="157">
        <f t="shared" si="8"/>
        <v>0.49705882352941178</v>
      </c>
      <c r="Q39" s="158">
        <f t="shared" si="9"/>
        <v>64000</v>
      </c>
      <c r="R39" s="159">
        <f t="shared" si="10"/>
        <v>384000</v>
      </c>
      <c r="S39" s="159">
        <f t="shared" si="11"/>
        <v>178800</v>
      </c>
      <c r="T39" s="157">
        <f t="shared" si="12"/>
        <v>0.46562500000000001</v>
      </c>
      <c r="U39" s="158">
        <f t="shared" si="13"/>
        <v>60000</v>
      </c>
      <c r="V39" s="159">
        <f t="shared" si="14"/>
        <v>720000</v>
      </c>
      <c r="W39" s="159">
        <f t="shared" si="15"/>
        <v>309600</v>
      </c>
      <c r="X39" s="157">
        <f t="shared" si="16"/>
        <v>0.43</v>
      </c>
      <c r="Y39" s="158">
        <f t="shared" si="17"/>
        <v>53000</v>
      </c>
      <c r="Z39" s="159">
        <f t="shared" si="18"/>
        <v>3180000</v>
      </c>
      <c r="AA39" s="159">
        <f t="shared" si="19"/>
        <v>1128000</v>
      </c>
      <c r="AB39" s="157">
        <f t="shared" si="20"/>
        <v>0.35471698113207545</v>
      </c>
    </row>
    <row r="40" spans="1:37" ht="14.25" customHeight="1" x14ac:dyDescent="0.3">
      <c r="A40" s="47" t="s">
        <v>903</v>
      </c>
      <c r="B40" s="6"/>
      <c r="C40" s="155">
        <v>25000</v>
      </c>
      <c r="D40" s="155"/>
      <c r="E40" s="155">
        <v>7000</v>
      </c>
      <c r="F40" s="155"/>
      <c r="G40" s="155">
        <f t="shared" si="0"/>
        <v>1200</v>
      </c>
      <c r="H40" s="155">
        <f t="shared" si="1"/>
        <v>1000</v>
      </c>
      <c r="I40" s="156">
        <f t="shared" si="2"/>
        <v>34200</v>
      </c>
      <c r="J40" s="156">
        <v>65000</v>
      </c>
      <c r="K40" s="155">
        <f t="shared" si="3"/>
        <v>30800</v>
      </c>
      <c r="L40" s="157">
        <f t="shared" si="4"/>
        <v>0.47384615384615386</v>
      </c>
      <c r="M40" s="158">
        <f t="shared" si="5"/>
        <v>59000</v>
      </c>
      <c r="N40" s="159">
        <f t="shared" si="6"/>
        <v>177000</v>
      </c>
      <c r="O40" s="159">
        <f t="shared" si="7"/>
        <v>74400</v>
      </c>
      <c r="P40" s="157">
        <f t="shared" si="8"/>
        <v>0.42033898305084744</v>
      </c>
      <c r="Q40" s="158">
        <f t="shared" si="9"/>
        <v>56000</v>
      </c>
      <c r="R40" s="159">
        <f t="shared" si="10"/>
        <v>336000</v>
      </c>
      <c r="S40" s="159">
        <f t="shared" si="11"/>
        <v>130800</v>
      </c>
      <c r="T40" s="157">
        <f t="shared" si="12"/>
        <v>0.38928571428571429</v>
      </c>
      <c r="U40" s="158">
        <f t="shared" si="13"/>
        <v>52000</v>
      </c>
      <c r="V40" s="159">
        <f t="shared" si="14"/>
        <v>624000</v>
      </c>
      <c r="W40" s="159">
        <f t="shared" si="15"/>
        <v>213600</v>
      </c>
      <c r="X40" s="157">
        <f t="shared" si="16"/>
        <v>0.34230769230769231</v>
      </c>
      <c r="Y40" s="158">
        <f t="shared" si="17"/>
        <v>46000</v>
      </c>
      <c r="Z40" s="159">
        <f t="shared" si="18"/>
        <v>2760000</v>
      </c>
      <c r="AA40" s="159">
        <f t="shared" si="19"/>
        <v>708000</v>
      </c>
      <c r="AB40" s="157">
        <f t="shared" si="20"/>
        <v>0.2565217391304348</v>
      </c>
    </row>
    <row r="41" spans="1:37" ht="14.25" customHeight="1" x14ac:dyDescent="0.3">
      <c r="A41" s="160" t="s">
        <v>419</v>
      </c>
      <c r="B41" s="160" t="s">
        <v>520</v>
      </c>
      <c r="C41" s="155">
        <v>60000</v>
      </c>
      <c r="D41" s="155"/>
      <c r="F41" s="155"/>
      <c r="G41" s="155">
        <f t="shared" si="0"/>
        <v>1200</v>
      </c>
      <c r="H41" s="155">
        <f t="shared" si="1"/>
        <v>1000</v>
      </c>
      <c r="I41" s="156">
        <f t="shared" si="2"/>
        <v>62200</v>
      </c>
      <c r="J41" s="156">
        <v>75000</v>
      </c>
      <c r="K41" s="155">
        <f t="shared" si="3"/>
        <v>12800</v>
      </c>
      <c r="L41" s="157">
        <f t="shared" si="4"/>
        <v>0.17066666666666666</v>
      </c>
      <c r="M41" s="158">
        <v>75000</v>
      </c>
      <c r="N41" s="159">
        <f t="shared" si="6"/>
        <v>225000</v>
      </c>
      <c r="O41" s="159">
        <f t="shared" si="7"/>
        <v>38400</v>
      </c>
      <c r="P41" s="157">
        <f t="shared" si="8"/>
        <v>0.17066666666666666</v>
      </c>
      <c r="Q41" s="158">
        <v>72000</v>
      </c>
      <c r="R41" s="159">
        <f t="shared" si="10"/>
        <v>432000</v>
      </c>
      <c r="S41" s="159">
        <f t="shared" si="11"/>
        <v>58800</v>
      </c>
      <c r="T41" s="157">
        <f t="shared" si="12"/>
        <v>0.1361111111111111</v>
      </c>
      <c r="U41" s="158">
        <v>70000</v>
      </c>
      <c r="V41" s="159">
        <f t="shared" si="14"/>
        <v>840000</v>
      </c>
      <c r="W41" s="159">
        <f t="shared" si="15"/>
        <v>93600</v>
      </c>
      <c r="X41" s="157">
        <f t="shared" si="16"/>
        <v>0.11142857142857143</v>
      </c>
      <c r="Y41" s="158">
        <v>65000</v>
      </c>
      <c r="Z41" s="159">
        <f t="shared" si="18"/>
        <v>3900000</v>
      </c>
      <c r="AA41" s="159">
        <f t="shared" si="19"/>
        <v>168000</v>
      </c>
      <c r="AB41" s="157">
        <f t="shared" si="20"/>
        <v>4.3076923076923075E-2</v>
      </c>
    </row>
    <row r="42" spans="1:37" ht="14.25" customHeight="1" x14ac:dyDescent="0.3">
      <c r="A42" s="160" t="s">
        <v>421</v>
      </c>
      <c r="B42" s="160" t="s">
        <v>520</v>
      </c>
      <c r="C42" s="155">
        <v>54000</v>
      </c>
      <c r="D42" s="155"/>
      <c r="F42" s="155"/>
      <c r="G42" s="155">
        <f t="shared" si="0"/>
        <v>1200</v>
      </c>
      <c r="H42" s="155">
        <f t="shared" si="1"/>
        <v>1000</v>
      </c>
      <c r="I42" s="156">
        <f t="shared" si="2"/>
        <v>56200</v>
      </c>
      <c r="J42" s="156">
        <v>75000</v>
      </c>
      <c r="K42" s="155">
        <f t="shared" si="3"/>
        <v>18800</v>
      </c>
      <c r="L42" s="157">
        <f t="shared" si="4"/>
        <v>0.25066666666666665</v>
      </c>
      <c r="M42" s="158">
        <v>75000</v>
      </c>
      <c r="N42" s="159">
        <f t="shared" si="6"/>
        <v>225000</v>
      </c>
      <c r="O42" s="159">
        <f t="shared" si="7"/>
        <v>56400</v>
      </c>
      <c r="P42" s="157">
        <f t="shared" si="8"/>
        <v>0.25066666666666665</v>
      </c>
      <c r="Q42" s="158">
        <v>72000</v>
      </c>
      <c r="R42" s="159">
        <f t="shared" si="10"/>
        <v>432000</v>
      </c>
      <c r="S42" s="159">
        <f t="shared" si="11"/>
        <v>94800</v>
      </c>
      <c r="T42" s="157">
        <f t="shared" si="12"/>
        <v>0.21944444444444444</v>
      </c>
      <c r="U42" s="158">
        <v>70000</v>
      </c>
      <c r="V42" s="159">
        <f t="shared" si="14"/>
        <v>840000</v>
      </c>
      <c r="W42" s="159">
        <f t="shared" si="15"/>
        <v>165600</v>
      </c>
      <c r="X42" s="157">
        <f t="shared" si="16"/>
        <v>0.19714285714285715</v>
      </c>
      <c r="Y42" s="158">
        <v>65000</v>
      </c>
      <c r="Z42" s="159">
        <f t="shared" si="18"/>
        <v>3900000</v>
      </c>
      <c r="AA42" s="159">
        <f t="shared" si="19"/>
        <v>528000</v>
      </c>
      <c r="AB42" s="157">
        <f t="shared" si="20"/>
        <v>0.13538461538461538</v>
      </c>
    </row>
    <row r="43" spans="1:37" ht="14.25" customHeight="1" x14ac:dyDescent="0.3">
      <c r="A43" s="160"/>
      <c r="B43" s="160"/>
      <c r="C43" s="155"/>
      <c r="D43" s="155"/>
      <c r="E43" s="155"/>
      <c r="F43" s="155"/>
      <c r="G43" s="155"/>
      <c r="H43" s="155"/>
      <c r="I43" s="155"/>
      <c r="J43" s="155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37" ht="14.25" hidden="1" customHeight="1" x14ac:dyDescent="0.35">
      <c r="A44" s="161" t="s">
        <v>904</v>
      </c>
      <c r="Q44" s="147"/>
      <c r="R44" s="147"/>
      <c r="S44" s="147"/>
      <c r="T44" s="147"/>
    </row>
    <row r="45" spans="1:37" ht="14.25" hidden="1" customHeight="1" x14ac:dyDescent="0.3">
      <c r="A45" s="162"/>
      <c r="Q45" s="147"/>
      <c r="R45" s="147"/>
      <c r="S45" s="147"/>
      <c r="T45" s="147"/>
    </row>
    <row r="46" spans="1:37" ht="14.25" hidden="1" customHeight="1" x14ac:dyDescent="0.3">
      <c r="Q46" s="147"/>
      <c r="R46" s="147"/>
      <c r="S46" s="147"/>
      <c r="T46" s="147"/>
    </row>
    <row r="47" spans="1:37" ht="14.25" hidden="1" customHeight="1" x14ac:dyDescent="0.3">
      <c r="A47" s="163" t="s">
        <v>846</v>
      </c>
      <c r="B47" s="163" t="s">
        <v>187</v>
      </c>
      <c r="C47" s="163" t="s">
        <v>188</v>
      </c>
      <c r="D47" s="163" t="s">
        <v>742</v>
      </c>
      <c r="E47" s="163" t="s">
        <v>905</v>
      </c>
      <c r="F47" s="163" t="s">
        <v>906</v>
      </c>
      <c r="G47" s="163" t="s">
        <v>907</v>
      </c>
      <c r="H47" s="163" t="s">
        <v>908</v>
      </c>
      <c r="I47" s="163" t="s">
        <v>909</v>
      </c>
      <c r="J47" s="163" t="s">
        <v>910</v>
      </c>
      <c r="K47" s="164" t="s">
        <v>745</v>
      </c>
      <c r="L47" s="163" t="s">
        <v>911</v>
      </c>
      <c r="M47" s="165" t="s">
        <v>912</v>
      </c>
      <c r="N47" s="166" t="s">
        <v>851</v>
      </c>
      <c r="O47" s="166"/>
      <c r="P47" s="166" t="s">
        <v>854</v>
      </c>
      <c r="Q47" s="167" t="s">
        <v>913</v>
      </c>
      <c r="R47" s="167" t="s">
        <v>914</v>
      </c>
      <c r="S47" s="167"/>
      <c r="T47" s="167" t="s">
        <v>905</v>
      </c>
      <c r="V47" s="167" t="s">
        <v>915</v>
      </c>
      <c r="Y47" s="166" t="s">
        <v>851</v>
      </c>
      <c r="Z47" s="153" t="s">
        <v>911</v>
      </c>
      <c r="AA47" s="153"/>
      <c r="AB47" s="153" t="s">
        <v>854</v>
      </c>
      <c r="AC47" s="153" t="s">
        <v>855</v>
      </c>
      <c r="AD47" s="154" t="s">
        <v>856</v>
      </c>
      <c r="AE47" s="154" t="s">
        <v>858</v>
      </c>
      <c r="AF47" s="153" t="s">
        <v>859</v>
      </c>
      <c r="AG47" s="154" t="s">
        <v>860</v>
      </c>
      <c r="AH47" s="154" t="s">
        <v>862</v>
      </c>
      <c r="AI47" s="154" t="s">
        <v>863</v>
      </c>
      <c r="AJ47" s="154" t="s">
        <v>916</v>
      </c>
      <c r="AK47" s="154" t="s">
        <v>866</v>
      </c>
    </row>
    <row r="48" spans="1:37" ht="14.25" hidden="1" customHeight="1" x14ac:dyDescent="0.3">
      <c r="A48" s="168" t="s">
        <v>199</v>
      </c>
      <c r="B48" s="168" t="s">
        <v>200</v>
      </c>
      <c r="C48" s="168" t="s">
        <v>201</v>
      </c>
      <c r="D48" s="168" t="s">
        <v>917</v>
      </c>
      <c r="E48" s="169">
        <v>1</v>
      </c>
      <c r="F48" s="170" t="e">
        <f>IF(A48="","",VLOOKUP(A48,Cotizador!$A$5:$J$43,2,FALSE))</f>
        <v>#N/A</v>
      </c>
      <c r="G48" s="171" t="e">
        <f>IF(A48="","",VLOOKUP(A48,Cotizador!$A$5:$J$43,3,FALSE))</f>
        <v>#N/A</v>
      </c>
      <c r="H48" s="147">
        <f>IF(OR(A48="",D48=""),"",IF(D48="Sin estampar",0,IF(D48="Pecho",VLOOKUP(A48,Cotizador!$A$5:$J$43,4,FALSE),IF(D48="Espalda",VLOOKUP(A48,Cotizador!$A$5:$J$43,5,FALSE),VLOOKUP(A48,Cotizador!$A$5:$J$43,4,FALSE)+VLOOKUP(A48,Cotizador!$A$5:$J$43,5,FALSE)))))</f>
        <v>0</v>
      </c>
      <c r="I48" s="147" t="e">
        <f>IF(A48="","",VLOOKUP(A48,Cotizador!$A$5:$J$43,6,FALSE))</f>
        <v>#N/A</v>
      </c>
      <c r="J48" s="147" t="e">
        <f>IF(A48="","",VLOOKUP(A48,Cotizador!$A$5:$J$43,7,FALSE))</f>
        <v>#N/A</v>
      </c>
      <c r="K48" s="172" t="e">
        <f t="shared" ref="K48:K185" si="29">IF(OR(A48="",E48=""),"",(G48+H48+I48+J48)*E48)</f>
        <v>#N/A</v>
      </c>
      <c r="L48" s="147" t="e">
        <f>IF(A48="","",IF(D48="Sin estampar",VLOOKUP(A48,Cotizador!$A$5:$J$43,8,FALSE),IF(D48="Pecho",VLOOKUP(A48,Cotizador!$A$5:$J$43,10,FALSE),VLOOKUP(A48,Cotizador!$A$5:$J$43,9,FALSE))))</f>
        <v>#N/A</v>
      </c>
      <c r="M48" s="173" t="e">
        <f t="shared" ref="M48:M185" si="30">IF(OR(A48="",E48=""),"",L48*E48)</f>
        <v>#N/A</v>
      </c>
      <c r="N48" s="147" t="e">
        <f t="shared" ref="N48:N184" si="31">+G48+H48+I48+J48</f>
        <v>#N/A</v>
      </c>
      <c r="O48" s="157"/>
      <c r="P48" s="157" t="e">
        <f t="shared" ref="P48:P184" si="32">IF(L48&gt;0,(L48-N48)/L48,0)</f>
        <v>#N/A</v>
      </c>
      <c r="Q48" s="174" t="str">
        <f t="shared" ref="Q48:Q185" si="33">CONCATENATE(A48," ",B48," ",C48)</f>
        <v>Camisa Oversize Peruana S Negro</v>
      </c>
      <c r="R48" s="175" t="e">
        <f t="array" aca="1" ref="R48:R126" ca="1">+_xludf.UNIQUE(Q48:Q185)</f>
        <v>#NAME?</v>
      </c>
      <c r="S48" s="176"/>
      <c r="T48" s="176">
        <f t="shared" ref="T48:T185" ca="1" si="34">SUMIF($Q$48:$Q$181,R48,$E$48:$E$181)</f>
        <v>0</v>
      </c>
      <c r="U48" s="6"/>
      <c r="V48" s="51" t="e">
        <f t="shared" ref="V48:V184" si="35">E48*G48</f>
        <v>#N/A</v>
      </c>
      <c r="Y48" s="147" t="e">
        <f t="shared" ref="Y48:Y184" si="36">N48</f>
        <v>#N/A</v>
      </c>
      <c r="Z48" s="177" t="e">
        <f t="shared" ref="Z48:Z184" si="37">L48</f>
        <v>#N/A</v>
      </c>
      <c r="AA48" s="178"/>
      <c r="AB48" s="178" t="e">
        <f t="shared" ref="AB48:AB184" si="38">P48</f>
        <v>#N/A</v>
      </c>
      <c r="AC48" s="179" t="e">
        <f t="shared" ref="AC48:AC166" si="39">ROUNDUP(L48*0.85,-3)</f>
        <v>#N/A</v>
      </c>
      <c r="AD48" s="147" t="e">
        <f t="shared" ref="AD48:AD184" si="40">AC48*3</f>
        <v>#N/A</v>
      </c>
      <c r="AE48" s="157" t="e">
        <f t="shared" ref="AE48:AE184" si="41">IF(AC48&gt;0,(AC48-N48)/AC48,0)</f>
        <v>#N/A</v>
      </c>
      <c r="AF48" s="179" t="e">
        <f t="shared" ref="AF48:AF178" si="42">ROUNDUP(L48*0.825,-3)</f>
        <v>#N/A</v>
      </c>
      <c r="AG48" s="147" t="e">
        <f t="shared" ref="AG48:AG184" si="43">AF48*6</f>
        <v>#N/A</v>
      </c>
      <c r="AH48" s="157" t="e">
        <f t="shared" ref="AH48:AH184" si="44">IF(AF48&gt;0,(AF48-N48)/AF48,0)</f>
        <v>#N/A</v>
      </c>
      <c r="AI48" s="179" t="e">
        <f t="shared" ref="AI48:AI113" si="45">ROUNDUP(L48*0.75,-3)</f>
        <v>#N/A</v>
      </c>
      <c r="AJ48" s="147" t="e">
        <f t="shared" ref="AJ48:AJ184" si="46">AI48*12</f>
        <v>#N/A</v>
      </c>
      <c r="AK48" s="157" t="e">
        <f t="shared" ref="AK48:AK184" si="47">IF(AI48&gt;0,(AI48-N48)/AI48,0)</f>
        <v>#N/A</v>
      </c>
    </row>
    <row r="49" spans="1:37" ht="14.25" hidden="1" customHeight="1" x14ac:dyDescent="0.3">
      <c r="A49" s="168" t="s">
        <v>199</v>
      </c>
      <c r="B49" s="168" t="s">
        <v>204</v>
      </c>
      <c r="C49" s="168" t="s">
        <v>201</v>
      </c>
      <c r="D49" s="168" t="s">
        <v>917</v>
      </c>
      <c r="E49" s="169">
        <v>4</v>
      </c>
      <c r="F49" s="170" t="e">
        <f>IF(A49="","",VLOOKUP(A49,Cotizador!$A$5:$J$43,2,FALSE))</f>
        <v>#N/A</v>
      </c>
      <c r="G49" s="171" t="e">
        <f>IF(A49="","",VLOOKUP(A49,Cotizador!$A$5:$J$43,3,FALSE))</f>
        <v>#N/A</v>
      </c>
      <c r="H49" s="147">
        <f>IF(OR(A49="",D49=""),"",IF(D49="Sin estampar",0,IF(D49="Pecho",VLOOKUP(A49,Cotizador!$A$5:$J$43,4,FALSE),IF(D49="Espalda",VLOOKUP(A49,Cotizador!$A$5:$J$43,5,FALSE),VLOOKUP(A49,Cotizador!$A$5:$J$43,4,FALSE)+VLOOKUP(A49,Cotizador!$A$5:$J$43,5,FALSE)))))</f>
        <v>0</v>
      </c>
      <c r="I49" s="147" t="e">
        <f>IF(A49="","",VLOOKUP(A49,Cotizador!$A$5:$J$43,6,FALSE))</f>
        <v>#N/A</v>
      </c>
      <c r="J49" s="147" t="e">
        <f>IF(A49="","",VLOOKUP(A49,Cotizador!$A$5:$J$43,7,FALSE))</f>
        <v>#N/A</v>
      </c>
      <c r="K49" s="172" t="e">
        <f t="shared" si="29"/>
        <v>#N/A</v>
      </c>
      <c r="L49" s="147" t="e">
        <f>IF(A49="","",IF(D49="Sin estampar",VLOOKUP(A49,Cotizador!$A$5:$J$43,8,FALSE),IF(D49="Pecho",VLOOKUP(A49,Cotizador!$A$5:$J$43,10,FALSE),VLOOKUP(A49,Cotizador!$A$5:$J$43,9,FALSE))))</f>
        <v>#N/A</v>
      </c>
      <c r="M49" s="173" t="e">
        <f t="shared" si="30"/>
        <v>#N/A</v>
      </c>
      <c r="N49" s="147" t="e">
        <f t="shared" si="31"/>
        <v>#N/A</v>
      </c>
      <c r="O49" s="157"/>
      <c r="P49" s="157" t="e">
        <f t="shared" si="32"/>
        <v>#N/A</v>
      </c>
      <c r="Q49" s="174" t="str">
        <f t="shared" si="33"/>
        <v>Camisa Oversize Peruana M Negro</v>
      </c>
      <c r="R49" s="180" t="e">
        <f ca="1"/>
        <v>#NAME?</v>
      </c>
      <c r="S49" s="181"/>
      <c r="T49" s="176">
        <f t="shared" ca="1" si="34"/>
        <v>0</v>
      </c>
      <c r="V49" s="51" t="e">
        <f t="shared" si="35"/>
        <v>#N/A</v>
      </c>
      <c r="Y49" s="147" t="e">
        <f t="shared" si="36"/>
        <v>#N/A</v>
      </c>
      <c r="Z49" s="177" t="e">
        <f t="shared" si="37"/>
        <v>#N/A</v>
      </c>
      <c r="AA49" s="178"/>
      <c r="AB49" s="178" t="e">
        <f t="shared" si="38"/>
        <v>#N/A</v>
      </c>
      <c r="AC49" s="179" t="e">
        <f t="shared" si="39"/>
        <v>#N/A</v>
      </c>
      <c r="AD49" s="147" t="e">
        <f t="shared" si="40"/>
        <v>#N/A</v>
      </c>
      <c r="AE49" s="157" t="e">
        <f t="shared" si="41"/>
        <v>#N/A</v>
      </c>
      <c r="AF49" s="179" t="e">
        <f t="shared" si="42"/>
        <v>#N/A</v>
      </c>
      <c r="AG49" s="147" t="e">
        <f t="shared" si="43"/>
        <v>#N/A</v>
      </c>
      <c r="AH49" s="157" t="e">
        <f t="shared" si="44"/>
        <v>#N/A</v>
      </c>
      <c r="AI49" s="179" t="e">
        <f t="shared" si="45"/>
        <v>#N/A</v>
      </c>
      <c r="AJ49" s="147" t="e">
        <f t="shared" si="46"/>
        <v>#N/A</v>
      </c>
      <c r="AK49" s="157" t="e">
        <f t="shared" si="47"/>
        <v>#N/A</v>
      </c>
    </row>
    <row r="50" spans="1:37" ht="14.25" hidden="1" customHeight="1" x14ac:dyDescent="0.3">
      <c r="A50" s="168" t="s">
        <v>199</v>
      </c>
      <c r="B50" s="168" t="s">
        <v>207</v>
      </c>
      <c r="C50" s="168" t="s">
        <v>201</v>
      </c>
      <c r="D50" s="168" t="s">
        <v>917</v>
      </c>
      <c r="E50" s="169">
        <v>4</v>
      </c>
      <c r="F50" s="170" t="e">
        <f>IF(A50="","",VLOOKUP(A50,Cotizador!$A$5:$J$43,2,FALSE))</f>
        <v>#N/A</v>
      </c>
      <c r="G50" s="171" t="e">
        <f>IF(A50="","",VLOOKUP(A50,Cotizador!$A$5:$J$43,3,FALSE))</f>
        <v>#N/A</v>
      </c>
      <c r="H50" s="147">
        <f>IF(OR(A50="",D50=""),"",IF(D50="Sin estampar",0,IF(D50="Pecho",VLOOKUP(A50,Cotizador!$A$5:$J$43,4,FALSE),IF(D50="Espalda",VLOOKUP(A50,Cotizador!$A$5:$J$43,5,FALSE),VLOOKUP(A50,Cotizador!$A$5:$J$43,4,FALSE)+VLOOKUP(A50,Cotizador!$A$5:$J$43,5,FALSE)))))</f>
        <v>0</v>
      </c>
      <c r="I50" s="147" t="e">
        <f>IF(A50="","",VLOOKUP(A50,Cotizador!$A$5:$J$43,6,FALSE))</f>
        <v>#N/A</v>
      </c>
      <c r="J50" s="147" t="e">
        <f>IF(A50="","",VLOOKUP(A50,Cotizador!$A$5:$J$43,7,FALSE))</f>
        <v>#N/A</v>
      </c>
      <c r="K50" s="172" t="e">
        <f t="shared" si="29"/>
        <v>#N/A</v>
      </c>
      <c r="L50" s="147" t="e">
        <f>IF(A50="","",IF(D50="Sin estampar",VLOOKUP(A50,Cotizador!$A$5:$J$43,8,FALSE),IF(D50="Pecho",VLOOKUP(A50,Cotizador!$A$5:$J$43,10,FALSE),VLOOKUP(A50,Cotizador!$A$5:$J$43,9,FALSE))))</f>
        <v>#N/A</v>
      </c>
      <c r="M50" s="173" t="e">
        <f t="shared" si="30"/>
        <v>#N/A</v>
      </c>
      <c r="N50" s="147" t="e">
        <f t="shared" si="31"/>
        <v>#N/A</v>
      </c>
      <c r="O50" s="157"/>
      <c r="P50" s="157" t="e">
        <f t="shared" si="32"/>
        <v>#N/A</v>
      </c>
      <c r="Q50" s="174" t="str">
        <f t="shared" si="33"/>
        <v>Camisa Oversize Peruana L Negro</v>
      </c>
      <c r="R50" s="180" t="e">
        <f ca="1"/>
        <v>#NAME?</v>
      </c>
      <c r="S50" s="181"/>
      <c r="T50" s="176">
        <f t="shared" ca="1" si="34"/>
        <v>0</v>
      </c>
      <c r="V50" s="51" t="e">
        <f t="shared" si="35"/>
        <v>#N/A</v>
      </c>
      <c r="Y50" s="147" t="e">
        <f t="shared" si="36"/>
        <v>#N/A</v>
      </c>
      <c r="Z50" s="177" t="e">
        <f t="shared" si="37"/>
        <v>#N/A</v>
      </c>
      <c r="AA50" s="178"/>
      <c r="AB50" s="178" t="e">
        <f t="shared" si="38"/>
        <v>#N/A</v>
      </c>
      <c r="AC50" s="179" t="e">
        <f t="shared" si="39"/>
        <v>#N/A</v>
      </c>
      <c r="AD50" s="147" t="e">
        <f t="shared" si="40"/>
        <v>#N/A</v>
      </c>
      <c r="AE50" s="157" t="e">
        <f t="shared" si="41"/>
        <v>#N/A</v>
      </c>
      <c r="AF50" s="179" t="e">
        <f t="shared" si="42"/>
        <v>#N/A</v>
      </c>
      <c r="AG50" s="147" t="e">
        <f t="shared" si="43"/>
        <v>#N/A</v>
      </c>
      <c r="AH50" s="157" t="e">
        <f t="shared" si="44"/>
        <v>#N/A</v>
      </c>
      <c r="AI50" s="179" t="e">
        <f t="shared" si="45"/>
        <v>#N/A</v>
      </c>
      <c r="AJ50" s="147" t="e">
        <f t="shared" si="46"/>
        <v>#N/A</v>
      </c>
      <c r="AK50" s="157" t="e">
        <f t="shared" si="47"/>
        <v>#N/A</v>
      </c>
    </row>
    <row r="51" spans="1:37" ht="14.25" hidden="1" customHeight="1" x14ac:dyDescent="0.3">
      <c r="A51" s="168" t="s">
        <v>199</v>
      </c>
      <c r="B51" s="168" t="s">
        <v>210</v>
      </c>
      <c r="C51" s="168" t="s">
        <v>201</v>
      </c>
      <c r="D51" s="168" t="s">
        <v>917</v>
      </c>
      <c r="E51" s="169">
        <v>4</v>
      </c>
      <c r="F51" s="170" t="e">
        <f>IF(A51="","",VLOOKUP(A51,Cotizador!$A$5:$J$43,2,FALSE))</f>
        <v>#N/A</v>
      </c>
      <c r="G51" s="171" t="e">
        <f>IF(A51="","",VLOOKUP(A51,Cotizador!$A$5:$J$43,3,FALSE))</f>
        <v>#N/A</v>
      </c>
      <c r="H51" s="147">
        <f>IF(OR(A51="",D51=""),"",IF(D51="Sin estampar",0,IF(D51="Pecho",VLOOKUP(A51,Cotizador!$A$5:$J$43,4,FALSE),IF(D51="Espalda",VLOOKUP(A51,Cotizador!$A$5:$J$43,5,FALSE),VLOOKUP(A51,Cotizador!$A$5:$J$43,4,FALSE)+VLOOKUP(A51,Cotizador!$A$5:$J$43,5,FALSE)))))</f>
        <v>0</v>
      </c>
      <c r="I51" s="147" t="e">
        <f>IF(A51="","",VLOOKUP(A51,Cotizador!$A$5:$J$43,6,FALSE))</f>
        <v>#N/A</v>
      </c>
      <c r="J51" s="147" t="e">
        <f>IF(A51="","",VLOOKUP(A51,Cotizador!$A$5:$J$43,7,FALSE))</f>
        <v>#N/A</v>
      </c>
      <c r="K51" s="172" t="e">
        <f t="shared" si="29"/>
        <v>#N/A</v>
      </c>
      <c r="L51" s="147" t="e">
        <f>IF(A51="","",IF(D51="Sin estampar",VLOOKUP(A51,Cotizador!$A$5:$J$43,8,FALSE),IF(D51="Pecho",VLOOKUP(A51,Cotizador!$A$5:$J$43,10,FALSE),VLOOKUP(A51,Cotizador!$A$5:$J$43,9,FALSE))))</f>
        <v>#N/A</v>
      </c>
      <c r="M51" s="173" t="e">
        <f t="shared" si="30"/>
        <v>#N/A</v>
      </c>
      <c r="N51" s="147" t="e">
        <f t="shared" si="31"/>
        <v>#N/A</v>
      </c>
      <c r="O51" s="157"/>
      <c r="P51" s="157" t="e">
        <f t="shared" si="32"/>
        <v>#N/A</v>
      </c>
      <c r="Q51" s="174" t="str">
        <f t="shared" si="33"/>
        <v>Camisa Oversize Peruana XL Negro</v>
      </c>
      <c r="R51" s="180" t="e">
        <f ca="1"/>
        <v>#NAME?</v>
      </c>
      <c r="S51" s="181"/>
      <c r="T51" s="176">
        <f t="shared" ca="1" si="34"/>
        <v>0</v>
      </c>
      <c r="V51" s="51" t="e">
        <f t="shared" si="35"/>
        <v>#N/A</v>
      </c>
      <c r="Y51" s="147" t="e">
        <f t="shared" si="36"/>
        <v>#N/A</v>
      </c>
      <c r="Z51" s="177" t="e">
        <f t="shared" si="37"/>
        <v>#N/A</v>
      </c>
      <c r="AA51" s="178"/>
      <c r="AB51" s="178" t="e">
        <f t="shared" si="38"/>
        <v>#N/A</v>
      </c>
      <c r="AC51" s="179" t="e">
        <f t="shared" si="39"/>
        <v>#N/A</v>
      </c>
      <c r="AD51" s="147" t="e">
        <f t="shared" si="40"/>
        <v>#N/A</v>
      </c>
      <c r="AE51" s="157" t="e">
        <f t="shared" si="41"/>
        <v>#N/A</v>
      </c>
      <c r="AF51" s="179" t="e">
        <f t="shared" si="42"/>
        <v>#N/A</v>
      </c>
      <c r="AG51" s="147" t="e">
        <f t="shared" si="43"/>
        <v>#N/A</v>
      </c>
      <c r="AH51" s="157" t="e">
        <f t="shared" si="44"/>
        <v>#N/A</v>
      </c>
      <c r="AI51" s="179" t="e">
        <f t="shared" si="45"/>
        <v>#N/A</v>
      </c>
      <c r="AJ51" s="147" t="e">
        <f t="shared" si="46"/>
        <v>#N/A</v>
      </c>
      <c r="AK51" s="157" t="e">
        <f t="shared" si="47"/>
        <v>#N/A</v>
      </c>
    </row>
    <row r="52" spans="1:37" ht="14.25" hidden="1" customHeight="1" x14ac:dyDescent="0.3">
      <c r="A52" s="168" t="s">
        <v>199</v>
      </c>
      <c r="B52" s="168" t="s">
        <v>200</v>
      </c>
      <c r="C52" s="168" t="s">
        <v>918</v>
      </c>
      <c r="D52" s="168" t="s">
        <v>917</v>
      </c>
      <c r="E52" s="169">
        <v>1</v>
      </c>
      <c r="F52" s="170" t="e">
        <f>IF(A52="","",VLOOKUP(A52,Cotizador!$A$5:$J$43,2,FALSE))</f>
        <v>#N/A</v>
      </c>
      <c r="G52" s="171" t="e">
        <f>IF(A52="","",VLOOKUP(A52,Cotizador!$A$5:$J$43,3,FALSE))</f>
        <v>#N/A</v>
      </c>
      <c r="H52" s="147">
        <f>IF(OR(A52="",D52=""),"",IF(D52="Sin estampar",0,IF(D52="Pecho",VLOOKUP(A52,Cotizador!$A$5:$J$43,4,FALSE),IF(D52="Espalda",VLOOKUP(A52,Cotizador!$A$5:$J$43,5,FALSE),VLOOKUP(A52,Cotizador!$A$5:$J$43,4,FALSE)+VLOOKUP(A52,Cotizador!$A$5:$J$43,5,FALSE)))))</f>
        <v>0</v>
      </c>
      <c r="I52" s="147" t="e">
        <f>IF(A52="","",VLOOKUP(A52,Cotizador!$A$5:$J$43,6,FALSE))</f>
        <v>#N/A</v>
      </c>
      <c r="J52" s="147" t="e">
        <f>IF(A52="","",VLOOKUP(A52,Cotizador!$A$5:$J$43,7,FALSE))</f>
        <v>#N/A</v>
      </c>
      <c r="K52" s="172" t="e">
        <f t="shared" si="29"/>
        <v>#N/A</v>
      </c>
      <c r="L52" s="147" t="e">
        <f>IF(A52="","",IF(D52="Sin estampar",VLOOKUP(A52,Cotizador!$A$5:$J$43,8,FALSE),IF(D52="Pecho",VLOOKUP(A52,Cotizador!$A$5:$J$43,10,FALSE),VLOOKUP(A52,Cotizador!$A$5:$J$43,9,FALSE))))</f>
        <v>#N/A</v>
      </c>
      <c r="M52" s="173" t="e">
        <f t="shared" si="30"/>
        <v>#N/A</v>
      </c>
      <c r="N52" s="147" t="e">
        <f t="shared" si="31"/>
        <v>#N/A</v>
      </c>
      <c r="O52" s="157"/>
      <c r="P52" s="157" t="e">
        <f t="shared" si="32"/>
        <v>#N/A</v>
      </c>
      <c r="Q52" s="174" t="str">
        <f t="shared" si="33"/>
        <v>Camisa Oversize Peruana S Blanco</v>
      </c>
      <c r="R52" s="180" t="e">
        <f ca="1"/>
        <v>#NAME?</v>
      </c>
      <c r="S52" s="181"/>
      <c r="T52" s="176">
        <f t="shared" ca="1" si="34"/>
        <v>0</v>
      </c>
      <c r="V52" s="51" t="e">
        <f t="shared" si="35"/>
        <v>#N/A</v>
      </c>
      <c r="Y52" s="147" t="e">
        <f t="shared" si="36"/>
        <v>#N/A</v>
      </c>
      <c r="Z52" s="177" t="e">
        <f t="shared" si="37"/>
        <v>#N/A</v>
      </c>
      <c r="AA52" s="178"/>
      <c r="AB52" s="178" t="e">
        <f t="shared" si="38"/>
        <v>#N/A</v>
      </c>
      <c r="AC52" s="179" t="e">
        <f t="shared" si="39"/>
        <v>#N/A</v>
      </c>
      <c r="AD52" s="147" t="e">
        <f t="shared" si="40"/>
        <v>#N/A</v>
      </c>
      <c r="AE52" s="157" t="e">
        <f t="shared" si="41"/>
        <v>#N/A</v>
      </c>
      <c r="AF52" s="179" t="e">
        <f t="shared" si="42"/>
        <v>#N/A</v>
      </c>
      <c r="AG52" s="147" t="e">
        <f t="shared" si="43"/>
        <v>#N/A</v>
      </c>
      <c r="AH52" s="157" t="e">
        <f t="shared" si="44"/>
        <v>#N/A</v>
      </c>
      <c r="AI52" s="179" t="e">
        <f t="shared" si="45"/>
        <v>#N/A</v>
      </c>
      <c r="AJ52" s="147" t="e">
        <f t="shared" si="46"/>
        <v>#N/A</v>
      </c>
      <c r="AK52" s="157" t="e">
        <f t="shared" si="47"/>
        <v>#N/A</v>
      </c>
    </row>
    <row r="53" spans="1:37" ht="14.25" hidden="1" customHeight="1" x14ac:dyDescent="0.3">
      <c r="A53" s="168" t="s">
        <v>199</v>
      </c>
      <c r="B53" s="168" t="s">
        <v>204</v>
      </c>
      <c r="C53" s="168" t="s">
        <v>918</v>
      </c>
      <c r="D53" s="168" t="s">
        <v>917</v>
      </c>
      <c r="E53" s="169">
        <v>4</v>
      </c>
      <c r="F53" s="170" t="e">
        <f>IF(A53="","",VLOOKUP(A53,Cotizador!$A$5:$J$43,2,FALSE))</f>
        <v>#N/A</v>
      </c>
      <c r="G53" s="171" t="e">
        <f>IF(A53="","",VLOOKUP(A53,Cotizador!$A$5:$J$43,3,FALSE))</f>
        <v>#N/A</v>
      </c>
      <c r="H53" s="147">
        <f>IF(OR(A53="",D53=""),"",IF(D53="Sin estampar",0,IF(D53="Pecho",VLOOKUP(A53,Cotizador!$A$5:$J$43,4,FALSE),IF(D53="Espalda",VLOOKUP(A53,Cotizador!$A$5:$J$43,5,FALSE),VLOOKUP(A53,Cotizador!$A$5:$J$43,4,FALSE)+VLOOKUP(A53,Cotizador!$A$5:$J$43,5,FALSE)))))</f>
        <v>0</v>
      </c>
      <c r="I53" s="147" t="e">
        <f>IF(A53="","",VLOOKUP(A53,Cotizador!$A$5:$J$43,6,FALSE))</f>
        <v>#N/A</v>
      </c>
      <c r="J53" s="147" t="e">
        <f>IF(A53="","",VLOOKUP(A53,Cotizador!$A$5:$J$43,7,FALSE))</f>
        <v>#N/A</v>
      </c>
      <c r="K53" s="172" t="e">
        <f t="shared" si="29"/>
        <v>#N/A</v>
      </c>
      <c r="L53" s="147" t="e">
        <f>IF(A53="","",IF(D53="Sin estampar",VLOOKUP(A53,Cotizador!$A$5:$J$43,8,FALSE),IF(D53="Pecho",VLOOKUP(A53,Cotizador!$A$5:$J$43,10,FALSE),VLOOKUP(A53,Cotizador!$A$5:$J$43,9,FALSE))))</f>
        <v>#N/A</v>
      </c>
      <c r="M53" s="173" t="e">
        <f t="shared" si="30"/>
        <v>#N/A</v>
      </c>
      <c r="N53" s="147" t="e">
        <f t="shared" si="31"/>
        <v>#N/A</v>
      </c>
      <c r="O53" s="157"/>
      <c r="P53" s="157" t="e">
        <f t="shared" si="32"/>
        <v>#N/A</v>
      </c>
      <c r="Q53" s="174" t="str">
        <f t="shared" si="33"/>
        <v>Camisa Oversize Peruana M Blanco</v>
      </c>
      <c r="R53" s="180" t="e">
        <f ca="1"/>
        <v>#NAME?</v>
      </c>
      <c r="S53" s="181"/>
      <c r="T53" s="176">
        <f t="shared" ca="1" si="34"/>
        <v>0</v>
      </c>
      <c r="V53" s="51" t="e">
        <f t="shared" si="35"/>
        <v>#N/A</v>
      </c>
      <c r="Y53" s="147" t="e">
        <f t="shared" si="36"/>
        <v>#N/A</v>
      </c>
      <c r="Z53" s="177" t="e">
        <f t="shared" si="37"/>
        <v>#N/A</v>
      </c>
      <c r="AA53" s="178"/>
      <c r="AB53" s="178" t="e">
        <f t="shared" si="38"/>
        <v>#N/A</v>
      </c>
      <c r="AC53" s="179" t="e">
        <f t="shared" si="39"/>
        <v>#N/A</v>
      </c>
      <c r="AD53" s="147" t="e">
        <f t="shared" si="40"/>
        <v>#N/A</v>
      </c>
      <c r="AE53" s="157" t="e">
        <f t="shared" si="41"/>
        <v>#N/A</v>
      </c>
      <c r="AF53" s="179" t="e">
        <f t="shared" si="42"/>
        <v>#N/A</v>
      </c>
      <c r="AG53" s="147" t="e">
        <f t="shared" si="43"/>
        <v>#N/A</v>
      </c>
      <c r="AH53" s="157" t="e">
        <f t="shared" si="44"/>
        <v>#N/A</v>
      </c>
      <c r="AI53" s="179" t="e">
        <f t="shared" si="45"/>
        <v>#N/A</v>
      </c>
      <c r="AJ53" s="147" t="e">
        <f t="shared" si="46"/>
        <v>#N/A</v>
      </c>
      <c r="AK53" s="157" t="e">
        <f t="shared" si="47"/>
        <v>#N/A</v>
      </c>
    </row>
    <row r="54" spans="1:37" ht="14.25" hidden="1" customHeight="1" x14ac:dyDescent="0.3">
      <c r="A54" s="168" t="s">
        <v>199</v>
      </c>
      <c r="B54" s="168" t="s">
        <v>207</v>
      </c>
      <c r="C54" s="168" t="s">
        <v>918</v>
      </c>
      <c r="D54" s="168" t="s">
        <v>917</v>
      </c>
      <c r="E54" s="169">
        <v>4</v>
      </c>
      <c r="F54" s="170" t="e">
        <f>IF(A54="","",VLOOKUP(A54,Cotizador!$A$5:$J$43,2,FALSE))</f>
        <v>#N/A</v>
      </c>
      <c r="G54" s="171" t="e">
        <f>IF(A54="","",VLOOKUP(A54,Cotizador!$A$5:$J$43,3,FALSE))</f>
        <v>#N/A</v>
      </c>
      <c r="H54" s="147">
        <f>IF(OR(A54="",D54=""),"",IF(D54="Sin estampar",0,IF(D54="Pecho",VLOOKUP(A54,Cotizador!$A$5:$J$43,4,FALSE),IF(D54="Espalda",VLOOKUP(A54,Cotizador!$A$5:$J$43,5,FALSE),VLOOKUP(A54,Cotizador!$A$5:$J$43,4,FALSE)+VLOOKUP(A54,Cotizador!$A$5:$J$43,5,FALSE)))))</f>
        <v>0</v>
      </c>
      <c r="I54" s="147" t="e">
        <f>IF(A54="","",VLOOKUP(A54,Cotizador!$A$5:$J$43,6,FALSE))</f>
        <v>#N/A</v>
      </c>
      <c r="J54" s="147" t="e">
        <f>IF(A54="","",VLOOKUP(A54,Cotizador!$A$5:$J$43,7,FALSE))</f>
        <v>#N/A</v>
      </c>
      <c r="K54" s="172" t="e">
        <f t="shared" si="29"/>
        <v>#N/A</v>
      </c>
      <c r="L54" s="147" t="e">
        <f>IF(A54="","",IF(D54="Sin estampar",VLOOKUP(A54,Cotizador!$A$5:$J$43,8,FALSE),IF(D54="Pecho",VLOOKUP(A54,Cotizador!$A$5:$J$43,10,FALSE),VLOOKUP(A54,Cotizador!$A$5:$J$43,9,FALSE))))</f>
        <v>#N/A</v>
      </c>
      <c r="M54" s="173" t="e">
        <f t="shared" si="30"/>
        <v>#N/A</v>
      </c>
      <c r="N54" s="147" t="e">
        <f t="shared" si="31"/>
        <v>#N/A</v>
      </c>
      <c r="O54" s="157"/>
      <c r="P54" s="157" t="e">
        <f t="shared" si="32"/>
        <v>#N/A</v>
      </c>
      <c r="Q54" s="174" t="str">
        <f t="shared" si="33"/>
        <v>Camisa Oversize Peruana L Blanco</v>
      </c>
      <c r="R54" s="180" t="e">
        <f ca="1"/>
        <v>#NAME?</v>
      </c>
      <c r="S54" s="181"/>
      <c r="T54" s="176">
        <f t="shared" ca="1" si="34"/>
        <v>0</v>
      </c>
      <c r="V54" s="51" t="e">
        <f t="shared" si="35"/>
        <v>#N/A</v>
      </c>
      <c r="Y54" s="147" t="e">
        <f t="shared" si="36"/>
        <v>#N/A</v>
      </c>
      <c r="Z54" s="177" t="e">
        <f t="shared" si="37"/>
        <v>#N/A</v>
      </c>
      <c r="AA54" s="178"/>
      <c r="AB54" s="178" t="e">
        <f t="shared" si="38"/>
        <v>#N/A</v>
      </c>
      <c r="AC54" s="179" t="e">
        <f t="shared" si="39"/>
        <v>#N/A</v>
      </c>
      <c r="AD54" s="147" t="e">
        <f t="shared" si="40"/>
        <v>#N/A</v>
      </c>
      <c r="AE54" s="157" t="e">
        <f t="shared" si="41"/>
        <v>#N/A</v>
      </c>
      <c r="AF54" s="179" t="e">
        <f t="shared" si="42"/>
        <v>#N/A</v>
      </c>
      <c r="AG54" s="147" t="e">
        <f t="shared" si="43"/>
        <v>#N/A</v>
      </c>
      <c r="AH54" s="157" t="e">
        <f t="shared" si="44"/>
        <v>#N/A</v>
      </c>
      <c r="AI54" s="179" t="e">
        <f t="shared" si="45"/>
        <v>#N/A</v>
      </c>
      <c r="AJ54" s="147" t="e">
        <f t="shared" si="46"/>
        <v>#N/A</v>
      </c>
      <c r="AK54" s="157" t="e">
        <f t="shared" si="47"/>
        <v>#N/A</v>
      </c>
    </row>
    <row r="55" spans="1:37" ht="14.25" hidden="1" customHeight="1" x14ac:dyDescent="0.3">
      <c r="A55" s="168" t="s">
        <v>199</v>
      </c>
      <c r="B55" s="168" t="s">
        <v>210</v>
      </c>
      <c r="C55" s="168" t="s">
        <v>918</v>
      </c>
      <c r="D55" s="168" t="s">
        <v>917</v>
      </c>
      <c r="E55" s="169">
        <v>4</v>
      </c>
      <c r="F55" s="170" t="e">
        <f>IF(A55="","",VLOOKUP(A55,Cotizador!$A$5:$J$43,2,FALSE))</f>
        <v>#N/A</v>
      </c>
      <c r="G55" s="171" t="e">
        <f>IF(A55="","",VLOOKUP(A55,Cotizador!$A$5:$J$43,3,FALSE))</f>
        <v>#N/A</v>
      </c>
      <c r="H55" s="147">
        <f>IF(OR(A55="",D55=""),"",IF(D55="Sin estampar",0,IF(D55="Pecho",VLOOKUP(A55,Cotizador!$A$5:$J$43,4,FALSE),IF(D55="Espalda",VLOOKUP(A55,Cotizador!$A$5:$J$43,5,FALSE),VLOOKUP(A55,Cotizador!$A$5:$J$43,4,FALSE)+VLOOKUP(A55,Cotizador!$A$5:$J$43,5,FALSE)))))</f>
        <v>0</v>
      </c>
      <c r="I55" s="147" t="e">
        <f>IF(A55="","",VLOOKUP(A55,Cotizador!$A$5:$J$43,6,FALSE))</f>
        <v>#N/A</v>
      </c>
      <c r="J55" s="147" t="e">
        <f>IF(A55="","",VLOOKUP(A55,Cotizador!$A$5:$J$43,7,FALSE))</f>
        <v>#N/A</v>
      </c>
      <c r="K55" s="172" t="e">
        <f t="shared" si="29"/>
        <v>#N/A</v>
      </c>
      <c r="L55" s="147" t="e">
        <f>IF(A55="","",IF(D55="Sin estampar",VLOOKUP(A55,Cotizador!$A$5:$J$43,8,FALSE),IF(D55="Pecho",VLOOKUP(A55,Cotizador!$A$5:$J$43,10,FALSE),VLOOKUP(A55,Cotizador!$A$5:$J$43,9,FALSE))))</f>
        <v>#N/A</v>
      </c>
      <c r="M55" s="173" t="e">
        <f t="shared" si="30"/>
        <v>#N/A</v>
      </c>
      <c r="N55" s="147" t="e">
        <f t="shared" si="31"/>
        <v>#N/A</v>
      </c>
      <c r="O55" s="157"/>
      <c r="P55" s="157" t="e">
        <f t="shared" si="32"/>
        <v>#N/A</v>
      </c>
      <c r="Q55" s="174" t="str">
        <f t="shared" si="33"/>
        <v>Camisa Oversize Peruana XL Blanco</v>
      </c>
      <c r="R55" s="180" t="e">
        <f ca="1"/>
        <v>#NAME?</v>
      </c>
      <c r="S55" s="181"/>
      <c r="T55" s="176">
        <f t="shared" ca="1" si="34"/>
        <v>0</v>
      </c>
      <c r="V55" s="51" t="e">
        <f t="shared" si="35"/>
        <v>#N/A</v>
      </c>
      <c r="Y55" s="147" t="e">
        <f t="shared" si="36"/>
        <v>#N/A</v>
      </c>
      <c r="Z55" s="177" t="e">
        <f t="shared" si="37"/>
        <v>#N/A</v>
      </c>
      <c r="AA55" s="178"/>
      <c r="AB55" s="178" t="e">
        <f t="shared" si="38"/>
        <v>#N/A</v>
      </c>
      <c r="AC55" s="179" t="e">
        <f t="shared" si="39"/>
        <v>#N/A</v>
      </c>
      <c r="AD55" s="147" t="e">
        <f t="shared" si="40"/>
        <v>#N/A</v>
      </c>
      <c r="AE55" s="157" t="e">
        <f t="shared" si="41"/>
        <v>#N/A</v>
      </c>
      <c r="AF55" s="179" t="e">
        <f t="shared" si="42"/>
        <v>#N/A</v>
      </c>
      <c r="AG55" s="147" t="e">
        <f t="shared" si="43"/>
        <v>#N/A</v>
      </c>
      <c r="AH55" s="157" t="e">
        <f t="shared" si="44"/>
        <v>#N/A</v>
      </c>
      <c r="AI55" s="179" t="e">
        <f t="shared" si="45"/>
        <v>#N/A</v>
      </c>
      <c r="AJ55" s="147" t="e">
        <f t="shared" si="46"/>
        <v>#N/A</v>
      </c>
      <c r="AK55" s="157" t="e">
        <f t="shared" si="47"/>
        <v>#N/A</v>
      </c>
    </row>
    <row r="56" spans="1:37" ht="14.25" hidden="1" customHeight="1" x14ac:dyDescent="0.3">
      <c r="A56" s="168" t="s">
        <v>199</v>
      </c>
      <c r="B56" s="168" t="s">
        <v>200</v>
      </c>
      <c r="C56" s="168" t="s">
        <v>919</v>
      </c>
      <c r="D56" s="168" t="s">
        <v>917</v>
      </c>
      <c r="E56" s="169">
        <v>1</v>
      </c>
      <c r="F56" s="170" t="e">
        <f>IF(A56="","",VLOOKUP(A56,Cotizador!$A$5:$J$43,2,FALSE))</f>
        <v>#N/A</v>
      </c>
      <c r="G56" s="171" t="e">
        <f>IF(A56="","",VLOOKUP(A56,Cotizador!$A$5:$J$43,3,FALSE))</f>
        <v>#N/A</v>
      </c>
      <c r="H56" s="147">
        <f>IF(OR(A56="",D56=""),"",IF(D56="Sin estampar",0,IF(D56="Pecho",VLOOKUP(A56,Cotizador!$A$5:$J$43,4,FALSE),IF(D56="Espalda",VLOOKUP(A56,Cotizador!$A$5:$J$43,5,FALSE),VLOOKUP(A56,Cotizador!$A$5:$J$43,4,FALSE)+VLOOKUP(A56,Cotizador!$A$5:$J$43,5,FALSE)))))</f>
        <v>0</v>
      </c>
      <c r="I56" s="147" t="e">
        <f>IF(A56="","",VLOOKUP(A56,Cotizador!$A$5:$J$43,6,FALSE))</f>
        <v>#N/A</v>
      </c>
      <c r="J56" s="147" t="e">
        <f>IF(A56="","",VLOOKUP(A56,Cotizador!$A$5:$J$43,7,FALSE))</f>
        <v>#N/A</v>
      </c>
      <c r="K56" s="172" t="e">
        <f t="shared" si="29"/>
        <v>#N/A</v>
      </c>
      <c r="L56" s="147" t="e">
        <f>IF(A56="","",IF(D56="Sin estampar",VLOOKUP(A56,Cotizador!$A$5:$J$43,8,FALSE),IF(D56="Pecho",VLOOKUP(A56,Cotizador!$A$5:$J$43,10,FALSE),VLOOKUP(A56,Cotizador!$A$5:$J$43,9,FALSE))))</f>
        <v>#N/A</v>
      </c>
      <c r="M56" s="173" t="e">
        <f t="shared" si="30"/>
        <v>#N/A</v>
      </c>
      <c r="N56" s="147" t="e">
        <f t="shared" si="31"/>
        <v>#N/A</v>
      </c>
      <c r="O56" s="157"/>
      <c r="P56" s="157" t="e">
        <f t="shared" si="32"/>
        <v>#N/A</v>
      </c>
      <c r="Q56" s="174" t="str">
        <f t="shared" si="33"/>
        <v>Camisa Oversize Peruana S Perla</v>
      </c>
      <c r="R56" s="180" t="e">
        <f ca="1"/>
        <v>#NAME?</v>
      </c>
      <c r="S56" s="181"/>
      <c r="T56" s="176">
        <f t="shared" ca="1" si="34"/>
        <v>0</v>
      </c>
      <c r="V56" s="51" t="e">
        <f t="shared" si="35"/>
        <v>#N/A</v>
      </c>
      <c r="Y56" s="147" t="e">
        <f t="shared" si="36"/>
        <v>#N/A</v>
      </c>
      <c r="Z56" s="177" t="e">
        <f t="shared" si="37"/>
        <v>#N/A</v>
      </c>
      <c r="AA56" s="178"/>
      <c r="AB56" s="178" t="e">
        <f t="shared" si="38"/>
        <v>#N/A</v>
      </c>
      <c r="AC56" s="179" t="e">
        <f t="shared" si="39"/>
        <v>#N/A</v>
      </c>
      <c r="AD56" s="147" t="e">
        <f t="shared" si="40"/>
        <v>#N/A</v>
      </c>
      <c r="AE56" s="157" t="e">
        <f t="shared" si="41"/>
        <v>#N/A</v>
      </c>
      <c r="AF56" s="179" t="e">
        <f t="shared" si="42"/>
        <v>#N/A</v>
      </c>
      <c r="AG56" s="147" t="e">
        <f t="shared" si="43"/>
        <v>#N/A</v>
      </c>
      <c r="AH56" s="157" t="e">
        <f t="shared" si="44"/>
        <v>#N/A</v>
      </c>
      <c r="AI56" s="179" t="e">
        <f t="shared" si="45"/>
        <v>#N/A</v>
      </c>
      <c r="AJ56" s="147" t="e">
        <f t="shared" si="46"/>
        <v>#N/A</v>
      </c>
      <c r="AK56" s="157" t="e">
        <f t="shared" si="47"/>
        <v>#N/A</v>
      </c>
    </row>
    <row r="57" spans="1:37" ht="14.25" hidden="1" customHeight="1" x14ac:dyDescent="0.3">
      <c r="A57" s="168" t="s">
        <v>199</v>
      </c>
      <c r="B57" s="168" t="s">
        <v>204</v>
      </c>
      <c r="C57" s="168" t="s">
        <v>919</v>
      </c>
      <c r="D57" s="168" t="s">
        <v>917</v>
      </c>
      <c r="E57" s="169">
        <v>4</v>
      </c>
      <c r="F57" s="170" t="e">
        <f>IF(A57="","",VLOOKUP(A57,Cotizador!$A$5:$J$43,2,FALSE))</f>
        <v>#N/A</v>
      </c>
      <c r="G57" s="171" t="e">
        <f>IF(A57="","",VLOOKUP(A57,Cotizador!$A$5:$J$43,3,FALSE))</f>
        <v>#N/A</v>
      </c>
      <c r="H57" s="147">
        <f>IF(OR(A57="",D57=""),"",IF(D57="Sin estampar",0,IF(D57="Pecho",VLOOKUP(A57,Cotizador!$A$5:$J$43,4,FALSE),IF(D57="Espalda",VLOOKUP(A57,Cotizador!$A$5:$J$43,5,FALSE),VLOOKUP(A57,Cotizador!$A$5:$J$43,4,FALSE)+VLOOKUP(A57,Cotizador!$A$5:$J$43,5,FALSE)))))</f>
        <v>0</v>
      </c>
      <c r="I57" s="147" t="e">
        <f>IF(A57="","",VLOOKUP(A57,Cotizador!$A$5:$J$43,6,FALSE))</f>
        <v>#N/A</v>
      </c>
      <c r="J57" s="147" t="e">
        <f>IF(A57="","",VLOOKUP(A57,Cotizador!$A$5:$J$43,7,FALSE))</f>
        <v>#N/A</v>
      </c>
      <c r="K57" s="172" t="e">
        <f t="shared" si="29"/>
        <v>#N/A</v>
      </c>
      <c r="L57" s="147" t="e">
        <f>IF(A57="","",IF(D57="Sin estampar",VLOOKUP(A57,Cotizador!$A$5:$J$43,8,FALSE),IF(D57="Pecho",VLOOKUP(A57,Cotizador!$A$5:$J$43,10,FALSE),VLOOKUP(A57,Cotizador!$A$5:$J$43,9,FALSE))))</f>
        <v>#N/A</v>
      </c>
      <c r="M57" s="173" t="e">
        <f t="shared" si="30"/>
        <v>#N/A</v>
      </c>
      <c r="N57" s="147" t="e">
        <f t="shared" si="31"/>
        <v>#N/A</v>
      </c>
      <c r="O57" s="157"/>
      <c r="P57" s="157" t="e">
        <f t="shared" si="32"/>
        <v>#N/A</v>
      </c>
      <c r="Q57" s="174" t="str">
        <f t="shared" si="33"/>
        <v>Camisa Oversize Peruana M Perla</v>
      </c>
      <c r="R57" s="180" t="e">
        <f ca="1"/>
        <v>#NAME?</v>
      </c>
      <c r="S57" s="181"/>
      <c r="T57" s="176">
        <f t="shared" ca="1" si="34"/>
        <v>0</v>
      </c>
      <c r="V57" s="51" t="e">
        <f t="shared" si="35"/>
        <v>#N/A</v>
      </c>
      <c r="Y57" s="147" t="e">
        <f t="shared" si="36"/>
        <v>#N/A</v>
      </c>
      <c r="Z57" s="177" t="e">
        <f t="shared" si="37"/>
        <v>#N/A</v>
      </c>
      <c r="AA57" s="178"/>
      <c r="AB57" s="178" t="e">
        <f t="shared" si="38"/>
        <v>#N/A</v>
      </c>
      <c r="AC57" s="179" t="e">
        <f t="shared" si="39"/>
        <v>#N/A</v>
      </c>
      <c r="AD57" s="147" t="e">
        <f t="shared" si="40"/>
        <v>#N/A</v>
      </c>
      <c r="AE57" s="157" t="e">
        <f t="shared" si="41"/>
        <v>#N/A</v>
      </c>
      <c r="AF57" s="179" t="e">
        <f t="shared" si="42"/>
        <v>#N/A</v>
      </c>
      <c r="AG57" s="147" t="e">
        <f t="shared" si="43"/>
        <v>#N/A</v>
      </c>
      <c r="AH57" s="157" t="e">
        <f t="shared" si="44"/>
        <v>#N/A</v>
      </c>
      <c r="AI57" s="179" t="e">
        <f t="shared" si="45"/>
        <v>#N/A</v>
      </c>
      <c r="AJ57" s="147" t="e">
        <f t="shared" si="46"/>
        <v>#N/A</v>
      </c>
      <c r="AK57" s="157" t="e">
        <f t="shared" si="47"/>
        <v>#N/A</v>
      </c>
    </row>
    <row r="58" spans="1:37" ht="14.25" hidden="1" customHeight="1" x14ac:dyDescent="0.3">
      <c r="A58" s="168" t="s">
        <v>199</v>
      </c>
      <c r="B58" s="168" t="s">
        <v>207</v>
      </c>
      <c r="C58" s="168" t="s">
        <v>919</v>
      </c>
      <c r="D58" s="168" t="s">
        <v>917</v>
      </c>
      <c r="E58" s="169">
        <v>4</v>
      </c>
      <c r="F58" s="170" t="e">
        <f>IF(A58="","",VLOOKUP(A58,Cotizador!$A$5:$J$43,2,FALSE))</f>
        <v>#N/A</v>
      </c>
      <c r="G58" s="171" t="e">
        <f>IF(A58="","",VLOOKUP(A58,Cotizador!$A$5:$J$43,3,FALSE))</f>
        <v>#N/A</v>
      </c>
      <c r="H58" s="147">
        <f>IF(OR(A58="",D58=""),"",IF(D58="Sin estampar",0,IF(D58="Pecho",VLOOKUP(A58,Cotizador!$A$5:$J$43,4,FALSE),IF(D58="Espalda",VLOOKUP(A58,Cotizador!$A$5:$J$43,5,FALSE),VLOOKUP(A58,Cotizador!$A$5:$J$43,4,FALSE)+VLOOKUP(A58,Cotizador!$A$5:$J$43,5,FALSE)))))</f>
        <v>0</v>
      </c>
      <c r="I58" s="147" t="e">
        <f>IF(A58="","",VLOOKUP(A58,Cotizador!$A$5:$J$43,6,FALSE))</f>
        <v>#N/A</v>
      </c>
      <c r="J58" s="147" t="e">
        <f>IF(A58="","",VLOOKUP(A58,Cotizador!$A$5:$J$43,7,FALSE))</f>
        <v>#N/A</v>
      </c>
      <c r="K58" s="172" t="e">
        <f t="shared" si="29"/>
        <v>#N/A</v>
      </c>
      <c r="L58" s="147" t="e">
        <f>IF(A58="","",IF(D58="Sin estampar",VLOOKUP(A58,Cotizador!$A$5:$J$43,8,FALSE),IF(D58="Pecho",VLOOKUP(A58,Cotizador!$A$5:$J$43,10,FALSE),VLOOKUP(A58,Cotizador!$A$5:$J$43,9,FALSE))))</f>
        <v>#N/A</v>
      </c>
      <c r="M58" s="173" t="e">
        <f t="shared" si="30"/>
        <v>#N/A</v>
      </c>
      <c r="N58" s="147" t="e">
        <f t="shared" si="31"/>
        <v>#N/A</v>
      </c>
      <c r="O58" s="157"/>
      <c r="P58" s="157" t="e">
        <f t="shared" si="32"/>
        <v>#N/A</v>
      </c>
      <c r="Q58" s="174" t="str">
        <f t="shared" si="33"/>
        <v>Camisa Oversize Peruana L Perla</v>
      </c>
      <c r="R58" s="180" t="e">
        <f ca="1"/>
        <v>#NAME?</v>
      </c>
      <c r="S58" s="181"/>
      <c r="T58" s="176">
        <f t="shared" ca="1" si="34"/>
        <v>0</v>
      </c>
      <c r="V58" s="51" t="e">
        <f t="shared" si="35"/>
        <v>#N/A</v>
      </c>
      <c r="Y58" s="147" t="e">
        <f t="shared" si="36"/>
        <v>#N/A</v>
      </c>
      <c r="Z58" s="177" t="e">
        <f t="shared" si="37"/>
        <v>#N/A</v>
      </c>
      <c r="AA58" s="178"/>
      <c r="AB58" s="178" t="e">
        <f t="shared" si="38"/>
        <v>#N/A</v>
      </c>
      <c r="AC58" s="179" t="e">
        <f t="shared" si="39"/>
        <v>#N/A</v>
      </c>
      <c r="AD58" s="147" t="e">
        <f t="shared" si="40"/>
        <v>#N/A</v>
      </c>
      <c r="AE58" s="157" t="e">
        <f t="shared" si="41"/>
        <v>#N/A</v>
      </c>
      <c r="AF58" s="179" t="e">
        <f t="shared" si="42"/>
        <v>#N/A</v>
      </c>
      <c r="AG58" s="147" t="e">
        <f t="shared" si="43"/>
        <v>#N/A</v>
      </c>
      <c r="AH58" s="157" t="e">
        <f t="shared" si="44"/>
        <v>#N/A</v>
      </c>
      <c r="AI58" s="179" t="e">
        <f t="shared" si="45"/>
        <v>#N/A</v>
      </c>
      <c r="AJ58" s="147" t="e">
        <f t="shared" si="46"/>
        <v>#N/A</v>
      </c>
      <c r="AK58" s="157" t="e">
        <f t="shared" si="47"/>
        <v>#N/A</v>
      </c>
    </row>
    <row r="59" spans="1:37" ht="14.25" hidden="1" customHeight="1" x14ac:dyDescent="0.3">
      <c r="A59" s="168" t="s">
        <v>199</v>
      </c>
      <c r="B59" s="168" t="s">
        <v>210</v>
      </c>
      <c r="C59" s="168" t="s">
        <v>919</v>
      </c>
      <c r="D59" s="168" t="s">
        <v>917</v>
      </c>
      <c r="E59" s="169">
        <v>4</v>
      </c>
      <c r="F59" s="170" t="e">
        <f>IF(A59="","",VLOOKUP(A59,Cotizador!$A$5:$J$43,2,FALSE))</f>
        <v>#N/A</v>
      </c>
      <c r="G59" s="171" t="e">
        <f>IF(A59="","",VLOOKUP(A59,Cotizador!$A$5:$J$43,3,FALSE))</f>
        <v>#N/A</v>
      </c>
      <c r="H59" s="147">
        <f>IF(OR(A59="",D59=""),"",IF(D59="Sin estampar",0,IF(D59="Pecho",VLOOKUP(A59,Cotizador!$A$5:$J$43,4,FALSE),IF(D59="Espalda",VLOOKUP(A59,Cotizador!$A$5:$J$43,5,FALSE),VLOOKUP(A59,Cotizador!$A$5:$J$43,4,FALSE)+VLOOKUP(A59,Cotizador!$A$5:$J$43,5,FALSE)))))</f>
        <v>0</v>
      </c>
      <c r="I59" s="147" t="e">
        <f>IF(A59="","",VLOOKUP(A59,Cotizador!$A$5:$J$43,6,FALSE))</f>
        <v>#N/A</v>
      </c>
      <c r="J59" s="147" t="e">
        <f>IF(A59="","",VLOOKUP(A59,Cotizador!$A$5:$J$43,7,FALSE))</f>
        <v>#N/A</v>
      </c>
      <c r="K59" s="172" t="e">
        <f t="shared" si="29"/>
        <v>#N/A</v>
      </c>
      <c r="L59" s="147" t="e">
        <f>IF(A59="","",IF(D59="Sin estampar",VLOOKUP(A59,Cotizador!$A$5:$J$43,8,FALSE),IF(D59="Pecho",VLOOKUP(A59,Cotizador!$A$5:$J$43,10,FALSE),VLOOKUP(A59,Cotizador!$A$5:$J$43,9,FALSE))))</f>
        <v>#N/A</v>
      </c>
      <c r="M59" s="173" t="e">
        <f t="shared" si="30"/>
        <v>#N/A</v>
      </c>
      <c r="N59" s="147" t="e">
        <f t="shared" si="31"/>
        <v>#N/A</v>
      </c>
      <c r="O59" s="157"/>
      <c r="P59" s="157" t="e">
        <f t="shared" si="32"/>
        <v>#N/A</v>
      </c>
      <c r="Q59" s="174" t="str">
        <f t="shared" si="33"/>
        <v>Camisa Oversize Peruana XL Perla</v>
      </c>
      <c r="R59" s="180" t="e">
        <f ca="1"/>
        <v>#NAME?</v>
      </c>
      <c r="S59" s="181"/>
      <c r="T59" s="176">
        <f t="shared" ca="1" si="34"/>
        <v>0</v>
      </c>
      <c r="V59" s="51" t="e">
        <f t="shared" si="35"/>
        <v>#N/A</v>
      </c>
      <c r="Y59" s="147" t="e">
        <f t="shared" si="36"/>
        <v>#N/A</v>
      </c>
      <c r="Z59" s="177" t="e">
        <f t="shared" si="37"/>
        <v>#N/A</v>
      </c>
      <c r="AA59" s="178"/>
      <c r="AB59" s="178" t="e">
        <f t="shared" si="38"/>
        <v>#N/A</v>
      </c>
      <c r="AC59" s="179" t="e">
        <f t="shared" si="39"/>
        <v>#N/A</v>
      </c>
      <c r="AD59" s="147" t="e">
        <f t="shared" si="40"/>
        <v>#N/A</v>
      </c>
      <c r="AE59" s="157" t="e">
        <f t="shared" si="41"/>
        <v>#N/A</v>
      </c>
      <c r="AF59" s="179" t="e">
        <f t="shared" si="42"/>
        <v>#N/A</v>
      </c>
      <c r="AG59" s="147" t="e">
        <f t="shared" si="43"/>
        <v>#N/A</v>
      </c>
      <c r="AH59" s="157" t="e">
        <f t="shared" si="44"/>
        <v>#N/A</v>
      </c>
      <c r="AI59" s="179" t="e">
        <f t="shared" si="45"/>
        <v>#N/A</v>
      </c>
      <c r="AJ59" s="147" t="e">
        <f t="shared" si="46"/>
        <v>#N/A</v>
      </c>
      <c r="AK59" s="157" t="e">
        <f t="shared" si="47"/>
        <v>#N/A</v>
      </c>
    </row>
    <row r="60" spans="1:37" ht="14.25" hidden="1" customHeight="1" x14ac:dyDescent="0.3">
      <c r="A60" s="168" t="s">
        <v>199</v>
      </c>
      <c r="B60" s="168" t="s">
        <v>200</v>
      </c>
      <c r="C60" s="168" t="s">
        <v>920</v>
      </c>
      <c r="D60" s="168" t="s">
        <v>917</v>
      </c>
      <c r="E60" s="169">
        <v>1</v>
      </c>
      <c r="F60" s="170" t="e">
        <f>IF(A60="","",VLOOKUP(A60,Cotizador!$A$5:$J$43,2,FALSE))</f>
        <v>#N/A</v>
      </c>
      <c r="G60" s="171" t="e">
        <f>IF(A60="","",VLOOKUP(A60,Cotizador!$A$5:$J$43,3,FALSE))</f>
        <v>#N/A</v>
      </c>
      <c r="H60" s="147">
        <f>IF(OR(A60="",D60=""),"",IF(D60="Sin estampar",0,IF(D60="Pecho",VLOOKUP(A60,Cotizador!$A$5:$J$43,4,FALSE),IF(D60="Espalda",VLOOKUP(A60,Cotizador!$A$5:$J$43,5,FALSE),VLOOKUP(A60,Cotizador!$A$5:$J$43,4,FALSE)+VLOOKUP(A60,Cotizador!$A$5:$J$43,5,FALSE)))))</f>
        <v>0</v>
      </c>
      <c r="I60" s="147" t="e">
        <f>IF(A60="","",VLOOKUP(A60,Cotizador!$A$5:$J$43,6,FALSE))</f>
        <v>#N/A</v>
      </c>
      <c r="J60" s="147" t="e">
        <f>IF(A60="","",VLOOKUP(A60,Cotizador!$A$5:$J$43,7,FALSE))</f>
        <v>#N/A</v>
      </c>
      <c r="K60" s="172" t="e">
        <f t="shared" si="29"/>
        <v>#N/A</v>
      </c>
      <c r="L60" s="147" t="e">
        <f>IF(A60="","",IF(D60="Sin estampar",VLOOKUP(A60,Cotizador!$A$5:$J$43,8,FALSE),IF(D60="Pecho",VLOOKUP(A60,Cotizador!$A$5:$J$43,10,FALSE),VLOOKUP(A60,Cotizador!$A$5:$J$43,9,FALSE))))</f>
        <v>#N/A</v>
      </c>
      <c r="M60" s="173" t="e">
        <f t="shared" si="30"/>
        <v>#N/A</v>
      </c>
      <c r="N60" s="147" t="e">
        <f t="shared" si="31"/>
        <v>#N/A</v>
      </c>
      <c r="O60" s="157"/>
      <c r="P60" s="157" t="e">
        <f t="shared" si="32"/>
        <v>#N/A</v>
      </c>
      <c r="Q60" s="174" t="str">
        <f t="shared" si="33"/>
        <v>Camisa Oversize Peruana S Beige</v>
      </c>
      <c r="R60" s="180" t="e">
        <f ca="1"/>
        <v>#NAME?</v>
      </c>
      <c r="S60" s="181"/>
      <c r="T60" s="176">
        <f t="shared" ca="1" si="34"/>
        <v>0</v>
      </c>
      <c r="V60" s="51" t="e">
        <f t="shared" si="35"/>
        <v>#N/A</v>
      </c>
      <c r="Y60" s="147" t="e">
        <f t="shared" si="36"/>
        <v>#N/A</v>
      </c>
      <c r="Z60" s="177" t="e">
        <f t="shared" si="37"/>
        <v>#N/A</v>
      </c>
      <c r="AA60" s="178"/>
      <c r="AB60" s="178" t="e">
        <f t="shared" si="38"/>
        <v>#N/A</v>
      </c>
      <c r="AC60" s="179" t="e">
        <f t="shared" si="39"/>
        <v>#N/A</v>
      </c>
      <c r="AD60" s="147" t="e">
        <f t="shared" si="40"/>
        <v>#N/A</v>
      </c>
      <c r="AE60" s="157" t="e">
        <f t="shared" si="41"/>
        <v>#N/A</v>
      </c>
      <c r="AF60" s="179" t="e">
        <f t="shared" si="42"/>
        <v>#N/A</v>
      </c>
      <c r="AG60" s="147" t="e">
        <f t="shared" si="43"/>
        <v>#N/A</v>
      </c>
      <c r="AH60" s="157" t="e">
        <f t="shared" si="44"/>
        <v>#N/A</v>
      </c>
      <c r="AI60" s="179" t="e">
        <f t="shared" si="45"/>
        <v>#N/A</v>
      </c>
      <c r="AJ60" s="147" t="e">
        <f t="shared" si="46"/>
        <v>#N/A</v>
      </c>
      <c r="AK60" s="157" t="e">
        <f t="shared" si="47"/>
        <v>#N/A</v>
      </c>
    </row>
    <row r="61" spans="1:37" ht="14.25" hidden="1" customHeight="1" x14ac:dyDescent="0.3">
      <c r="A61" s="168" t="s">
        <v>199</v>
      </c>
      <c r="B61" s="168" t="s">
        <v>204</v>
      </c>
      <c r="C61" s="168" t="s">
        <v>920</v>
      </c>
      <c r="D61" s="168" t="s">
        <v>917</v>
      </c>
      <c r="E61" s="169">
        <v>2</v>
      </c>
      <c r="F61" s="170" t="e">
        <f>IF(A61="","",VLOOKUP(A61,Cotizador!$A$5:$J$43,2,FALSE))</f>
        <v>#N/A</v>
      </c>
      <c r="G61" s="171" t="e">
        <f>IF(A61="","",VLOOKUP(A61,Cotizador!$A$5:$J$43,3,FALSE))</f>
        <v>#N/A</v>
      </c>
      <c r="H61" s="147">
        <f>IF(OR(A61="",D61=""),"",IF(D61="Sin estampar",0,IF(D61="Pecho",VLOOKUP(A61,Cotizador!$A$5:$J$43,4,FALSE),IF(D61="Espalda",VLOOKUP(A61,Cotizador!$A$5:$J$43,5,FALSE),VLOOKUP(A61,Cotizador!$A$5:$J$43,4,FALSE)+VLOOKUP(A61,Cotizador!$A$5:$J$43,5,FALSE)))))</f>
        <v>0</v>
      </c>
      <c r="I61" s="147" t="e">
        <f>IF(A61="","",VLOOKUP(A61,Cotizador!$A$5:$J$43,6,FALSE))</f>
        <v>#N/A</v>
      </c>
      <c r="J61" s="147" t="e">
        <f>IF(A61="","",VLOOKUP(A61,Cotizador!$A$5:$J$43,7,FALSE))</f>
        <v>#N/A</v>
      </c>
      <c r="K61" s="172" t="e">
        <f t="shared" si="29"/>
        <v>#N/A</v>
      </c>
      <c r="L61" s="147" t="e">
        <f>IF(A61="","",IF(D61="Sin estampar",VLOOKUP(A61,Cotizador!$A$5:$J$43,8,FALSE),IF(D61="Pecho",VLOOKUP(A61,Cotizador!$A$5:$J$43,10,FALSE),VLOOKUP(A61,Cotizador!$A$5:$J$43,9,FALSE))))</f>
        <v>#N/A</v>
      </c>
      <c r="M61" s="173" t="e">
        <f t="shared" si="30"/>
        <v>#N/A</v>
      </c>
      <c r="N61" s="147" t="e">
        <f t="shared" si="31"/>
        <v>#N/A</v>
      </c>
      <c r="O61" s="157"/>
      <c r="P61" s="157" t="e">
        <f t="shared" si="32"/>
        <v>#N/A</v>
      </c>
      <c r="Q61" s="174" t="str">
        <f t="shared" si="33"/>
        <v>Camisa Oversize Peruana M Beige</v>
      </c>
      <c r="R61" s="180" t="e">
        <f ca="1"/>
        <v>#NAME?</v>
      </c>
      <c r="S61" s="181"/>
      <c r="T61" s="176">
        <f t="shared" ca="1" si="34"/>
        <v>0</v>
      </c>
      <c r="V61" s="51" t="e">
        <f t="shared" si="35"/>
        <v>#N/A</v>
      </c>
      <c r="Y61" s="147" t="e">
        <f t="shared" si="36"/>
        <v>#N/A</v>
      </c>
      <c r="Z61" s="177" t="e">
        <f t="shared" si="37"/>
        <v>#N/A</v>
      </c>
      <c r="AA61" s="178"/>
      <c r="AB61" s="178" t="e">
        <f t="shared" si="38"/>
        <v>#N/A</v>
      </c>
      <c r="AC61" s="179" t="e">
        <f t="shared" si="39"/>
        <v>#N/A</v>
      </c>
      <c r="AD61" s="147" t="e">
        <f t="shared" si="40"/>
        <v>#N/A</v>
      </c>
      <c r="AE61" s="157" t="e">
        <f t="shared" si="41"/>
        <v>#N/A</v>
      </c>
      <c r="AF61" s="179" t="e">
        <f t="shared" si="42"/>
        <v>#N/A</v>
      </c>
      <c r="AG61" s="147" t="e">
        <f t="shared" si="43"/>
        <v>#N/A</v>
      </c>
      <c r="AH61" s="157" t="e">
        <f t="shared" si="44"/>
        <v>#N/A</v>
      </c>
      <c r="AI61" s="179" t="e">
        <f t="shared" si="45"/>
        <v>#N/A</v>
      </c>
      <c r="AJ61" s="147" t="e">
        <f t="shared" si="46"/>
        <v>#N/A</v>
      </c>
      <c r="AK61" s="157" t="e">
        <f t="shared" si="47"/>
        <v>#N/A</v>
      </c>
    </row>
    <row r="62" spans="1:37" ht="14.25" hidden="1" customHeight="1" x14ac:dyDescent="0.3">
      <c r="A62" s="168" t="s">
        <v>199</v>
      </c>
      <c r="B62" s="168" t="s">
        <v>207</v>
      </c>
      <c r="C62" s="168" t="s">
        <v>920</v>
      </c>
      <c r="D62" s="168" t="s">
        <v>917</v>
      </c>
      <c r="E62" s="169">
        <v>2</v>
      </c>
      <c r="F62" s="170" t="e">
        <f>IF(A62="","",VLOOKUP(A62,Cotizador!$A$5:$J$43,2,FALSE))</f>
        <v>#N/A</v>
      </c>
      <c r="G62" s="171" t="e">
        <f>IF(A62="","",VLOOKUP(A62,Cotizador!$A$5:$J$43,3,FALSE))</f>
        <v>#N/A</v>
      </c>
      <c r="H62" s="147">
        <f>IF(OR(A62="",D62=""),"",IF(D62="Sin estampar",0,IF(D62="Pecho",VLOOKUP(A62,Cotizador!$A$5:$J$43,4,FALSE),IF(D62="Espalda",VLOOKUP(A62,Cotizador!$A$5:$J$43,5,FALSE),VLOOKUP(A62,Cotizador!$A$5:$J$43,4,FALSE)+VLOOKUP(A62,Cotizador!$A$5:$J$43,5,FALSE)))))</f>
        <v>0</v>
      </c>
      <c r="I62" s="147" t="e">
        <f>IF(A62="","",VLOOKUP(A62,Cotizador!$A$5:$J$43,6,FALSE))</f>
        <v>#N/A</v>
      </c>
      <c r="J62" s="147" t="e">
        <f>IF(A62="","",VLOOKUP(A62,Cotizador!$A$5:$J$43,7,FALSE))</f>
        <v>#N/A</v>
      </c>
      <c r="K62" s="172" t="e">
        <f t="shared" si="29"/>
        <v>#N/A</v>
      </c>
      <c r="L62" s="147" t="e">
        <f>IF(A62="","",IF(D62="Sin estampar",VLOOKUP(A62,Cotizador!$A$5:$J$43,8,FALSE),IF(D62="Pecho",VLOOKUP(A62,Cotizador!$A$5:$J$43,10,FALSE),VLOOKUP(A62,Cotizador!$A$5:$J$43,9,FALSE))))</f>
        <v>#N/A</v>
      </c>
      <c r="M62" s="173" t="e">
        <f t="shared" si="30"/>
        <v>#N/A</v>
      </c>
      <c r="N62" s="147" t="e">
        <f t="shared" si="31"/>
        <v>#N/A</v>
      </c>
      <c r="O62" s="157"/>
      <c r="P62" s="157" t="e">
        <f t="shared" si="32"/>
        <v>#N/A</v>
      </c>
      <c r="Q62" s="174" t="str">
        <f t="shared" si="33"/>
        <v>Camisa Oversize Peruana L Beige</v>
      </c>
      <c r="R62" s="180" t="e">
        <f ca="1"/>
        <v>#NAME?</v>
      </c>
      <c r="S62" s="181"/>
      <c r="T62" s="176">
        <f t="shared" ca="1" si="34"/>
        <v>0</v>
      </c>
      <c r="V62" s="51" t="e">
        <f t="shared" si="35"/>
        <v>#N/A</v>
      </c>
      <c r="Y62" s="147" t="e">
        <f t="shared" si="36"/>
        <v>#N/A</v>
      </c>
      <c r="Z62" s="177" t="e">
        <f t="shared" si="37"/>
        <v>#N/A</v>
      </c>
      <c r="AA62" s="178"/>
      <c r="AB62" s="178" t="e">
        <f t="shared" si="38"/>
        <v>#N/A</v>
      </c>
      <c r="AC62" s="179" t="e">
        <f t="shared" si="39"/>
        <v>#N/A</v>
      </c>
      <c r="AD62" s="147" t="e">
        <f t="shared" si="40"/>
        <v>#N/A</v>
      </c>
      <c r="AE62" s="157" t="e">
        <f t="shared" si="41"/>
        <v>#N/A</v>
      </c>
      <c r="AF62" s="179" t="e">
        <f t="shared" si="42"/>
        <v>#N/A</v>
      </c>
      <c r="AG62" s="147" t="e">
        <f t="shared" si="43"/>
        <v>#N/A</v>
      </c>
      <c r="AH62" s="157" t="e">
        <f t="shared" si="44"/>
        <v>#N/A</v>
      </c>
      <c r="AI62" s="179" t="e">
        <f t="shared" si="45"/>
        <v>#N/A</v>
      </c>
      <c r="AJ62" s="147" t="e">
        <f t="shared" si="46"/>
        <v>#N/A</v>
      </c>
      <c r="AK62" s="157" t="e">
        <f t="shared" si="47"/>
        <v>#N/A</v>
      </c>
    </row>
    <row r="63" spans="1:37" ht="14.25" hidden="1" customHeight="1" x14ac:dyDescent="0.3">
      <c r="A63" s="168" t="s">
        <v>199</v>
      </c>
      <c r="B63" s="168" t="s">
        <v>210</v>
      </c>
      <c r="C63" s="168" t="s">
        <v>920</v>
      </c>
      <c r="D63" s="168" t="s">
        <v>917</v>
      </c>
      <c r="E63" s="169">
        <v>2</v>
      </c>
      <c r="F63" s="170" t="e">
        <f>IF(A63="","",VLOOKUP(A63,Cotizador!$A$5:$J$43,2,FALSE))</f>
        <v>#N/A</v>
      </c>
      <c r="G63" s="171" t="e">
        <f>IF(A63="","",VLOOKUP(A63,Cotizador!$A$5:$J$43,3,FALSE))</f>
        <v>#N/A</v>
      </c>
      <c r="H63" s="147">
        <f>IF(OR(A63="",D63=""),"",IF(D63="Sin estampar",0,IF(D63="Pecho",VLOOKUP(A63,Cotizador!$A$5:$J$43,4,FALSE),IF(D63="Espalda",VLOOKUP(A63,Cotizador!$A$5:$J$43,5,FALSE),VLOOKUP(A63,Cotizador!$A$5:$J$43,4,FALSE)+VLOOKUP(A63,Cotizador!$A$5:$J$43,5,FALSE)))))</f>
        <v>0</v>
      </c>
      <c r="I63" s="147" t="e">
        <f>IF(A63="","",VLOOKUP(A63,Cotizador!$A$5:$J$43,6,FALSE))</f>
        <v>#N/A</v>
      </c>
      <c r="J63" s="147" t="e">
        <f>IF(A63="","",VLOOKUP(A63,Cotizador!$A$5:$J$43,7,FALSE))</f>
        <v>#N/A</v>
      </c>
      <c r="K63" s="172" t="e">
        <f t="shared" si="29"/>
        <v>#N/A</v>
      </c>
      <c r="L63" s="147" t="e">
        <f>IF(A63="","",IF(D63="Sin estampar",VLOOKUP(A63,Cotizador!$A$5:$J$43,8,FALSE),IF(D63="Pecho",VLOOKUP(A63,Cotizador!$A$5:$J$43,10,FALSE),VLOOKUP(A63,Cotizador!$A$5:$J$43,9,FALSE))))</f>
        <v>#N/A</v>
      </c>
      <c r="M63" s="173" t="e">
        <f t="shared" si="30"/>
        <v>#N/A</v>
      </c>
      <c r="N63" s="147" t="e">
        <f t="shared" si="31"/>
        <v>#N/A</v>
      </c>
      <c r="O63" s="157"/>
      <c r="P63" s="157" t="e">
        <f t="shared" si="32"/>
        <v>#N/A</v>
      </c>
      <c r="Q63" s="174" t="str">
        <f t="shared" si="33"/>
        <v>Camisa Oversize Peruana XL Beige</v>
      </c>
      <c r="R63" s="180" t="e">
        <f ca="1"/>
        <v>#NAME?</v>
      </c>
      <c r="S63" s="181"/>
      <c r="T63" s="176">
        <f t="shared" ca="1" si="34"/>
        <v>0</v>
      </c>
      <c r="V63" s="51" t="e">
        <f t="shared" si="35"/>
        <v>#N/A</v>
      </c>
      <c r="Y63" s="147" t="e">
        <f t="shared" si="36"/>
        <v>#N/A</v>
      </c>
      <c r="Z63" s="177" t="e">
        <f t="shared" si="37"/>
        <v>#N/A</v>
      </c>
      <c r="AA63" s="178"/>
      <c r="AB63" s="178" t="e">
        <f t="shared" si="38"/>
        <v>#N/A</v>
      </c>
      <c r="AC63" s="179" t="e">
        <f t="shared" si="39"/>
        <v>#N/A</v>
      </c>
      <c r="AD63" s="147" t="e">
        <f t="shared" si="40"/>
        <v>#N/A</v>
      </c>
      <c r="AE63" s="157" t="e">
        <f t="shared" si="41"/>
        <v>#N/A</v>
      </c>
      <c r="AF63" s="179" t="e">
        <f t="shared" si="42"/>
        <v>#N/A</v>
      </c>
      <c r="AG63" s="147" t="e">
        <f t="shared" si="43"/>
        <v>#N/A</v>
      </c>
      <c r="AH63" s="157" t="e">
        <f t="shared" si="44"/>
        <v>#N/A</v>
      </c>
      <c r="AI63" s="179" t="e">
        <f t="shared" si="45"/>
        <v>#N/A</v>
      </c>
      <c r="AJ63" s="147" t="e">
        <f t="shared" si="46"/>
        <v>#N/A</v>
      </c>
      <c r="AK63" s="157" t="e">
        <f t="shared" si="47"/>
        <v>#N/A</v>
      </c>
    </row>
    <row r="64" spans="1:37" ht="14.25" hidden="1" customHeight="1" x14ac:dyDescent="0.3">
      <c r="A64" s="168" t="s">
        <v>199</v>
      </c>
      <c r="B64" s="168" t="s">
        <v>200</v>
      </c>
      <c r="C64" s="168" t="s">
        <v>921</v>
      </c>
      <c r="D64" s="168" t="s">
        <v>917</v>
      </c>
      <c r="E64" s="169">
        <v>1</v>
      </c>
      <c r="F64" s="170" t="e">
        <f>IF(A64="","",VLOOKUP(A64,Cotizador!$A$5:$J$43,2,FALSE))</f>
        <v>#N/A</v>
      </c>
      <c r="G64" s="171" t="e">
        <f>IF(A64="","",VLOOKUP(A64,Cotizador!$A$5:$J$43,3,FALSE))</f>
        <v>#N/A</v>
      </c>
      <c r="H64" s="147">
        <f>IF(OR(A64="",D64=""),"",IF(D64="Sin estampar",0,IF(D64="Pecho",VLOOKUP(A64,Cotizador!$A$5:$J$43,4,FALSE),IF(D64="Espalda",VLOOKUP(A64,Cotizador!$A$5:$J$43,5,FALSE),VLOOKUP(A64,Cotizador!$A$5:$J$43,4,FALSE)+VLOOKUP(A64,Cotizador!$A$5:$J$43,5,FALSE)))))</f>
        <v>0</v>
      </c>
      <c r="I64" s="147" t="e">
        <f>IF(A64="","",VLOOKUP(A64,Cotizador!$A$5:$J$43,6,FALSE))</f>
        <v>#N/A</v>
      </c>
      <c r="J64" s="147" t="e">
        <f>IF(A64="","",VLOOKUP(A64,Cotizador!$A$5:$J$43,7,FALSE))</f>
        <v>#N/A</v>
      </c>
      <c r="K64" s="172" t="e">
        <f t="shared" si="29"/>
        <v>#N/A</v>
      </c>
      <c r="L64" s="147" t="e">
        <f>IF(A64="","",IF(D64="Sin estampar",VLOOKUP(A64,Cotizador!$A$5:$J$43,8,FALSE),IF(D64="Pecho",VLOOKUP(A64,Cotizador!$A$5:$J$43,10,FALSE),VLOOKUP(A64,Cotizador!$A$5:$J$43,9,FALSE))))</f>
        <v>#N/A</v>
      </c>
      <c r="M64" s="173" t="e">
        <f t="shared" si="30"/>
        <v>#N/A</v>
      </c>
      <c r="N64" s="147" t="e">
        <f t="shared" si="31"/>
        <v>#N/A</v>
      </c>
      <c r="O64" s="157"/>
      <c r="P64" s="157" t="e">
        <f t="shared" si="32"/>
        <v>#N/A</v>
      </c>
      <c r="Q64" s="174" t="str">
        <f t="shared" si="33"/>
        <v>Camisa Oversize Peruana S Plomo Plata</v>
      </c>
      <c r="R64" s="180" t="e">
        <f ca="1"/>
        <v>#NAME?</v>
      </c>
      <c r="S64" s="181"/>
      <c r="T64" s="176">
        <f t="shared" ca="1" si="34"/>
        <v>0</v>
      </c>
      <c r="U64" s="6"/>
      <c r="V64" s="51" t="e">
        <f t="shared" si="35"/>
        <v>#N/A</v>
      </c>
      <c r="Y64" s="147" t="e">
        <f t="shared" si="36"/>
        <v>#N/A</v>
      </c>
      <c r="Z64" s="177" t="e">
        <f t="shared" si="37"/>
        <v>#N/A</v>
      </c>
      <c r="AA64" s="178"/>
      <c r="AB64" s="178" t="e">
        <f t="shared" si="38"/>
        <v>#N/A</v>
      </c>
      <c r="AC64" s="179" t="e">
        <f t="shared" si="39"/>
        <v>#N/A</v>
      </c>
      <c r="AD64" s="147" t="e">
        <f t="shared" si="40"/>
        <v>#N/A</v>
      </c>
      <c r="AE64" s="157" t="e">
        <f t="shared" si="41"/>
        <v>#N/A</v>
      </c>
      <c r="AF64" s="179" t="e">
        <f t="shared" si="42"/>
        <v>#N/A</v>
      </c>
      <c r="AG64" s="147" t="e">
        <f t="shared" si="43"/>
        <v>#N/A</v>
      </c>
      <c r="AH64" s="157" t="e">
        <f t="shared" si="44"/>
        <v>#N/A</v>
      </c>
      <c r="AI64" s="179" t="e">
        <f t="shared" si="45"/>
        <v>#N/A</v>
      </c>
      <c r="AJ64" s="147" t="e">
        <f t="shared" si="46"/>
        <v>#N/A</v>
      </c>
      <c r="AK64" s="157" t="e">
        <f t="shared" si="47"/>
        <v>#N/A</v>
      </c>
    </row>
    <row r="65" spans="1:37" ht="14.25" hidden="1" customHeight="1" x14ac:dyDescent="0.3">
      <c r="A65" s="168" t="s">
        <v>199</v>
      </c>
      <c r="B65" s="168" t="s">
        <v>204</v>
      </c>
      <c r="C65" s="168" t="s">
        <v>921</v>
      </c>
      <c r="D65" s="168" t="s">
        <v>917</v>
      </c>
      <c r="E65" s="169">
        <v>2</v>
      </c>
      <c r="F65" s="170" t="e">
        <f>IF(A65="","",VLOOKUP(A65,Cotizador!$A$5:$J$43,2,FALSE))</f>
        <v>#N/A</v>
      </c>
      <c r="G65" s="171" t="e">
        <f>IF(A65="","",VLOOKUP(A65,Cotizador!$A$5:$J$43,3,FALSE))</f>
        <v>#N/A</v>
      </c>
      <c r="H65" s="147">
        <f>IF(OR(A65="",D65=""),"",IF(D65="Sin estampar",0,IF(D65="Pecho",VLOOKUP(A65,Cotizador!$A$5:$J$43,4,FALSE),IF(D65="Espalda",VLOOKUP(A65,Cotizador!$A$5:$J$43,5,FALSE),VLOOKUP(A65,Cotizador!$A$5:$J$43,4,FALSE)+VLOOKUP(A65,Cotizador!$A$5:$J$43,5,FALSE)))))</f>
        <v>0</v>
      </c>
      <c r="I65" s="147" t="e">
        <f>IF(A65="","",VLOOKUP(A65,Cotizador!$A$5:$J$43,6,FALSE))</f>
        <v>#N/A</v>
      </c>
      <c r="J65" s="147" t="e">
        <f>IF(A65="","",VLOOKUP(A65,Cotizador!$A$5:$J$43,7,FALSE))</f>
        <v>#N/A</v>
      </c>
      <c r="K65" s="172" t="e">
        <f t="shared" si="29"/>
        <v>#N/A</v>
      </c>
      <c r="L65" s="147" t="e">
        <f>IF(A65="","",IF(D65="Sin estampar",VLOOKUP(A65,Cotizador!$A$5:$J$43,8,FALSE),IF(D65="Pecho",VLOOKUP(A65,Cotizador!$A$5:$J$43,10,FALSE),VLOOKUP(A65,Cotizador!$A$5:$J$43,9,FALSE))))</f>
        <v>#N/A</v>
      </c>
      <c r="M65" s="173" t="e">
        <f t="shared" si="30"/>
        <v>#N/A</v>
      </c>
      <c r="N65" s="147" t="e">
        <f t="shared" si="31"/>
        <v>#N/A</v>
      </c>
      <c r="O65" s="157"/>
      <c r="P65" s="157" t="e">
        <f t="shared" si="32"/>
        <v>#N/A</v>
      </c>
      <c r="Q65" s="174" t="str">
        <f t="shared" si="33"/>
        <v>Camisa Oversize Peruana M Plomo Plata</v>
      </c>
      <c r="R65" s="180" t="e">
        <f ca="1"/>
        <v>#NAME?</v>
      </c>
      <c r="S65" s="181"/>
      <c r="T65" s="176">
        <f t="shared" ca="1" si="34"/>
        <v>0</v>
      </c>
      <c r="U65" s="6"/>
      <c r="V65" s="51" t="e">
        <f t="shared" si="35"/>
        <v>#N/A</v>
      </c>
      <c r="Y65" s="147" t="e">
        <f t="shared" si="36"/>
        <v>#N/A</v>
      </c>
      <c r="Z65" s="177" t="e">
        <f t="shared" si="37"/>
        <v>#N/A</v>
      </c>
      <c r="AA65" s="178"/>
      <c r="AB65" s="178" t="e">
        <f t="shared" si="38"/>
        <v>#N/A</v>
      </c>
      <c r="AC65" s="179" t="e">
        <f t="shared" si="39"/>
        <v>#N/A</v>
      </c>
      <c r="AD65" s="147" t="e">
        <f t="shared" si="40"/>
        <v>#N/A</v>
      </c>
      <c r="AE65" s="157" t="e">
        <f t="shared" si="41"/>
        <v>#N/A</v>
      </c>
      <c r="AF65" s="179" t="e">
        <f t="shared" si="42"/>
        <v>#N/A</v>
      </c>
      <c r="AG65" s="147" t="e">
        <f t="shared" si="43"/>
        <v>#N/A</v>
      </c>
      <c r="AH65" s="157" t="e">
        <f t="shared" si="44"/>
        <v>#N/A</v>
      </c>
      <c r="AI65" s="179" t="e">
        <f t="shared" si="45"/>
        <v>#N/A</v>
      </c>
      <c r="AJ65" s="147" t="e">
        <f t="shared" si="46"/>
        <v>#N/A</v>
      </c>
      <c r="AK65" s="157" t="e">
        <f t="shared" si="47"/>
        <v>#N/A</v>
      </c>
    </row>
    <row r="66" spans="1:37" ht="14.25" hidden="1" customHeight="1" x14ac:dyDescent="0.3">
      <c r="A66" s="168" t="s">
        <v>199</v>
      </c>
      <c r="B66" s="168" t="s">
        <v>207</v>
      </c>
      <c r="C66" s="168" t="s">
        <v>921</v>
      </c>
      <c r="D66" s="168" t="s">
        <v>917</v>
      </c>
      <c r="E66" s="169">
        <v>2</v>
      </c>
      <c r="F66" s="170" t="e">
        <f>IF(A66="","",VLOOKUP(A66,Cotizador!$A$5:$J$43,2,FALSE))</f>
        <v>#N/A</v>
      </c>
      <c r="G66" s="171" t="e">
        <f>IF(A66="","",VLOOKUP(A66,Cotizador!$A$5:$J$43,3,FALSE))</f>
        <v>#N/A</v>
      </c>
      <c r="H66" s="147">
        <f>IF(OR(A66="",D66=""),"",IF(D66="Sin estampar",0,IF(D66="Pecho",VLOOKUP(A66,Cotizador!$A$5:$J$43,4,FALSE),IF(D66="Espalda",VLOOKUP(A66,Cotizador!$A$5:$J$43,5,FALSE),VLOOKUP(A66,Cotizador!$A$5:$J$43,4,FALSE)+VLOOKUP(A66,Cotizador!$A$5:$J$43,5,FALSE)))))</f>
        <v>0</v>
      </c>
      <c r="I66" s="147" t="e">
        <f>IF(A66="","",VLOOKUP(A66,Cotizador!$A$5:$J$43,6,FALSE))</f>
        <v>#N/A</v>
      </c>
      <c r="J66" s="147" t="e">
        <f>IF(A66="","",VLOOKUP(A66,Cotizador!$A$5:$J$43,7,FALSE))</f>
        <v>#N/A</v>
      </c>
      <c r="K66" s="172" t="e">
        <f t="shared" si="29"/>
        <v>#N/A</v>
      </c>
      <c r="L66" s="147" t="e">
        <f>IF(A66="","",IF(D66="Sin estampar",VLOOKUP(A66,Cotizador!$A$5:$J$43,8,FALSE),IF(D66="Pecho",VLOOKUP(A66,Cotizador!$A$5:$J$43,10,FALSE),VLOOKUP(A66,Cotizador!$A$5:$J$43,9,FALSE))))</f>
        <v>#N/A</v>
      </c>
      <c r="M66" s="173" t="e">
        <f t="shared" si="30"/>
        <v>#N/A</v>
      </c>
      <c r="N66" s="147" t="e">
        <f t="shared" si="31"/>
        <v>#N/A</v>
      </c>
      <c r="O66" s="157"/>
      <c r="P66" s="157" t="e">
        <f t="shared" si="32"/>
        <v>#N/A</v>
      </c>
      <c r="Q66" s="174" t="str">
        <f t="shared" si="33"/>
        <v>Camisa Oversize Peruana L Plomo Plata</v>
      </c>
      <c r="R66" s="180" t="e">
        <f ca="1"/>
        <v>#NAME?</v>
      </c>
      <c r="S66" s="181"/>
      <c r="T66" s="176">
        <f t="shared" ca="1" si="34"/>
        <v>0</v>
      </c>
      <c r="U66" s="6"/>
      <c r="V66" s="51" t="e">
        <f t="shared" si="35"/>
        <v>#N/A</v>
      </c>
      <c r="Y66" s="147" t="e">
        <f t="shared" si="36"/>
        <v>#N/A</v>
      </c>
      <c r="Z66" s="177" t="e">
        <f t="shared" si="37"/>
        <v>#N/A</v>
      </c>
      <c r="AA66" s="178"/>
      <c r="AB66" s="178" t="e">
        <f t="shared" si="38"/>
        <v>#N/A</v>
      </c>
      <c r="AC66" s="179" t="e">
        <f t="shared" si="39"/>
        <v>#N/A</v>
      </c>
      <c r="AD66" s="147" t="e">
        <f t="shared" si="40"/>
        <v>#N/A</v>
      </c>
      <c r="AE66" s="157" t="e">
        <f t="shared" si="41"/>
        <v>#N/A</v>
      </c>
      <c r="AF66" s="179" t="e">
        <f t="shared" si="42"/>
        <v>#N/A</v>
      </c>
      <c r="AG66" s="147" t="e">
        <f t="shared" si="43"/>
        <v>#N/A</v>
      </c>
      <c r="AH66" s="157" t="e">
        <f t="shared" si="44"/>
        <v>#N/A</v>
      </c>
      <c r="AI66" s="179" t="e">
        <f t="shared" si="45"/>
        <v>#N/A</v>
      </c>
      <c r="AJ66" s="147" t="e">
        <f t="shared" si="46"/>
        <v>#N/A</v>
      </c>
      <c r="AK66" s="157" t="e">
        <f t="shared" si="47"/>
        <v>#N/A</v>
      </c>
    </row>
    <row r="67" spans="1:37" ht="14.25" hidden="1" customHeight="1" x14ac:dyDescent="0.3">
      <c r="A67" s="168" t="s">
        <v>199</v>
      </c>
      <c r="B67" s="168" t="s">
        <v>210</v>
      </c>
      <c r="C67" s="168" t="s">
        <v>921</v>
      </c>
      <c r="D67" s="168" t="s">
        <v>917</v>
      </c>
      <c r="E67" s="169">
        <v>2</v>
      </c>
      <c r="F67" s="170" t="e">
        <f>IF(A67="","",VLOOKUP(A67,Cotizador!$A$5:$J$43,2,FALSE))</f>
        <v>#N/A</v>
      </c>
      <c r="G67" s="171" t="e">
        <f>IF(A67="","",VLOOKUP(A67,Cotizador!$A$5:$J$43,3,FALSE))</f>
        <v>#N/A</v>
      </c>
      <c r="H67" s="147">
        <f>IF(OR(A67="",D67=""),"",IF(D67="Sin estampar",0,IF(D67="Pecho",VLOOKUP(A67,Cotizador!$A$5:$J$43,4,FALSE),IF(D67="Espalda",VLOOKUP(A67,Cotizador!$A$5:$J$43,5,FALSE),VLOOKUP(A67,Cotizador!$A$5:$J$43,4,FALSE)+VLOOKUP(A67,Cotizador!$A$5:$J$43,5,FALSE)))))</f>
        <v>0</v>
      </c>
      <c r="I67" s="147" t="e">
        <f>IF(A67="","",VLOOKUP(A67,Cotizador!$A$5:$J$43,6,FALSE))</f>
        <v>#N/A</v>
      </c>
      <c r="J67" s="147" t="e">
        <f>IF(A67="","",VLOOKUP(A67,Cotizador!$A$5:$J$43,7,FALSE))</f>
        <v>#N/A</v>
      </c>
      <c r="K67" s="172" t="e">
        <f t="shared" si="29"/>
        <v>#N/A</v>
      </c>
      <c r="L67" s="147" t="e">
        <f>IF(A67="","",IF(D67="Sin estampar",VLOOKUP(A67,Cotizador!$A$5:$J$43,8,FALSE),IF(D67="Pecho",VLOOKUP(A67,Cotizador!$A$5:$J$43,10,FALSE),VLOOKUP(A67,Cotizador!$A$5:$J$43,9,FALSE))))</f>
        <v>#N/A</v>
      </c>
      <c r="M67" s="173" t="e">
        <f t="shared" si="30"/>
        <v>#N/A</v>
      </c>
      <c r="N67" s="147" t="e">
        <f t="shared" si="31"/>
        <v>#N/A</v>
      </c>
      <c r="O67" s="157"/>
      <c r="P67" s="157" t="e">
        <f t="shared" si="32"/>
        <v>#N/A</v>
      </c>
      <c r="Q67" s="174" t="str">
        <f t="shared" si="33"/>
        <v>Camisa Oversize Peruana XL Plomo Plata</v>
      </c>
      <c r="R67" s="180" t="e">
        <f ca="1"/>
        <v>#NAME?</v>
      </c>
      <c r="S67" s="181"/>
      <c r="T67" s="176">
        <f t="shared" ca="1" si="34"/>
        <v>0</v>
      </c>
      <c r="U67" s="6"/>
      <c r="V67" s="51" t="e">
        <f t="shared" si="35"/>
        <v>#N/A</v>
      </c>
      <c r="Y67" s="147" t="e">
        <f t="shared" si="36"/>
        <v>#N/A</v>
      </c>
      <c r="Z67" s="177" t="e">
        <f t="shared" si="37"/>
        <v>#N/A</v>
      </c>
      <c r="AA67" s="178"/>
      <c r="AB67" s="178" t="e">
        <f t="shared" si="38"/>
        <v>#N/A</v>
      </c>
      <c r="AC67" s="179" t="e">
        <f t="shared" si="39"/>
        <v>#N/A</v>
      </c>
      <c r="AD67" s="147" t="e">
        <f t="shared" si="40"/>
        <v>#N/A</v>
      </c>
      <c r="AE67" s="157" t="e">
        <f t="shared" si="41"/>
        <v>#N/A</v>
      </c>
      <c r="AF67" s="179" t="e">
        <f t="shared" si="42"/>
        <v>#N/A</v>
      </c>
      <c r="AG67" s="147" t="e">
        <f t="shared" si="43"/>
        <v>#N/A</v>
      </c>
      <c r="AH67" s="157" t="e">
        <f t="shared" si="44"/>
        <v>#N/A</v>
      </c>
      <c r="AI67" s="179" t="e">
        <f t="shared" si="45"/>
        <v>#N/A</v>
      </c>
      <c r="AJ67" s="147" t="e">
        <f t="shared" si="46"/>
        <v>#N/A</v>
      </c>
      <c r="AK67" s="157" t="e">
        <f t="shared" si="47"/>
        <v>#N/A</v>
      </c>
    </row>
    <row r="68" spans="1:37" ht="14.25" hidden="1" customHeight="1" x14ac:dyDescent="0.3">
      <c r="A68" s="168" t="s">
        <v>199</v>
      </c>
      <c r="B68" s="168" t="s">
        <v>200</v>
      </c>
      <c r="C68" s="168" t="s">
        <v>921</v>
      </c>
      <c r="D68" s="168" t="s">
        <v>922</v>
      </c>
      <c r="E68" s="169">
        <v>1</v>
      </c>
      <c r="F68" s="170" t="e">
        <f>IF(A68="","",VLOOKUP(A68,Cotizador!$A$5:$J$43,2,FALSE))</f>
        <v>#N/A</v>
      </c>
      <c r="G68" s="171" t="e">
        <f>IF(A68="","",VLOOKUP(A68,Cotizador!$A$5:$J$43,3,FALSE))</f>
        <v>#N/A</v>
      </c>
      <c r="H68" s="147" t="e">
        <f>IF(OR(A68="",D68=""),"",IF(D68="Sin estampar",0,IF(D68="Pecho",VLOOKUP(A68,Cotizador!$A$5:$J$43,4,FALSE),IF(D68="Espalda",VLOOKUP(A68,Cotizador!$A$5:$J$43,5,FALSE),VLOOKUP(A68,Cotizador!$A$5:$J$43,4,FALSE)+VLOOKUP(A68,Cotizador!$A$5:$J$43,5,FALSE)))))</f>
        <v>#N/A</v>
      </c>
      <c r="I68" s="147" t="e">
        <f>IF(A68="","",VLOOKUP(A68,Cotizador!$A$5:$J$43,6,FALSE))</f>
        <v>#N/A</v>
      </c>
      <c r="J68" s="147" t="e">
        <f>IF(A68="","",VLOOKUP(A68,Cotizador!$A$5:$J$43,7,FALSE))</f>
        <v>#N/A</v>
      </c>
      <c r="K68" s="172" t="e">
        <f t="shared" si="29"/>
        <v>#N/A</v>
      </c>
      <c r="L68" s="147" t="e">
        <f>IF(A68="","",IF(D68="Sin estampar",VLOOKUP(A68,Cotizador!$A$5:$J$43,8,FALSE),IF(D68="Pecho",VLOOKUP(A68,Cotizador!$A$5:$J$43,10,FALSE),VLOOKUP(A68,Cotizador!$A$5:$J$43,9,FALSE))))</f>
        <v>#N/A</v>
      </c>
      <c r="M68" s="173" t="e">
        <f t="shared" si="30"/>
        <v>#N/A</v>
      </c>
      <c r="N68" s="147" t="e">
        <f t="shared" si="31"/>
        <v>#N/A</v>
      </c>
      <c r="O68" s="157"/>
      <c r="P68" s="157" t="e">
        <f t="shared" si="32"/>
        <v>#N/A</v>
      </c>
      <c r="Q68" s="174" t="str">
        <f t="shared" si="33"/>
        <v>Camisa Oversize Peruana S Plomo Plata</v>
      </c>
      <c r="R68" s="180" t="e">
        <f ca="1"/>
        <v>#NAME?</v>
      </c>
      <c r="S68" s="181"/>
      <c r="T68" s="176">
        <f t="shared" ca="1" si="34"/>
        <v>0</v>
      </c>
      <c r="U68" s="6"/>
      <c r="V68" s="51" t="e">
        <f t="shared" si="35"/>
        <v>#N/A</v>
      </c>
      <c r="Y68" s="147" t="e">
        <f t="shared" si="36"/>
        <v>#N/A</v>
      </c>
      <c r="Z68" s="177" t="e">
        <f t="shared" si="37"/>
        <v>#N/A</v>
      </c>
      <c r="AA68" s="178"/>
      <c r="AB68" s="178" t="e">
        <f t="shared" si="38"/>
        <v>#N/A</v>
      </c>
      <c r="AC68" s="179" t="e">
        <f t="shared" si="39"/>
        <v>#N/A</v>
      </c>
      <c r="AD68" s="147" t="e">
        <f t="shared" si="40"/>
        <v>#N/A</v>
      </c>
      <c r="AE68" s="157" t="e">
        <f t="shared" si="41"/>
        <v>#N/A</v>
      </c>
      <c r="AF68" s="179" t="e">
        <f t="shared" si="42"/>
        <v>#N/A</v>
      </c>
      <c r="AG68" s="147" t="e">
        <f t="shared" si="43"/>
        <v>#N/A</v>
      </c>
      <c r="AH68" s="157" t="e">
        <f t="shared" si="44"/>
        <v>#N/A</v>
      </c>
      <c r="AI68" s="179" t="e">
        <f t="shared" si="45"/>
        <v>#N/A</v>
      </c>
      <c r="AJ68" s="147" t="e">
        <f t="shared" si="46"/>
        <v>#N/A</v>
      </c>
      <c r="AK68" s="157" t="e">
        <f t="shared" si="47"/>
        <v>#N/A</v>
      </c>
    </row>
    <row r="69" spans="1:37" ht="14.25" hidden="1" customHeight="1" x14ac:dyDescent="0.3">
      <c r="A69" s="168" t="s">
        <v>199</v>
      </c>
      <c r="B69" s="168" t="s">
        <v>204</v>
      </c>
      <c r="C69" s="168" t="s">
        <v>921</v>
      </c>
      <c r="D69" s="168" t="s">
        <v>922</v>
      </c>
      <c r="E69" s="169">
        <v>2</v>
      </c>
      <c r="F69" s="170" t="e">
        <f>IF(A69="","",VLOOKUP(A69,Cotizador!$A$5:$J$43,2,FALSE))</f>
        <v>#N/A</v>
      </c>
      <c r="G69" s="171" t="e">
        <f>IF(A69="","",VLOOKUP(A69,Cotizador!$A$5:$J$43,3,FALSE))</f>
        <v>#N/A</v>
      </c>
      <c r="H69" s="147" t="e">
        <f>IF(OR(A69="",D69=""),"",IF(D69="Sin estampar",0,IF(D69="Pecho",VLOOKUP(A69,Cotizador!$A$5:$J$43,4,FALSE),IF(D69="Espalda",VLOOKUP(A69,Cotizador!$A$5:$J$43,5,FALSE),VLOOKUP(A69,Cotizador!$A$5:$J$43,4,FALSE)+VLOOKUP(A69,Cotizador!$A$5:$J$43,5,FALSE)))))</f>
        <v>#N/A</v>
      </c>
      <c r="I69" s="147" t="e">
        <f>IF(A69="","",VLOOKUP(A69,Cotizador!$A$5:$J$43,6,FALSE))</f>
        <v>#N/A</v>
      </c>
      <c r="J69" s="147" t="e">
        <f>IF(A69="","",VLOOKUP(A69,Cotizador!$A$5:$J$43,7,FALSE))</f>
        <v>#N/A</v>
      </c>
      <c r="K69" s="172" t="e">
        <f t="shared" si="29"/>
        <v>#N/A</v>
      </c>
      <c r="L69" s="147" t="e">
        <f>IF(A69="","",IF(D69="Sin estampar",VLOOKUP(A69,Cotizador!$A$5:$J$43,8,FALSE),IF(D69="Pecho",VLOOKUP(A69,Cotizador!$A$5:$J$43,10,FALSE),VLOOKUP(A69,Cotizador!$A$5:$J$43,9,FALSE))))</f>
        <v>#N/A</v>
      </c>
      <c r="M69" s="173" t="e">
        <f t="shared" si="30"/>
        <v>#N/A</v>
      </c>
      <c r="N69" s="147" t="e">
        <f t="shared" si="31"/>
        <v>#N/A</v>
      </c>
      <c r="O69" s="157"/>
      <c r="P69" s="157" t="e">
        <f t="shared" si="32"/>
        <v>#N/A</v>
      </c>
      <c r="Q69" s="174" t="str">
        <f t="shared" si="33"/>
        <v>Camisa Oversize Peruana M Plomo Plata</v>
      </c>
      <c r="R69" s="180" t="e">
        <f ca="1"/>
        <v>#NAME?</v>
      </c>
      <c r="S69" s="181"/>
      <c r="T69" s="176">
        <f t="shared" ca="1" si="34"/>
        <v>0</v>
      </c>
      <c r="U69" s="6"/>
      <c r="V69" s="51" t="e">
        <f t="shared" si="35"/>
        <v>#N/A</v>
      </c>
      <c r="Y69" s="147" t="e">
        <f t="shared" si="36"/>
        <v>#N/A</v>
      </c>
      <c r="Z69" s="177" t="e">
        <f t="shared" si="37"/>
        <v>#N/A</v>
      </c>
      <c r="AA69" s="178"/>
      <c r="AB69" s="178" t="e">
        <f t="shared" si="38"/>
        <v>#N/A</v>
      </c>
      <c r="AC69" s="179" t="e">
        <f t="shared" si="39"/>
        <v>#N/A</v>
      </c>
      <c r="AD69" s="147" t="e">
        <f t="shared" si="40"/>
        <v>#N/A</v>
      </c>
      <c r="AE69" s="157" t="e">
        <f t="shared" si="41"/>
        <v>#N/A</v>
      </c>
      <c r="AF69" s="179" t="e">
        <f t="shared" si="42"/>
        <v>#N/A</v>
      </c>
      <c r="AG69" s="147" t="e">
        <f t="shared" si="43"/>
        <v>#N/A</v>
      </c>
      <c r="AH69" s="157" t="e">
        <f t="shared" si="44"/>
        <v>#N/A</v>
      </c>
      <c r="AI69" s="179" t="e">
        <f t="shared" si="45"/>
        <v>#N/A</v>
      </c>
      <c r="AJ69" s="147" t="e">
        <f t="shared" si="46"/>
        <v>#N/A</v>
      </c>
      <c r="AK69" s="157" t="e">
        <f t="shared" si="47"/>
        <v>#N/A</v>
      </c>
    </row>
    <row r="70" spans="1:37" ht="14.25" hidden="1" customHeight="1" x14ac:dyDescent="0.3">
      <c r="A70" s="168" t="s">
        <v>199</v>
      </c>
      <c r="B70" s="168" t="s">
        <v>207</v>
      </c>
      <c r="C70" s="168" t="s">
        <v>921</v>
      </c>
      <c r="D70" s="168" t="s">
        <v>922</v>
      </c>
      <c r="E70" s="169">
        <v>2</v>
      </c>
      <c r="F70" s="170" t="e">
        <f>IF(A70="","",VLOOKUP(A70,Cotizador!$A$5:$J$43,2,FALSE))</f>
        <v>#N/A</v>
      </c>
      <c r="G70" s="171" t="e">
        <f>IF(A70="","",VLOOKUP(A70,Cotizador!$A$5:$J$43,3,FALSE))</f>
        <v>#N/A</v>
      </c>
      <c r="H70" s="147" t="e">
        <f>IF(OR(A70="",D70=""),"",IF(D70="Sin estampar",0,IF(D70="Pecho",VLOOKUP(A70,Cotizador!$A$5:$J$43,4,FALSE),IF(D70="Espalda",VLOOKUP(A70,Cotizador!$A$5:$J$43,5,FALSE),VLOOKUP(A70,Cotizador!$A$5:$J$43,4,FALSE)+VLOOKUP(A70,Cotizador!$A$5:$J$43,5,FALSE)))))</f>
        <v>#N/A</v>
      </c>
      <c r="I70" s="147" t="e">
        <f>IF(A70="","",VLOOKUP(A70,Cotizador!$A$5:$J$43,6,FALSE))</f>
        <v>#N/A</v>
      </c>
      <c r="J70" s="147" t="e">
        <f>IF(A70="","",VLOOKUP(A70,Cotizador!$A$5:$J$43,7,FALSE))</f>
        <v>#N/A</v>
      </c>
      <c r="K70" s="172" t="e">
        <f t="shared" si="29"/>
        <v>#N/A</v>
      </c>
      <c r="L70" s="147" t="e">
        <f>IF(A70="","",IF(D70="Sin estampar",VLOOKUP(A70,Cotizador!$A$5:$J$43,8,FALSE),IF(D70="Pecho",VLOOKUP(A70,Cotizador!$A$5:$J$43,10,FALSE),VLOOKUP(A70,Cotizador!$A$5:$J$43,9,FALSE))))</f>
        <v>#N/A</v>
      </c>
      <c r="M70" s="173" t="e">
        <f t="shared" si="30"/>
        <v>#N/A</v>
      </c>
      <c r="N70" s="147" t="e">
        <f t="shared" si="31"/>
        <v>#N/A</v>
      </c>
      <c r="O70" s="157"/>
      <c r="P70" s="157" t="e">
        <f t="shared" si="32"/>
        <v>#N/A</v>
      </c>
      <c r="Q70" s="174" t="str">
        <f t="shared" si="33"/>
        <v>Camisa Oversize Peruana L Plomo Plata</v>
      </c>
      <c r="R70" s="180" t="e">
        <f ca="1"/>
        <v>#NAME?</v>
      </c>
      <c r="S70" s="181"/>
      <c r="T70" s="176">
        <f t="shared" ca="1" si="34"/>
        <v>0</v>
      </c>
      <c r="U70" s="6"/>
      <c r="V70" s="51" t="e">
        <f t="shared" si="35"/>
        <v>#N/A</v>
      </c>
      <c r="Y70" s="147" t="e">
        <f t="shared" si="36"/>
        <v>#N/A</v>
      </c>
      <c r="Z70" s="177" t="e">
        <f t="shared" si="37"/>
        <v>#N/A</v>
      </c>
      <c r="AA70" s="178"/>
      <c r="AB70" s="178" t="e">
        <f t="shared" si="38"/>
        <v>#N/A</v>
      </c>
      <c r="AC70" s="179" t="e">
        <f t="shared" si="39"/>
        <v>#N/A</v>
      </c>
      <c r="AD70" s="147" t="e">
        <f t="shared" si="40"/>
        <v>#N/A</v>
      </c>
      <c r="AE70" s="157" t="e">
        <f t="shared" si="41"/>
        <v>#N/A</v>
      </c>
      <c r="AF70" s="179" t="e">
        <f t="shared" si="42"/>
        <v>#N/A</v>
      </c>
      <c r="AG70" s="147" t="e">
        <f t="shared" si="43"/>
        <v>#N/A</v>
      </c>
      <c r="AH70" s="157" t="e">
        <f t="shared" si="44"/>
        <v>#N/A</v>
      </c>
      <c r="AI70" s="179" t="e">
        <f t="shared" si="45"/>
        <v>#N/A</v>
      </c>
      <c r="AJ70" s="147" t="e">
        <f t="shared" si="46"/>
        <v>#N/A</v>
      </c>
      <c r="AK70" s="157" t="e">
        <f t="shared" si="47"/>
        <v>#N/A</v>
      </c>
    </row>
    <row r="71" spans="1:37" ht="14.25" hidden="1" customHeight="1" x14ac:dyDescent="0.3">
      <c r="A71" s="168" t="s">
        <v>199</v>
      </c>
      <c r="B71" s="168" t="s">
        <v>210</v>
      </c>
      <c r="C71" s="168" t="s">
        <v>921</v>
      </c>
      <c r="D71" s="168" t="s">
        <v>922</v>
      </c>
      <c r="E71" s="169">
        <v>2</v>
      </c>
      <c r="F71" s="170" t="e">
        <f>IF(A71="","",VLOOKUP(A71,Cotizador!$A$5:$J$43,2,FALSE))</f>
        <v>#N/A</v>
      </c>
      <c r="G71" s="171" t="e">
        <f>IF(A71="","",VLOOKUP(A71,Cotizador!$A$5:$J$43,3,FALSE))</f>
        <v>#N/A</v>
      </c>
      <c r="H71" s="147" t="e">
        <f>IF(OR(A71="",D71=""),"",IF(D71="Sin estampar",0,IF(D71="Pecho",VLOOKUP(A71,Cotizador!$A$5:$J$43,4,FALSE),IF(D71="Espalda",VLOOKUP(A71,Cotizador!$A$5:$J$43,5,FALSE),VLOOKUP(A71,Cotizador!$A$5:$J$43,4,FALSE)+VLOOKUP(A71,Cotizador!$A$5:$J$43,5,FALSE)))))</f>
        <v>#N/A</v>
      </c>
      <c r="I71" s="147" t="e">
        <f>IF(A71="","",VLOOKUP(A71,Cotizador!$A$5:$J$43,6,FALSE))</f>
        <v>#N/A</v>
      </c>
      <c r="J71" s="147" t="e">
        <f>IF(A71="","",VLOOKUP(A71,Cotizador!$A$5:$J$43,7,FALSE))</f>
        <v>#N/A</v>
      </c>
      <c r="K71" s="172" t="e">
        <f t="shared" si="29"/>
        <v>#N/A</v>
      </c>
      <c r="L71" s="147" t="e">
        <f>IF(A71="","",IF(D71="Sin estampar",VLOOKUP(A71,Cotizador!$A$5:$J$43,8,FALSE),IF(D71="Pecho",VLOOKUP(A71,Cotizador!$A$5:$J$43,10,FALSE),VLOOKUP(A71,Cotizador!$A$5:$J$43,9,FALSE))))</f>
        <v>#N/A</v>
      </c>
      <c r="M71" s="173" t="e">
        <f t="shared" si="30"/>
        <v>#N/A</v>
      </c>
      <c r="N71" s="147" t="e">
        <f t="shared" si="31"/>
        <v>#N/A</v>
      </c>
      <c r="O71" s="157"/>
      <c r="P71" s="157" t="e">
        <f t="shared" si="32"/>
        <v>#N/A</v>
      </c>
      <c r="Q71" s="174" t="str">
        <f t="shared" si="33"/>
        <v>Camisa Oversize Peruana XL Plomo Plata</v>
      </c>
      <c r="R71" s="180" t="e">
        <f ca="1"/>
        <v>#NAME?</v>
      </c>
      <c r="S71" s="181"/>
      <c r="T71" s="176">
        <f t="shared" ca="1" si="34"/>
        <v>0</v>
      </c>
      <c r="U71" s="6"/>
      <c r="V71" s="51" t="e">
        <f t="shared" si="35"/>
        <v>#N/A</v>
      </c>
      <c r="Y71" s="147" t="e">
        <f t="shared" si="36"/>
        <v>#N/A</v>
      </c>
      <c r="Z71" s="177" t="e">
        <f t="shared" si="37"/>
        <v>#N/A</v>
      </c>
      <c r="AA71" s="178"/>
      <c r="AB71" s="178" t="e">
        <f t="shared" si="38"/>
        <v>#N/A</v>
      </c>
      <c r="AC71" s="179" t="e">
        <f t="shared" si="39"/>
        <v>#N/A</v>
      </c>
      <c r="AD71" s="147" t="e">
        <f t="shared" si="40"/>
        <v>#N/A</v>
      </c>
      <c r="AE71" s="157" t="e">
        <f t="shared" si="41"/>
        <v>#N/A</v>
      </c>
      <c r="AF71" s="179" t="e">
        <f t="shared" si="42"/>
        <v>#N/A</v>
      </c>
      <c r="AG71" s="147" t="e">
        <f t="shared" si="43"/>
        <v>#N/A</v>
      </c>
      <c r="AH71" s="157" t="e">
        <f t="shared" si="44"/>
        <v>#N/A</v>
      </c>
      <c r="AI71" s="179" t="e">
        <f t="shared" si="45"/>
        <v>#N/A</v>
      </c>
      <c r="AJ71" s="147" t="e">
        <f t="shared" si="46"/>
        <v>#N/A</v>
      </c>
      <c r="AK71" s="157" t="e">
        <f t="shared" si="47"/>
        <v>#N/A</v>
      </c>
    </row>
    <row r="72" spans="1:37" ht="14.25" hidden="1" customHeight="1" x14ac:dyDescent="0.3">
      <c r="A72" s="168" t="s">
        <v>199</v>
      </c>
      <c r="B72" s="168" t="s">
        <v>200</v>
      </c>
      <c r="C72" s="168" t="s">
        <v>923</v>
      </c>
      <c r="D72" s="168" t="s">
        <v>917</v>
      </c>
      <c r="E72" s="169">
        <v>1</v>
      </c>
      <c r="F72" s="170" t="e">
        <f>IF(A72="","",VLOOKUP(A72,Cotizador!$A$5:$J$43,2,FALSE))</f>
        <v>#N/A</v>
      </c>
      <c r="G72" s="171" t="e">
        <f>IF(A72="","",VLOOKUP(A72,Cotizador!$A$5:$J$43,3,FALSE))</f>
        <v>#N/A</v>
      </c>
      <c r="H72" s="147">
        <f>IF(OR(A72="",D72=""),"",IF(D72="Sin estampar",0,IF(D72="Pecho",VLOOKUP(A72,Cotizador!$A$5:$J$43,4,FALSE),IF(D72="Espalda",VLOOKUP(A72,Cotizador!$A$5:$J$43,5,FALSE),VLOOKUP(A72,Cotizador!$A$5:$J$43,4,FALSE)+VLOOKUP(A72,Cotizador!$A$5:$J$43,5,FALSE)))))</f>
        <v>0</v>
      </c>
      <c r="I72" s="147" t="e">
        <f>IF(A72="","",VLOOKUP(A72,Cotizador!$A$5:$J$43,6,FALSE))</f>
        <v>#N/A</v>
      </c>
      <c r="J72" s="147" t="e">
        <f>IF(A72="","",VLOOKUP(A72,Cotizador!$A$5:$J$43,7,FALSE))</f>
        <v>#N/A</v>
      </c>
      <c r="K72" s="172" t="e">
        <f t="shared" si="29"/>
        <v>#N/A</v>
      </c>
      <c r="L72" s="147" t="e">
        <f>IF(A72="","",IF(D72="Sin estampar",VLOOKUP(A72,Cotizador!$A$5:$J$43,8,FALSE),IF(D72="Pecho",VLOOKUP(A72,Cotizador!$A$5:$J$43,10,FALSE),VLOOKUP(A72,Cotizador!$A$5:$J$43,9,FALSE))))</f>
        <v>#N/A</v>
      </c>
      <c r="M72" s="173" t="e">
        <f t="shared" si="30"/>
        <v>#N/A</v>
      </c>
      <c r="N72" s="147" t="e">
        <f t="shared" si="31"/>
        <v>#N/A</v>
      </c>
      <c r="O72" s="157"/>
      <c r="P72" s="157" t="e">
        <f t="shared" si="32"/>
        <v>#N/A</v>
      </c>
      <c r="Q72" s="174" t="str">
        <f t="shared" si="33"/>
        <v>Camisa Oversize Peruana S Verde Botella</v>
      </c>
      <c r="R72" s="180" t="e">
        <f ca="1"/>
        <v>#NAME?</v>
      </c>
      <c r="S72" s="181"/>
      <c r="T72" s="176">
        <f t="shared" ca="1" si="34"/>
        <v>0</v>
      </c>
      <c r="U72" s="6"/>
      <c r="V72" s="51" t="e">
        <f t="shared" si="35"/>
        <v>#N/A</v>
      </c>
      <c r="Y72" s="147" t="e">
        <f t="shared" si="36"/>
        <v>#N/A</v>
      </c>
      <c r="Z72" s="177" t="e">
        <f t="shared" si="37"/>
        <v>#N/A</v>
      </c>
      <c r="AA72" s="178"/>
      <c r="AB72" s="178" t="e">
        <f t="shared" si="38"/>
        <v>#N/A</v>
      </c>
      <c r="AC72" s="179" t="e">
        <f t="shared" si="39"/>
        <v>#N/A</v>
      </c>
      <c r="AD72" s="147" t="e">
        <f t="shared" si="40"/>
        <v>#N/A</v>
      </c>
      <c r="AE72" s="157" t="e">
        <f t="shared" si="41"/>
        <v>#N/A</v>
      </c>
      <c r="AF72" s="179" t="e">
        <f t="shared" si="42"/>
        <v>#N/A</v>
      </c>
      <c r="AG72" s="147" t="e">
        <f t="shared" si="43"/>
        <v>#N/A</v>
      </c>
      <c r="AH72" s="157" t="e">
        <f t="shared" si="44"/>
        <v>#N/A</v>
      </c>
      <c r="AI72" s="179" t="e">
        <f t="shared" si="45"/>
        <v>#N/A</v>
      </c>
      <c r="AJ72" s="147" t="e">
        <f t="shared" si="46"/>
        <v>#N/A</v>
      </c>
      <c r="AK72" s="157" t="e">
        <f t="shared" si="47"/>
        <v>#N/A</v>
      </c>
    </row>
    <row r="73" spans="1:37" ht="14.25" hidden="1" customHeight="1" x14ac:dyDescent="0.3">
      <c r="A73" s="168" t="s">
        <v>199</v>
      </c>
      <c r="B73" s="168" t="s">
        <v>204</v>
      </c>
      <c r="C73" s="168" t="s">
        <v>923</v>
      </c>
      <c r="D73" s="168" t="s">
        <v>917</v>
      </c>
      <c r="E73" s="169">
        <v>2</v>
      </c>
      <c r="F73" s="170" t="e">
        <f>IF(A73="","",VLOOKUP(A73,Cotizador!$A$5:$J$43,2,FALSE))</f>
        <v>#N/A</v>
      </c>
      <c r="G73" s="171" t="e">
        <f>IF(A73="","",VLOOKUP(A73,Cotizador!$A$5:$J$43,3,FALSE))</f>
        <v>#N/A</v>
      </c>
      <c r="H73" s="147">
        <f>IF(OR(A73="",D73=""),"",IF(D73="Sin estampar",0,IF(D73="Pecho",VLOOKUP(A73,Cotizador!$A$5:$J$43,4,FALSE),IF(D73="Espalda",VLOOKUP(A73,Cotizador!$A$5:$J$43,5,FALSE),VLOOKUP(A73,Cotizador!$A$5:$J$43,4,FALSE)+VLOOKUP(A73,Cotizador!$A$5:$J$43,5,FALSE)))))</f>
        <v>0</v>
      </c>
      <c r="I73" s="147" t="e">
        <f>IF(A73="","",VLOOKUP(A73,Cotizador!$A$5:$J$43,6,FALSE))</f>
        <v>#N/A</v>
      </c>
      <c r="J73" s="147" t="e">
        <f>IF(A73="","",VLOOKUP(A73,Cotizador!$A$5:$J$43,7,FALSE))</f>
        <v>#N/A</v>
      </c>
      <c r="K73" s="172" t="e">
        <f t="shared" si="29"/>
        <v>#N/A</v>
      </c>
      <c r="L73" s="147" t="e">
        <f>IF(A73="","",IF(D73="Sin estampar",VLOOKUP(A73,Cotizador!$A$5:$J$43,8,FALSE),IF(D73="Pecho",VLOOKUP(A73,Cotizador!$A$5:$J$43,10,FALSE),VLOOKUP(A73,Cotizador!$A$5:$J$43,9,FALSE))))</f>
        <v>#N/A</v>
      </c>
      <c r="M73" s="173" t="e">
        <f t="shared" si="30"/>
        <v>#N/A</v>
      </c>
      <c r="N73" s="147" t="e">
        <f t="shared" si="31"/>
        <v>#N/A</v>
      </c>
      <c r="O73" s="157"/>
      <c r="P73" s="157" t="e">
        <f t="shared" si="32"/>
        <v>#N/A</v>
      </c>
      <c r="Q73" s="174" t="str">
        <f t="shared" si="33"/>
        <v>Camisa Oversize Peruana M Verde Botella</v>
      </c>
      <c r="R73" s="180" t="e">
        <f ca="1"/>
        <v>#NAME?</v>
      </c>
      <c r="S73" s="181"/>
      <c r="T73" s="176">
        <f t="shared" ca="1" si="34"/>
        <v>0</v>
      </c>
      <c r="U73" s="6"/>
      <c r="V73" s="51" t="e">
        <f t="shared" si="35"/>
        <v>#N/A</v>
      </c>
      <c r="Y73" s="147" t="e">
        <f t="shared" si="36"/>
        <v>#N/A</v>
      </c>
      <c r="Z73" s="177" t="e">
        <f t="shared" si="37"/>
        <v>#N/A</v>
      </c>
      <c r="AA73" s="178"/>
      <c r="AB73" s="178" t="e">
        <f t="shared" si="38"/>
        <v>#N/A</v>
      </c>
      <c r="AC73" s="179" t="e">
        <f t="shared" si="39"/>
        <v>#N/A</v>
      </c>
      <c r="AD73" s="147" t="e">
        <f t="shared" si="40"/>
        <v>#N/A</v>
      </c>
      <c r="AE73" s="157" t="e">
        <f t="shared" si="41"/>
        <v>#N/A</v>
      </c>
      <c r="AF73" s="179" t="e">
        <f t="shared" si="42"/>
        <v>#N/A</v>
      </c>
      <c r="AG73" s="147" t="e">
        <f t="shared" si="43"/>
        <v>#N/A</v>
      </c>
      <c r="AH73" s="157" t="e">
        <f t="shared" si="44"/>
        <v>#N/A</v>
      </c>
      <c r="AI73" s="179" t="e">
        <f t="shared" si="45"/>
        <v>#N/A</v>
      </c>
      <c r="AJ73" s="147" t="e">
        <f t="shared" si="46"/>
        <v>#N/A</v>
      </c>
      <c r="AK73" s="157" t="e">
        <f t="shared" si="47"/>
        <v>#N/A</v>
      </c>
    </row>
    <row r="74" spans="1:37" ht="14.25" hidden="1" customHeight="1" x14ac:dyDescent="0.3">
      <c r="A74" s="168" t="s">
        <v>199</v>
      </c>
      <c r="B74" s="168" t="s">
        <v>207</v>
      </c>
      <c r="C74" s="168" t="s">
        <v>923</v>
      </c>
      <c r="D74" s="168" t="s">
        <v>917</v>
      </c>
      <c r="E74" s="169">
        <v>2</v>
      </c>
      <c r="F74" s="170" t="e">
        <f>IF(A74="","",VLOOKUP(A74,Cotizador!$A$5:$J$43,2,FALSE))</f>
        <v>#N/A</v>
      </c>
      <c r="G74" s="171" t="e">
        <f>IF(A74="","",VLOOKUP(A74,Cotizador!$A$5:$J$43,3,FALSE))</f>
        <v>#N/A</v>
      </c>
      <c r="H74" s="147">
        <f>IF(OR(A74="",D74=""),"",IF(D74="Sin estampar",0,IF(D74="Pecho",VLOOKUP(A74,Cotizador!$A$5:$J$43,4,FALSE),IF(D74="Espalda",VLOOKUP(A74,Cotizador!$A$5:$J$43,5,FALSE),VLOOKUP(A74,Cotizador!$A$5:$J$43,4,FALSE)+VLOOKUP(A74,Cotizador!$A$5:$J$43,5,FALSE)))))</f>
        <v>0</v>
      </c>
      <c r="I74" s="147" t="e">
        <f>IF(A74="","",VLOOKUP(A74,Cotizador!$A$5:$J$43,6,FALSE))</f>
        <v>#N/A</v>
      </c>
      <c r="J74" s="147" t="e">
        <f>IF(A74="","",VLOOKUP(A74,Cotizador!$A$5:$J$43,7,FALSE))</f>
        <v>#N/A</v>
      </c>
      <c r="K74" s="172" t="e">
        <f t="shared" si="29"/>
        <v>#N/A</v>
      </c>
      <c r="L74" s="147" t="e">
        <f>IF(A74="","",IF(D74="Sin estampar",VLOOKUP(A74,Cotizador!$A$5:$J$43,8,FALSE),IF(D74="Pecho",VLOOKUP(A74,Cotizador!$A$5:$J$43,10,FALSE),VLOOKUP(A74,Cotizador!$A$5:$J$43,9,FALSE))))</f>
        <v>#N/A</v>
      </c>
      <c r="M74" s="173" t="e">
        <f t="shared" si="30"/>
        <v>#N/A</v>
      </c>
      <c r="N74" s="147" t="e">
        <f t="shared" si="31"/>
        <v>#N/A</v>
      </c>
      <c r="O74" s="157"/>
      <c r="P74" s="157" t="e">
        <f t="shared" si="32"/>
        <v>#N/A</v>
      </c>
      <c r="Q74" s="174" t="str">
        <f t="shared" si="33"/>
        <v>Camisa Oversize Peruana L Verde Botella</v>
      </c>
      <c r="R74" s="180" t="e">
        <f ca="1"/>
        <v>#NAME?</v>
      </c>
      <c r="S74" s="181"/>
      <c r="T74" s="176">
        <f t="shared" ca="1" si="34"/>
        <v>0</v>
      </c>
      <c r="U74" s="6"/>
      <c r="V74" s="51" t="e">
        <f t="shared" si="35"/>
        <v>#N/A</v>
      </c>
      <c r="Y74" s="147" t="e">
        <f t="shared" si="36"/>
        <v>#N/A</v>
      </c>
      <c r="Z74" s="177" t="e">
        <f t="shared" si="37"/>
        <v>#N/A</v>
      </c>
      <c r="AA74" s="178"/>
      <c r="AB74" s="178" t="e">
        <f t="shared" si="38"/>
        <v>#N/A</v>
      </c>
      <c r="AC74" s="179" t="e">
        <f t="shared" si="39"/>
        <v>#N/A</v>
      </c>
      <c r="AD74" s="147" t="e">
        <f t="shared" si="40"/>
        <v>#N/A</v>
      </c>
      <c r="AE74" s="157" t="e">
        <f t="shared" si="41"/>
        <v>#N/A</v>
      </c>
      <c r="AF74" s="179" t="e">
        <f t="shared" si="42"/>
        <v>#N/A</v>
      </c>
      <c r="AG74" s="147" t="e">
        <f t="shared" si="43"/>
        <v>#N/A</v>
      </c>
      <c r="AH74" s="157" t="e">
        <f t="shared" si="44"/>
        <v>#N/A</v>
      </c>
      <c r="AI74" s="179" t="e">
        <f t="shared" si="45"/>
        <v>#N/A</v>
      </c>
      <c r="AJ74" s="147" t="e">
        <f t="shared" si="46"/>
        <v>#N/A</v>
      </c>
      <c r="AK74" s="157" t="e">
        <f t="shared" si="47"/>
        <v>#N/A</v>
      </c>
    </row>
    <row r="75" spans="1:37" ht="14.25" hidden="1" customHeight="1" x14ac:dyDescent="0.3">
      <c r="A75" s="168" t="s">
        <v>199</v>
      </c>
      <c r="B75" s="168" t="s">
        <v>210</v>
      </c>
      <c r="C75" s="168" t="s">
        <v>923</v>
      </c>
      <c r="D75" s="168" t="s">
        <v>917</v>
      </c>
      <c r="E75" s="169">
        <v>2</v>
      </c>
      <c r="F75" s="170" t="e">
        <f>IF(A75="","",VLOOKUP(A75,Cotizador!$A$5:$J$43,2,FALSE))</f>
        <v>#N/A</v>
      </c>
      <c r="G75" s="171" t="e">
        <f>IF(A75="","",VLOOKUP(A75,Cotizador!$A$5:$J$43,3,FALSE))</f>
        <v>#N/A</v>
      </c>
      <c r="H75" s="147">
        <f>IF(OR(A75="",D75=""),"",IF(D75="Sin estampar",0,IF(D75="Pecho",VLOOKUP(A75,Cotizador!$A$5:$J$43,4,FALSE),IF(D75="Espalda",VLOOKUP(A75,Cotizador!$A$5:$J$43,5,FALSE),VLOOKUP(A75,Cotizador!$A$5:$J$43,4,FALSE)+VLOOKUP(A75,Cotizador!$A$5:$J$43,5,FALSE)))))</f>
        <v>0</v>
      </c>
      <c r="I75" s="147" t="e">
        <f>IF(A75="","",VLOOKUP(A75,Cotizador!$A$5:$J$43,6,FALSE))</f>
        <v>#N/A</v>
      </c>
      <c r="J75" s="147" t="e">
        <f>IF(A75="","",VLOOKUP(A75,Cotizador!$A$5:$J$43,7,FALSE))</f>
        <v>#N/A</v>
      </c>
      <c r="K75" s="172" t="e">
        <f t="shared" si="29"/>
        <v>#N/A</v>
      </c>
      <c r="L75" s="147" t="e">
        <f>IF(A75="","",IF(D75="Sin estampar",VLOOKUP(A75,Cotizador!$A$5:$J$43,8,FALSE),IF(D75="Pecho",VLOOKUP(A75,Cotizador!$A$5:$J$43,10,FALSE),VLOOKUP(A75,Cotizador!$A$5:$J$43,9,FALSE))))</f>
        <v>#N/A</v>
      </c>
      <c r="M75" s="173" t="e">
        <f t="shared" si="30"/>
        <v>#N/A</v>
      </c>
      <c r="N75" s="147" t="e">
        <f t="shared" si="31"/>
        <v>#N/A</v>
      </c>
      <c r="O75" s="157"/>
      <c r="P75" s="157" t="e">
        <f t="shared" si="32"/>
        <v>#N/A</v>
      </c>
      <c r="Q75" s="174" t="str">
        <f t="shared" si="33"/>
        <v>Camisa Oversize Peruana XL Verde Botella</v>
      </c>
      <c r="R75" s="180" t="e">
        <f ca="1"/>
        <v>#NAME?</v>
      </c>
      <c r="S75" s="181"/>
      <c r="T75" s="176">
        <f t="shared" ca="1" si="34"/>
        <v>0</v>
      </c>
      <c r="U75" s="6"/>
      <c r="V75" s="51" t="e">
        <f t="shared" si="35"/>
        <v>#N/A</v>
      </c>
      <c r="Y75" s="147" t="e">
        <f t="shared" si="36"/>
        <v>#N/A</v>
      </c>
      <c r="Z75" s="177" t="e">
        <f t="shared" si="37"/>
        <v>#N/A</v>
      </c>
      <c r="AA75" s="178"/>
      <c r="AB75" s="178" t="e">
        <f t="shared" si="38"/>
        <v>#N/A</v>
      </c>
      <c r="AC75" s="179" t="e">
        <f t="shared" si="39"/>
        <v>#N/A</v>
      </c>
      <c r="AD75" s="147" t="e">
        <f t="shared" si="40"/>
        <v>#N/A</v>
      </c>
      <c r="AE75" s="157" t="e">
        <f t="shared" si="41"/>
        <v>#N/A</v>
      </c>
      <c r="AF75" s="179" t="e">
        <f t="shared" si="42"/>
        <v>#N/A</v>
      </c>
      <c r="AG75" s="147" t="e">
        <f t="shared" si="43"/>
        <v>#N/A</v>
      </c>
      <c r="AH75" s="157" t="e">
        <f t="shared" si="44"/>
        <v>#N/A</v>
      </c>
      <c r="AI75" s="179" t="e">
        <f t="shared" si="45"/>
        <v>#N/A</v>
      </c>
      <c r="AJ75" s="147" t="e">
        <f t="shared" si="46"/>
        <v>#N/A</v>
      </c>
      <c r="AK75" s="157" t="e">
        <f t="shared" si="47"/>
        <v>#N/A</v>
      </c>
    </row>
    <row r="76" spans="1:37" ht="14.25" hidden="1" customHeight="1" x14ac:dyDescent="0.3">
      <c r="A76" s="168" t="s">
        <v>199</v>
      </c>
      <c r="B76" s="168" t="s">
        <v>200</v>
      </c>
      <c r="C76" s="168" t="s">
        <v>923</v>
      </c>
      <c r="D76" s="168" t="s">
        <v>922</v>
      </c>
      <c r="E76" s="169">
        <v>1</v>
      </c>
      <c r="F76" s="170" t="e">
        <f>IF(A76="","",VLOOKUP(A76,Cotizador!$A$5:$J$43,2,FALSE))</f>
        <v>#N/A</v>
      </c>
      <c r="G76" s="171" t="e">
        <f>IF(A76="","",VLOOKUP(A76,Cotizador!$A$5:$J$43,3,FALSE))</f>
        <v>#N/A</v>
      </c>
      <c r="H76" s="147" t="e">
        <f>IF(OR(A76="",D76=""),"",IF(D76="Sin estampar",0,IF(D76="Pecho",VLOOKUP(A76,Cotizador!$A$5:$J$43,4,FALSE),IF(D76="Espalda",VLOOKUP(A76,Cotizador!$A$5:$J$43,5,FALSE),VLOOKUP(A76,Cotizador!$A$5:$J$43,4,FALSE)+VLOOKUP(A76,Cotizador!$A$5:$J$43,5,FALSE)))))</f>
        <v>#N/A</v>
      </c>
      <c r="I76" s="147" t="e">
        <f>IF(A76="","",VLOOKUP(A76,Cotizador!$A$5:$J$43,6,FALSE))</f>
        <v>#N/A</v>
      </c>
      <c r="J76" s="147" t="e">
        <f>IF(A76="","",VLOOKUP(A76,Cotizador!$A$5:$J$43,7,FALSE))</f>
        <v>#N/A</v>
      </c>
      <c r="K76" s="172" t="e">
        <f t="shared" si="29"/>
        <v>#N/A</v>
      </c>
      <c r="L76" s="147" t="e">
        <f>IF(A76="","",IF(D76="Sin estampar",VLOOKUP(A76,Cotizador!$A$5:$J$43,8,FALSE),IF(D76="Pecho",VLOOKUP(A76,Cotizador!$A$5:$J$43,10,FALSE),VLOOKUP(A76,Cotizador!$A$5:$J$43,9,FALSE))))</f>
        <v>#N/A</v>
      </c>
      <c r="M76" s="173" t="e">
        <f t="shared" si="30"/>
        <v>#N/A</v>
      </c>
      <c r="N76" s="147" t="e">
        <f t="shared" si="31"/>
        <v>#N/A</v>
      </c>
      <c r="O76" s="157"/>
      <c r="P76" s="157" t="e">
        <f t="shared" si="32"/>
        <v>#N/A</v>
      </c>
      <c r="Q76" s="174" t="str">
        <f t="shared" si="33"/>
        <v>Camisa Oversize Peruana S Verde Botella</v>
      </c>
      <c r="R76" s="180" t="e">
        <f ca="1"/>
        <v>#NAME?</v>
      </c>
      <c r="S76" s="181"/>
      <c r="T76" s="176">
        <f t="shared" ca="1" si="34"/>
        <v>0</v>
      </c>
      <c r="U76" s="6"/>
      <c r="V76" s="51" t="e">
        <f t="shared" si="35"/>
        <v>#N/A</v>
      </c>
      <c r="Y76" s="147" t="e">
        <f t="shared" si="36"/>
        <v>#N/A</v>
      </c>
      <c r="Z76" s="177" t="e">
        <f t="shared" si="37"/>
        <v>#N/A</v>
      </c>
      <c r="AA76" s="178"/>
      <c r="AB76" s="178" t="e">
        <f t="shared" si="38"/>
        <v>#N/A</v>
      </c>
      <c r="AC76" s="179" t="e">
        <f t="shared" si="39"/>
        <v>#N/A</v>
      </c>
      <c r="AD76" s="147" t="e">
        <f t="shared" si="40"/>
        <v>#N/A</v>
      </c>
      <c r="AE76" s="157" t="e">
        <f t="shared" si="41"/>
        <v>#N/A</v>
      </c>
      <c r="AF76" s="179" t="e">
        <f t="shared" si="42"/>
        <v>#N/A</v>
      </c>
      <c r="AG76" s="147" t="e">
        <f t="shared" si="43"/>
        <v>#N/A</v>
      </c>
      <c r="AH76" s="157" t="e">
        <f t="shared" si="44"/>
        <v>#N/A</v>
      </c>
      <c r="AI76" s="179" t="e">
        <f t="shared" si="45"/>
        <v>#N/A</v>
      </c>
      <c r="AJ76" s="147" t="e">
        <f t="shared" si="46"/>
        <v>#N/A</v>
      </c>
      <c r="AK76" s="157" t="e">
        <f t="shared" si="47"/>
        <v>#N/A</v>
      </c>
    </row>
    <row r="77" spans="1:37" ht="14.25" hidden="1" customHeight="1" x14ac:dyDescent="0.3">
      <c r="A77" s="168" t="s">
        <v>199</v>
      </c>
      <c r="B77" s="168" t="s">
        <v>204</v>
      </c>
      <c r="C77" s="168" t="s">
        <v>923</v>
      </c>
      <c r="D77" s="168" t="s">
        <v>922</v>
      </c>
      <c r="E77" s="169">
        <v>2</v>
      </c>
      <c r="F77" s="170" t="e">
        <f>IF(A77="","",VLOOKUP(A77,Cotizador!$A$5:$J$43,2,FALSE))</f>
        <v>#N/A</v>
      </c>
      <c r="G77" s="171" t="e">
        <f>IF(A77="","",VLOOKUP(A77,Cotizador!$A$5:$J$43,3,FALSE))</f>
        <v>#N/A</v>
      </c>
      <c r="H77" s="147" t="e">
        <f>IF(OR(A77="",D77=""),"",IF(D77="Sin estampar",0,IF(D77="Pecho",VLOOKUP(A77,Cotizador!$A$5:$J$43,4,FALSE),IF(D77="Espalda",VLOOKUP(A77,Cotizador!$A$5:$J$43,5,FALSE),VLOOKUP(A77,Cotizador!$A$5:$J$43,4,FALSE)+VLOOKUP(A77,Cotizador!$A$5:$J$43,5,FALSE)))))</f>
        <v>#N/A</v>
      </c>
      <c r="I77" s="147" t="e">
        <f>IF(A77="","",VLOOKUP(A77,Cotizador!$A$5:$J$43,6,FALSE))</f>
        <v>#N/A</v>
      </c>
      <c r="J77" s="147" t="e">
        <f>IF(A77="","",VLOOKUP(A77,Cotizador!$A$5:$J$43,7,FALSE))</f>
        <v>#N/A</v>
      </c>
      <c r="K77" s="172" t="e">
        <f t="shared" si="29"/>
        <v>#N/A</v>
      </c>
      <c r="L77" s="147" t="e">
        <f>IF(A77="","",IF(D77="Sin estampar",VLOOKUP(A77,Cotizador!$A$5:$J$43,8,FALSE),IF(D77="Pecho",VLOOKUP(A77,Cotizador!$A$5:$J$43,10,FALSE),VLOOKUP(A77,Cotizador!$A$5:$J$43,9,FALSE))))</f>
        <v>#N/A</v>
      </c>
      <c r="M77" s="173" t="e">
        <f t="shared" si="30"/>
        <v>#N/A</v>
      </c>
      <c r="N77" s="147" t="e">
        <f t="shared" si="31"/>
        <v>#N/A</v>
      </c>
      <c r="O77" s="157"/>
      <c r="P77" s="157" t="e">
        <f t="shared" si="32"/>
        <v>#N/A</v>
      </c>
      <c r="Q77" s="174" t="str">
        <f t="shared" si="33"/>
        <v>Camisa Oversize Peruana M Verde Botella</v>
      </c>
      <c r="R77" s="180" t="e">
        <f ca="1"/>
        <v>#NAME?</v>
      </c>
      <c r="S77" s="181"/>
      <c r="T77" s="176">
        <f t="shared" ca="1" si="34"/>
        <v>0</v>
      </c>
      <c r="U77" s="6"/>
      <c r="V77" s="51" t="e">
        <f t="shared" si="35"/>
        <v>#N/A</v>
      </c>
      <c r="Y77" s="147" t="e">
        <f t="shared" si="36"/>
        <v>#N/A</v>
      </c>
      <c r="Z77" s="177" t="e">
        <f t="shared" si="37"/>
        <v>#N/A</v>
      </c>
      <c r="AA77" s="178"/>
      <c r="AB77" s="178" t="e">
        <f t="shared" si="38"/>
        <v>#N/A</v>
      </c>
      <c r="AC77" s="179" t="e">
        <f t="shared" si="39"/>
        <v>#N/A</v>
      </c>
      <c r="AD77" s="147" t="e">
        <f t="shared" si="40"/>
        <v>#N/A</v>
      </c>
      <c r="AE77" s="157" t="e">
        <f t="shared" si="41"/>
        <v>#N/A</v>
      </c>
      <c r="AF77" s="179" t="e">
        <f t="shared" si="42"/>
        <v>#N/A</v>
      </c>
      <c r="AG77" s="147" t="e">
        <f t="shared" si="43"/>
        <v>#N/A</v>
      </c>
      <c r="AH77" s="157" t="e">
        <f t="shared" si="44"/>
        <v>#N/A</v>
      </c>
      <c r="AI77" s="179" t="e">
        <f t="shared" si="45"/>
        <v>#N/A</v>
      </c>
      <c r="AJ77" s="147" t="e">
        <f t="shared" si="46"/>
        <v>#N/A</v>
      </c>
      <c r="AK77" s="157" t="e">
        <f t="shared" si="47"/>
        <v>#N/A</v>
      </c>
    </row>
    <row r="78" spans="1:37" ht="14.25" hidden="1" customHeight="1" x14ac:dyDescent="0.3">
      <c r="A78" s="168" t="s">
        <v>199</v>
      </c>
      <c r="B78" s="168" t="s">
        <v>207</v>
      </c>
      <c r="C78" s="168" t="s">
        <v>923</v>
      </c>
      <c r="D78" s="168" t="s">
        <v>922</v>
      </c>
      <c r="E78" s="169">
        <v>2</v>
      </c>
      <c r="F78" s="170" t="e">
        <f>IF(A78="","",VLOOKUP(A78,Cotizador!$A$5:$J$43,2,FALSE))</f>
        <v>#N/A</v>
      </c>
      <c r="G78" s="171" t="e">
        <f>IF(A78="","",VLOOKUP(A78,Cotizador!$A$5:$J$43,3,FALSE))</f>
        <v>#N/A</v>
      </c>
      <c r="H78" s="147" t="e">
        <f>IF(OR(A78="",D78=""),"",IF(D78="Sin estampar",0,IF(D78="Pecho",VLOOKUP(A78,Cotizador!$A$5:$J$43,4,FALSE),IF(D78="Espalda",VLOOKUP(A78,Cotizador!$A$5:$J$43,5,FALSE),VLOOKUP(A78,Cotizador!$A$5:$J$43,4,FALSE)+VLOOKUP(A78,Cotizador!$A$5:$J$43,5,FALSE)))))</f>
        <v>#N/A</v>
      </c>
      <c r="I78" s="147" t="e">
        <f>IF(A78="","",VLOOKUP(A78,Cotizador!$A$5:$J$43,6,FALSE))</f>
        <v>#N/A</v>
      </c>
      <c r="J78" s="147" t="e">
        <f>IF(A78="","",VLOOKUP(A78,Cotizador!$A$5:$J$43,7,FALSE))</f>
        <v>#N/A</v>
      </c>
      <c r="K78" s="172" t="e">
        <f t="shared" si="29"/>
        <v>#N/A</v>
      </c>
      <c r="L78" s="147" t="e">
        <f>IF(A78="","",IF(D78="Sin estampar",VLOOKUP(A78,Cotizador!$A$5:$J$43,8,FALSE),IF(D78="Pecho",VLOOKUP(A78,Cotizador!$A$5:$J$43,10,FALSE),VLOOKUP(A78,Cotizador!$A$5:$J$43,9,FALSE))))</f>
        <v>#N/A</v>
      </c>
      <c r="M78" s="173" t="e">
        <f t="shared" si="30"/>
        <v>#N/A</v>
      </c>
      <c r="N78" s="147" t="e">
        <f t="shared" si="31"/>
        <v>#N/A</v>
      </c>
      <c r="O78" s="157"/>
      <c r="P78" s="157" t="e">
        <f t="shared" si="32"/>
        <v>#N/A</v>
      </c>
      <c r="Q78" s="174" t="str">
        <f t="shared" si="33"/>
        <v>Camisa Oversize Peruana L Verde Botella</v>
      </c>
      <c r="R78" s="180" t="e">
        <f ca="1"/>
        <v>#NAME?</v>
      </c>
      <c r="S78" s="181"/>
      <c r="T78" s="176">
        <f t="shared" ca="1" si="34"/>
        <v>0</v>
      </c>
      <c r="U78" s="6"/>
      <c r="V78" s="51" t="e">
        <f t="shared" si="35"/>
        <v>#N/A</v>
      </c>
      <c r="Y78" s="147" t="e">
        <f t="shared" si="36"/>
        <v>#N/A</v>
      </c>
      <c r="Z78" s="177" t="e">
        <f t="shared" si="37"/>
        <v>#N/A</v>
      </c>
      <c r="AA78" s="178"/>
      <c r="AB78" s="178" t="e">
        <f t="shared" si="38"/>
        <v>#N/A</v>
      </c>
      <c r="AC78" s="179" t="e">
        <f t="shared" si="39"/>
        <v>#N/A</v>
      </c>
      <c r="AD78" s="147" t="e">
        <f t="shared" si="40"/>
        <v>#N/A</v>
      </c>
      <c r="AE78" s="157" t="e">
        <f t="shared" si="41"/>
        <v>#N/A</v>
      </c>
      <c r="AF78" s="179" t="e">
        <f t="shared" si="42"/>
        <v>#N/A</v>
      </c>
      <c r="AG78" s="147" t="e">
        <f t="shared" si="43"/>
        <v>#N/A</v>
      </c>
      <c r="AH78" s="157" t="e">
        <f t="shared" si="44"/>
        <v>#N/A</v>
      </c>
      <c r="AI78" s="179" t="e">
        <f t="shared" si="45"/>
        <v>#N/A</v>
      </c>
      <c r="AJ78" s="147" t="e">
        <f t="shared" si="46"/>
        <v>#N/A</v>
      </c>
      <c r="AK78" s="157" t="e">
        <f t="shared" si="47"/>
        <v>#N/A</v>
      </c>
    </row>
    <row r="79" spans="1:37" ht="14.25" hidden="1" customHeight="1" x14ac:dyDescent="0.3">
      <c r="A79" s="168" t="s">
        <v>199</v>
      </c>
      <c r="B79" s="168" t="s">
        <v>210</v>
      </c>
      <c r="C79" s="168" t="s">
        <v>923</v>
      </c>
      <c r="D79" s="168" t="s">
        <v>922</v>
      </c>
      <c r="E79" s="169">
        <v>2</v>
      </c>
      <c r="F79" s="170" t="e">
        <f>IF(A79="","",VLOOKUP(A79,Cotizador!$A$5:$J$43,2,FALSE))</f>
        <v>#N/A</v>
      </c>
      <c r="G79" s="171" t="e">
        <f>IF(A79="","",VLOOKUP(A79,Cotizador!$A$5:$J$43,3,FALSE))</f>
        <v>#N/A</v>
      </c>
      <c r="H79" s="147" t="e">
        <f>IF(OR(A79="",D79=""),"",IF(D79="Sin estampar",0,IF(D79="Pecho",VLOOKUP(A79,Cotizador!$A$5:$J$43,4,FALSE),IF(D79="Espalda",VLOOKUP(A79,Cotizador!$A$5:$J$43,5,FALSE),VLOOKUP(A79,Cotizador!$A$5:$J$43,4,FALSE)+VLOOKUP(A79,Cotizador!$A$5:$J$43,5,FALSE)))))</f>
        <v>#N/A</v>
      </c>
      <c r="I79" s="147" t="e">
        <f>IF(A79="","",VLOOKUP(A79,Cotizador!$A$5:$J$43,6,FALSE))</f>
        <v>#N/A</v>
      </c>
      <c r="J79" s="147" t="e">
        <f>IF(A79="","",VLOOKUP(A79,Cotizador!$A$5:$J$43,7,FALSE))</f>
        <v>#N/A</v>
      </c>
      <c r="K79" s="172" t="e">
        <f t="shared" si="29"/>
        <v>#N/A</v>
      </c>
      <c r="L79" s="147" t="e">
        <f>IF(A79="","",IF(D79="Sin estampar",VLOOKUP(A79,Cotizador!$A$5:$J$43,8,FALSE),IF(D79="Pecho",VLOOKUP(A79,Cotizador!$A$5:$J$43,10,FALSE),VLOOKUP(A79,Cotizador!$A$5:$J$43,9,FALSE))))</f>
        <v>#N/A</v>
      </c>
      <c r="M79" s="173" t="e">
        <f t="shared" si="30"/>
        <v>#N/A</v>
      </c>
      <c r="N79" s="147" t="e">
        <f t="shared" si="31"/>
        <v>#N/A</v>
      </c>
      <c r="O79" s="157"/>
      <c r="P79" s="157" t="e">
        <f t="shared" si="32"/>
        <v>#N/A</v>
      </c>
      <c r="Q79" s="174" t="str">
        <f t="shared" si="33"/>
        <v>Camisa Oversize Peruana XL Verde Botella</v>
      </c>
      <c r="R79" s="180" t="e">
        <f ca="1"/>
        <v>#NAME?</v>
      </c>
      <c r="S79" s="181"/>
      <c r="T79" s="176">
        <f t="shared" ca="1" si="34"/>
        <v>0</v>
      </c>
      <c r="U79" s="6"/>
      <c r="V79" s="51" t="e">
        <f t="shared" si="35"/>
        <v>#N/A</v>
      </c>
      <c r="Y79" s="147" t="e">
        <f t="shared" si="36"/>
        <v>#N/A</v>
      </c>
      <c r="Z79" s="177" t="e">
        <f t="shared" si="37"/>
        <v>#N/A</v>
      </c>
      <c r="AA79" s="178"/>
      <c r="AB79" s="178" t="e">
        <f t="shared" si="38"/>
        <v>#N/A</v>
      </c>
      <c r="AC79" s="179" t="e">
        <f t="shared" si="39"/>
        <v>#N/A</v>
      </c>
      <c r="AD79" s="147" t="e">
        <f t="shared" si="40"/>
        <v>#N/A</v>
      </c>
      <c r="AE79" s="157" t="e">
        <f t="shared" si="41"/>
        <v>#N/A</v>
      </c>
      <c r="AF79" s="179" t="e">
        <f t="shared" si="42"/>
        <v>#N/A</v>
      </c>
      <c r="AG79" s="147" t="e">
        <f t="shared" si="43"/>
        <v>#N/A</v>
      </c>
      <c r="AH79" s="157" t="e">
        <f t="shared" si="44"/>
        <v>#N/A</v>
      </c>
      <c r="AI79" s="179" t="e">
        <f t="shared" si="45"/>
        <v>#N/A</v>
      </c>
      <c r="AJ79" s="147" t="e">
        <f t="shared" si="46"/>
        <v>#N/A</v>
      </c>
      <c r="AK79" s="157" t="e">
        <f t="shared" si="47"/>
        <v>#N/A</v>
      </c>
    </row>
    <row r="80" spans="1:37" ht="14.25" hidden="1" customHeight="1" x14ac:dyDescent="0.3">
      <c r="A80" s="168" t="s">
        <v>199</v>
      </c>
      <c r="B80" s="168" t="s">
        <v>200</v>
      </c>
      <c r="C80" s="168" t="s">
        <v>918</v>
      </c>
      <c r="D80" s="168" t="s">
        <v>922</v>
      </c>
      <c r="E80" s="169">
        <v>1</v>
      </c>
      <c r="F80" s="170" t="e">
        <f>IF(A80="","",VLOOKUP(A80,Cotizador!$A$5:$J$43,2,FALSE))</f>
        <v>#N/A</v>
      </c>
      <c r="G80" s="171" t="e">
        <f>IF(A80="","",VLOOKUP(A80,Cotizador!$A$5:$J$43,3,FALSE))</f>
        <v>#N/A</v>
      </c>
      <c r="H80" s="147" t="e">
        <f>IF(OR(A80="",D80=""),"",IF(D80="Sin estampar",0,IF(D80="Pecho",VLOOKUP(A80,Cotizador!$A$5:$J$43,4,FALSE),IF(D80="Espalda",VLOOKUP(A80,Cotizador!$A$5:$J$43,5,FALSE),VLOOKUP(A80,Cotizador!$A$5:$J$43,4,FALSE)+VLOOKUP(A80,Cotizador!$A$5:$J$43,5,FALSE)))))</f>
        <v>#N/A</v>
      </c>
      <c r="I80" s="147" t="e">
        <f>IF(A80="","",VLOOKUP(A80,Cotizador!$A$5:$J$43,6,FALSE))</f>
        <v>#N/A</v>
      </c>
      <c r="J80" s="147" t="e">
        <f>IF(A80="","",VLOOKUP(A80,Cotizador!$A$5:$J$43,7,FALSE))</f>
        <v>#N/A</v>
      </c>
      <c r="K80" s="172" t="e">
        <f t="shared" si="29"/>
        <v>#N/A</v>
      </c>
      <c r="L80" s="147" t="e">
        <f>IF(A80="","",IF(D80="Sin estampar",VLOOKUP(A80,Cotizador!$A$5:$J$43,8,FALSE),IF(D80="Pecho",VLOOKUP(A80,Cotizador!$A$5:$J$43,10,FALSE),VLOOKUP(A80,Cotizador!$A$5:$J$43,9,FALSE))))</f>
        <v>#N/A</v>
      </c>
      <c r="M80" s="173" t="e">
        <f t="shared" si="30"/>
        <v>#N/A</v>
      </c>
      <c r="N80" s="147" t="e">
        <f t="shared" si="31"/>
        <v>#N/A</v>
      </c>
      <c r="O80" s="157"/>
      <c r="P80" s="157" t="e">
        <f t="shared" si="32"/>
        <v>#N/A</v>
      </c>
      <c r="Q80" s="174" t="str">
        <f t="shared" si="33"/>
        <v>Camisa Oversize Peruana S Blanco</v>
      </c>
      <c r="R80" s="180" t="e">
        <f ca="1"/>
        <v>#NAME?</v>
      </c>
      <c r="S80" s="181"/>
      <c r="T80" s="176">
        <f t="shared" ca="1" si="34"/>
        <v>0</v>
      </c>
      <c r="U80" s="6"/>
      <c r="V80" s="51" t="e">
        <f t="shared" si="35"/>
        <v>#N/A</v>
      </c>
      <c r="Y80" s="147" t="e">
        <f t="shared" si="36"/>
        <v>#N/A</v>
      </c>
      <c r="Z80" s="177" t="e">
        <f t="shared" si="37"/>
        <v>#N/A</v>
      </c>
      <c r="AA80" s="178"/>
      <c r="AB80" s="178" t="e">
        <f t="shared" si="38"/>
        <v>#N/A</v>
      </c>
      <c r="AC80" s="179" t="e">
        <f t="shared" si="39"/>
        <v>#N/A</v>
      </c>
      <c r="AD80" s="147" t="e">
        <f t="shared" si="40"/>
        <v>#N/A</v>
      </c>
      <c r="AE80" s="157" t="e">
        <f t="shared" si="41"/>
        <v>#N/A</v>
      </c>
      <c r="AF80" s="179" t="e">
        <f t="shared" si="42"/>
        <v>#N/A</v>
      </c>
      <c r="AG80" s="147" t="e">
        <f t="shared" si="43"/>
        <v>#N/A</v>
      </c>
      <c r="AH80" s="157" t="e">
        <f t="shared" si="44"/>
        <v>#N/A</v>
      </c>
      <c r="AI80" s="179" t="e">
        <f t="shared" si="45"/>
        <v>#N/A</v>
      </c>
      <c r="AJ80" s="147" t="e">
        <f t="shared" si="46"/>
        <v>#N/A</v>
      </c>
      <c r="AK80" s="157" t="e">
        <f t="shared" si="47"/>
        <v>#N/A</v>
      </c>
    </row>
    <row r="81" spans="1:37" ht="14.25" hidden="1" customHeight="1" x14ac:dyDescent="0.3">
      <c r="A81" s="168" t="s">
        <v>199</v>
      </c>
      <c r="B81" s="168" t="s">
        <v>204</v>
      </c>
      <c r="C81" s="168" t="s">
        <v>918</v>
      </c>
      <c r="D81" s="168" t="s">
        <v>922</v>
      </c>
      <c r="E81" s="169">
        <v>2</v>
      </c>
      <c r="F81" s="170" t="e">
        <f>IF(A81="","",VLOOKUP(A81,Cotizador!$A$5:$J$43,2,FALSE))</f>
        <v>#N/A</v>
      </c>
      <c r="G81" s="171" t="e">
        <f>IF(A81="","",VLOOKUP(A81,Cotizador!$A$5:$J$43,3,FALSE))</f>
        <v>#N/A</v>
      </c>
      <c r="H81" s="147" t="e">
        <f>IF(OR(A81="",D81=""),"",IF(D81="Sin estampar",0,IF(D81="Pecho",VLOOKUP(A81,Cotizador!$A$5:$J$43,4,FALSE),IF(D81="Espalda",VLOOKUP(A81,Cotizador!$A$5:$J$43,5,FALSE),VLOOKUP(A81,Cotizador!$A$5:$J$43,4,FALSE)+VLOOKUP(A81,Cotizador!$A$5:$J$43,5,FALSE)))))</f>
        <v>#N/A</v>
      </c>
      <c r="I81" s="147" t="e">
        <f>IF(A81="","",VLOOKUP(A81,Cotizador!$A$5:$J$43,6,FALSE))</f>
        <v>#N/A</v>
      </c>
      <c r="J81" s="147" t="e">
        <f>IF(A81="","",VLOOKUP(A81,Cotizador!$A$5:$J$43,7,FALSE))</f>
        <v>#N/A</v>
      </c>
      <c r="K81" s="172" t="e">
        <f t="shared" si="29"/>
        <v>#N/A</v>
      </c>
      <c r="L81" s="147" t="e">
        <f>IF(A81="","",IF(D81="Sin estampar",VLOOKUP(A81,Cotizador!$A$5:$J$43,8,FALSE),IF(D81="Pecho",VLOOKUP(A81,Cotizador!$A$5:$J$43,10,FALSE),VLOOKUP(A81,Cotizador!$A$5:$J$43,9,FALSE))))</f>
        <v>#N/A</v>
      </c>
      <c r="M81" s="173" t="e">
        <f t="shared" si="30"/>
        <v>#N/A</v>
      </c>
      <c r="N81" s="147" t="e">
        <f t="shared" si="31"/>
        <v>#N/A</v>
      </c>
      <c r="O81" s="157"/>
      <c r="P81" s="157" t="e">
        <f t="shared" si="32"/>
        <v>#N/A</v>
      </c>
      <c r="Q81" s="174" t="str">
        <f t="shared" si="33"/>
        <v>Camisa Oversize Peruana M Blanco</v>
      </c>
      <c r="R81" s="180" t="e">
        <f ca="1"/>
        <v>#NAME?</v>
      </c>
      <c r="S81" s="181"/>
      <c r="T81" s="176">
        <f t="shared" ca="1" si="34"/>
        <v>0</v>
      </c>
      <c r="U81" s="6"/>
      <c r="V81" s="51" t="e">
        <f t="shared" si="35"/>
        <v>#N/A</v>
      </c>
      <c r="Y81" s="147" t="e">
        <f t="shared" si="36"/>
        <v>#N/A</v>
      </c>
      <c r="Z81" s="177" t="e">
        <f t="shared" si="37"/>
        <v>#N/A</v>
      </c>
      <c r="AA81" s="178"/>
      <c r="AB81" s="178" t="e">
        <f t="shared" si="38"/>
        <v>#N/A</v>
      </c>
      <c r="AC81" s="179" t="e">
        <f t="shared" si="39"/>
        <v>#N/A</v>
      </c>
      <c r="AD81" s="147" t="e">
        <f t="shared" si="40"/>
        <v>#N/A</v>
      </c>
      <c r="AE81" s="157" t="e">
        <f t="shared" si="41"/>
        <v>#N/A</v>
      </c>
      <c r="AF81" s="179" t="e">
        <f t="shared" si="42"/>
        <v>#N/A</v>
      </c>
      <c r="AG81" s="147" t="e">
        <f t="shared" si="43"/>
        <v>#N/A</v>
      </c>
      <c r="AH81" s="157" t="e">
        <f t="shared" si="44"/>
        <v>#N/A</v>
      </c>
      <c r="AI81" s="179" t="e">
        <f t="shared" si="45"/>
        <v>#N/A</v>
      </c>
      <c r="AJ81" s="147" t="e">
        <f t="shared" si="46"/>
        <v>#N/A</v>
      </c>
      <c r="AK81" s="157" t="e">
        <f t="shared" si="47"/>
        <v>#N/A</v>
      </c>
    </row>
    <row r="82" spans="1:37" ht="14.25" hidden="1" customHeight="1" x14ac:dyDescent="0.3">
      <c r="A82" s="168" t="s">
        <v>199</v>
      </c>
      <c r="B82" s="168" t="s">
        <v>207</v>
      </c>
      <c r="C82" s="168" t="s">
        <v>918</v>
      </c>
      <c r="D82" s="168" t="s">
        <v>922</v>
      </c>
      <c r="E82" s="169">
        <v>2</v>
      </c>
      <c r="F82" s="170" t="e">
        <f>IF(A82="","",VLOOKUP(A82,Cotizador!$A$5:$J$43,2,FALSE))</f>
        <v>#N/A</v>
      </c>
      <c r="G82" s="171" t="e">
        <f>IF(A82="","",VLOOKUP(A82,Cotizador!$A$5:$J$43,3,FALSE))</f>
        <v>#N/A</v>
      </c>
      <c r="H82" s="147" t="e">
        <f>IF(OR(A82="",D82=""),"",IF(D82="Sin estampar",0,IF(D82="Pecho",VLOOKUP(A82,Cotizador!$A$5:$J$43,4,FALSE),IF(D82="Espalda",VLOOKUP(A82,Cotizador!$A$5:$J$43,5,FALSE),VLOOKUP(A82,Cotizador!$A$5:$J$43,4,FALSE)+VLOOKUP(A82,Cotizador!$A$5:$J$43,5,FALSE)))))</f>
        <v>#N/A</v>
      </c>
      <c r="I82" s="147" t="e">
        <f>IF(A82="","",VLOOKUP(A82,Cotizador!$A$5:$J$43,6,FALSE))</f>
        <v>#N/A</v>
      </c>
      <c r="J82" s="147" t="e">
        <f>IF(A82="","",VLOOKUP(A82,Cotizador!$A$5:$J$43,7,FALSE))</f>
        <v>#N/A</v>
      </c>
      <c r="K82" s="172" t="e">
        <f t="shared" si="29"/>
        <v>#N/A</v>
      </c>
      <c r="L82" s="147" t="e">
        <f>IF(A82="","",IF(D82="Sin estampar",VLOOKUP(A82,Cotizador!$A$5:$J$43,8,FALSE),IF(D82="Pecho",VLOOKUP(A82,Cotizador!$A$5:$J$43,10,FALSE),VLOOKUP(A82,Cotizador!$A$5:$J$43,9,FALSE))))</f>
        <v>#N/A</v>
      </c>
      <c r="M82" s="173" t="e">
        <f t="shared" si="30"/>
        <v>#N/A</v>
      </c>
      <c r="N82" s="147" t="e">
        <f t="shared" si="31"/>
        <v>#N/A</v>
      </c>
      <c r="O82" s="157"/>
      <c r="P82" s="157" t="e">
        <f t="shared" si="32"/>
        <v>#N/A</v>
      </c>
      <c r="Q82" s="174" t="str">
        <f t="shared" si="33"/>
        <v>Camisa Oversize Peruana L Blanco</v>
      </c>
      <c r="R82" s="180" t="e">
        <f ca="1"/>
        <v>#NAME?</v>
      </c>
      <c r="S82" s="181"/>
      <c r="T82" s="176">
        <f t="shared" ca="1" si="34"/>
        <v>0</v>
      </c>
      <c r="U82" s="6"/>
      <c r="V82" s="51" t="e">
        <f t="shared" si="35"/>
        <v>#N/A</v>
      </c>
      <c r="Y82" s="147" t="e">
        <f t="shared" si="36"/>
        <v>#N/A</v>
      </c>
      <c r="Z82" s="177" t="e">
        <f t="shared" si="37"/>
        <v>#N/A</v>
      </c>
      <c r="AA82" s="178"/>
      <c r="AB82" s="178" t="e">
        <f t="shared" si="38"/>
        <v>#N/A</v>
      </c>
      <c r="AC82" s="179" t="e">
        <f t="shared" si="39"/>
        <v>#N/A</v>
      </c>
      <c r="AD82" s="147" t="e">
        <f t="shared" si="40"/>
        <v>#N/A</v>
      </c>
      <c r="AE82" s="157" t="e">
        <f t="shared" si="41"/>
        <v>#N/A</v>
      </c>
      <c r="AF82" s="179" t="e">
        <f t="shared" si="42"/>
        <v>#N/A</v>
      </c>
      <c r="AG82" s="147" t="e">
        <f t="shared" si="43"/>
        <v>#N/A</v>
      </c>
      <c r="AH82" s="157" t="e">
        <f t="shared" si="44"/>
        <v>#N/A</v>
      </c>
      <c r="AI82" s="179" t="e">
        <f t="shared" si="45"/>
        <v>#N/A</v>
      </c>
      <c r="AJ82" s="147" t="e">
        <f t="shared" si="46"/>
        <v>#N/A</v>
      </c>
      <c r="AK82" s="157" t="e">
        <f t="shared" si="47"/>
        <v>#N/A</v>
      </c>
    </row>
    <row r="83" spans="1:37" ht="14.25" hidden="1" customHeight="1" x14ac:dyDescent="0.3">
      <c r="A83" s="168" t="s">
        <v>199</v>
      </c>
      <c r="B83" s="168" t="s">
        <v>210</v>
      </c>
      <c r="C83" s="168" t="s">
        <v>918</v>
      </c>
      <c r="D83" s="168" t="s">
        <v>922</v>
      </c>
      <c r="E83" s="169">
        <v>2</v>
      </c>
      <c r="F83" s="170" t="e">
        <f>IF(A83="","",VLOOKUP(A83,Cotizador!$A$5:$J$43,2,FALSE))</f>
        <v>#N/A</v>
      </c>
      <c r="G83" s="171" t="e">
        <f>IF(A83="","",VLOOKUP(A83,Cotizador!$A$5:$J$43,3,FALSE))</f>
        <v>#N/A</v>
      </c>
      <c r="H83" s="147" t="e">
        <f>IF(OR(A83="",D83=""),"",IF(D83="Sin estampar",0,IF(D83="Pecho",VLOOKUP(A83,Cotizador!$A$5:$J$43,4,FALSE),IF(D83="Espalda",VLOOKUP(A83,Cotizador!$A$5:$J$43,5,FALSE),VLOOKUP(A83,Cotizador!$A$5:$J$43,4,FALSE)+VLOOKUP(A83,Cotizador!$A$5:$J$43,5,FALSE)))))</f>
        <v>#N/A</v>
      </c>
      <c r="I83" s="147" t="e">
        <f>IF(A83="","",VLOOKUP(A83,Cotizador!$A$5:$J$43,6,FALSE))</f>
        <v>#N/A</v>
      </c>
      <c r="J83" s="147" t="e">
        <f>IF(A83="","",VLOOKUP(A83,Cotizador!$A$5:$J$43,7,FALSE))</f>
        <v>#N/A</v>
      </c>
      <c r="K83" s="172" t="e">
        <f t="shared" si="29"/>
        <v>#N/A</v>
      </c>
      <c r="L83" s="147" t="e">
        <f>IF(A83="","",IF(D83="Sin estampar",VLOOKUP(A83,Cotizador!$A$5:$J$43,8,FALSE),IF(D83="Pecho",VLOOKUP(A83,Cotizador!$A$5:$J$43,10,FALSE),VLOOKUP(A83,Cotizador!$A$5:$J$43,9,FALSE))))</f>
        <v>#N/A</v>
      </c>
      <c r="M83" s="173" t="e">
        <f t="shared" si="30"/>
        <v>#N/A</v>
      </c>
      <c r="N83" s="147" t="e">
        <f t="shared" si="31"/>
        <v>#N/A</v>
      </c>
      <c r="O83" s="157"/>
      <c r="P83" s="157" t="e">
        <f t="shared" si="32"/>
        <v>#N/A</v>
      </c>
      <c r="Q83" s="174" t="str">
        <f t="shared" si="33"/>
        <v>Camisa Oversize Peruana XL Blanco</v>
      </c>
      <c r="R83" s="180" t="e">
        <f ca="1"/>
        <v>#NAME?</v>
      </c>
      <c r="S83" s="181"/>
      <c r="T83" s="176">
        <f t="shared" ca="1" si="34"/>
        <v>0</v>
      </c>
      <c r="U83" s="6"/>
      <c r="V83" s="51" t="e">
        <f t="shared" si="35"/>
        <v>#N/A</v>
      </c>
      <c r="Y83" s="147" t="e">
        <f t="shared" si="36"/>
        <v>#N/A</v>
      </c>
      <c r="Z83" s="177" t="e">
        <f t="shared" si="37"/>
        <v>#N/A</v>
      </c>
      <c r="AA83" s="178"/>
      <c r="AB83" s="178" t="e">
        <f t="shared" si="38"/>
        <v>#N/A</v>
      </c>
      <c r="AC83" s="179" t="e">
        <f t="shared" si="39"/>
        <v>#N/A</v>
      </c>
      <c r="AD83" s="147" t="e">
        <f t="shared" si="40"/>
        <v>#N/A</v>
      </c>
      <c r="AE83" s="157" t="e">
        <f t="shared" si="41"/>
        <v>#N/A</v>
      </c>
      <c r="AF83" s="179" t="e">
        <f t="shared" si="42"/>
        <v>#N/A</v>
      </c>
      <c r="AG83" s="147" t="e">
        <f t="shared" si="43"/>
        <v>#N/A</v>
      </c>
      <c r="AH83" s="157" t="e">
        <f t="shared" si="44"/>
        <v>#N/A</v>
      </c>
      <c r="AI83" s="179" t="e">
        <f t="shared" si="45"/>
        <v>#N/A</v>
      </c>
      <c r="AJ83" s="147" t="e">
        <f t="shared" si="46"/>
        <v>#N/A</v>
      </c>
      <c r="AK83" s="157" t="e">
        <f t="shared" si="47"/>
        <v>#N/A</v>
      </c>
    </row>
    <row r="84" spans="1:37" ht="14.25" hidden="1" customHeight="1" x14ac:dyDescent="0.3">
      <c r="A84" s="168" t="s">
        <v>199</v>
      </c>
      <c r="B84" s="168" t="s">
        <v>200</v>
      </c>
      <c r="C84" s="168" t="s">
        <v>919</v>
      </c>
      <c r="D84" s="168" t="s">
        <v>922</v>
      </c>
      <c r="E84" s="169">
        <v>1</v>
      </c>
      <c r="F84" s="170" t="e">
        <f>IF(A84="","",VLOOKUP(A84,Cotizador!$A$5:$J$43,2,FALSE))</f>
        <v>#N/A</v>
      </c>
      <c r="G84" s="171" t="e">
        <f>IF(A84="","",VLOOKUP(A84,Cotizador!$A$5:$J$43,3,FALSE))</f>
        <v>#N/A</v>
      </c>
      <c r="H84" s="147" t="e">
        <f>IF(OR(A84="",D84=""),"",IF(D84="Sin estampar",0,IF(D84="Pecho",VLOOKUP(A84,Cotizador!$A$5:$J$43,4,FALSE),IF(D84="Espalda",VLOOKUP(A84,Cotizador!$A$5:$J$43,5,FALSE),VLOOKUP(A84,Cotizador!$A$5:$J$43,4,FALSE)+VLOOKUP(A84,Cotizador!$A$5:$J$43,5,FALSE)))))</f>
        <v>#N/A</v>
      </c>
      <c r="I84" s="147" t="e">
        <f>IF(A84="","",VLOOKUP(A84,Cotizador!$A$5:$J$43,6,FALSE))</f>
        <v>#N/A</v>
      </c>
      <c r="J84" s="147" t="e">
        <f>IF(A84="","",VLOOKUP(A84,Cotizador!$A$5:$J$43,7,FALSE))</f>
        <v>#N/A</v>
      </c>
      <c r="K84" s="172" t="e">
        <f t="shared" si="29"/>
        <v>#N/A</v>
      </c>
      <c r="L84" s="147" t="e">
        <f>IF(A84="","",IF(D84="Sin estampar",VLOOKUP(A84,Cotizador!$A$5:$J$43,8,FALSE),IF(D84="Pecho",VLOOKUP(A84,Cotizador!$A$5:$J$43,10,FALSE),VLOOKUP(A84,Cotizador!$A$5:$J$43,9,FALSE))))</f>
        <v>#N/A</v>
      </c>
      <c r="M84" s="173" t="e">
        <f t="shared" si="30"/>
        <v>#N/A</v>
      </c>
      <c r="N84" s="147" t="e">
        <f t="shared" si="31"/>
        <v>#N/A</v>
      </c>
      <c r="O84" s="157"/>
      <c r="P84" s="157" t="e">
        <f t="shared" si="32"/>
        <v>#N/A</v>
      </c>
      <c r="Q84" s="174" t="str">
        <f t="shared" si="33"/>
        <v>Camisa Oversize Peruana S Perla</v>
      </c>
      <c r="R84" s="180" t="e">
        <f ca="1"/>
        <v>#NAME?</v>
      </c>
      <c r="S84" s="181"/>
      <c r="T84" s="176">
        <f t="shared" ca="1" si="34"/>
        <v>0</v>
      </c>
      <c r="U84" s="6"/>
      <c r="V84" s="51" t="e">
        <f t="shared" si="35"/>
        <v>#N/A</v>
      </c>
      <c r="Y84" s="147" t="e">
        <f t="shared" si="36"/>
        <v>#N/A</v>
      </c>
      <c r="Z84" s="177" t="e">
        <f t="shared" si="37"/>
        <v>#N/A</v>
      </c>
      <c r="AA84" s="178"/>
      <c r="AB84" s="178" t="e">
        <f t="shared" si="38"/>
        <v>#N/A</v>
      </c>
      <c r="AC84" s="179" t="e">
        <f t="shared" si="39"/>
        <v>#N/A</v>
      </c>
      <c r="AD84" s="147" t="e">
        <f t="shared" si="40"/>
        <v>#N/A</v>
      </c>
      <c r="AE84" s="157" t="e">
        <f t="shared" si="41"/>
        <v>#N/A</v>
      </c>
      <c r="AF84" s="179" t="e">
        <f t="shared" si="42"/>
        <v>#N/A</v>
      </c>
      <c r="AG84" s="147" t="e">
        <f t="shared" si="43"/>
        <v>#N/A</v>
      </c>
      <c r="AH84" s="157" t="e">
        <f t="shared" si="44"/>
        <v>#N/A</v>
      </c>
      <c r="AI84" s="179" t="e">
        <f t="shared" si="45"/>
        <v>#N/A</v>
      </c>
      <c r="AJ84" s="147" t="e">
        <f t="shared" si="46"/>
        <v>#N/A</v>
      </c>
      <c r="AK84" s="157" t="e">
        <f t="shared" si="47"/>
        <v>#N/A</v>
      </c>
    </row>
    <row r="85" spans="1:37" ht="14.25" hidden="1" customHeight="1" x14ac:dyDescent="0.3">
      <c r="A85" s="168" t="s">
        <v>199</v>
      </c>
      <c r="B85" s="168" t="s">
        <v>204</v>
      </c>
      <c r="C85" s="168" t="s">
        <v>919</v>
      </c>
      <c r="D85" s="168" t="s">
        <v>922</v>
      </c>
      <c r="E85" s="169">
        <v>2</v>
      </c>
      <c r="F85" s="170" t="e">
        <f>IF(A85="","",VLOOKUP(A85,Cotizador!$A$5:$J$43,2,FALSE))</f>
        <v>#N/A</v>
      </c>
      <c r="G85" s="171" t="e">
        <f>IF(A85="","",VLOOKUP(A85,Cotizador!$A$5:$J$43,3,FALSE))</f>
        <v>#N/A</v>
      </c>
      <c r="H85" s="147" t="e">
        <f>IF(OR(A85="",D85=""),"",IF(D85="Sin estampar",0,IF(D85="Pecho",VLOOKUP(A85,Cotizador!$A$5:$J$43,4,FALSE),IF(D85="Espalda",VLOOKUP(A85,Cotizador!$A$5:$J$43,5,FALSE),VLOOKUP(A85,Cotizador!$A$5:$J$43,4,FALSE)+VLOOKUP(A85,Cotizador!$A$5:$J$43,5,FALSE)))))</f>
        <v>#N/A</v>
      </c>
      <c r="I85" s="147" t="e">
        <f>IF(A85="","",VLOOKUP(A85,Cotizador!$A$5:$J$43,6,FALSE))</f>
        <v>#N/A</v>
      </c>
      <c r="J85" s="147" t="e">
        <f>IF(A85="","",VLOOKUP(A85,Cotizador!$A$5:$J$43,7,FALSE))</f>
        <v>#N/A</v>
      </c>
      <c r="K85" s="172" t="e">
        <f t="shared" si="29"/>
        <v>#N/A</v>
      </c>
      <c r="L85" s="147" t="e">
        <f>IF(A85="","",IF(D85="Sin estampar",VLOOKUP(A85,Cotizador!$A$5:$J$43,8,FALSE),IF(D85="Pecho",VLOOKUP(A85,Cotizador!$A$5:$J$43,10,FALSE),VLOOKUP(A85,Cotizador!$A$5:$J$43,9,FALSE))))</f>
        <v>#N/A</v>
      </c>
      <c r="M85" s="173" t="e">
        <f t="shared" si="30"/>
        <v>#N/A</v>
      </c>
      <c r="N85" s="147" t="e">
        <f t="shared" si="31"/>
        <v>#N/A</v>
      </c>
      <c r="O85" s="157"/>
      <c r="P85" s="157" t="e">
        <f t="shared" si="32"/>
        <v>#N/A</v>
      </c>
      <c r="Q85" s="174" t="str">
        <f t="shared" si="33"/>
        <v>Camisa Oversize Peruana M Perla</v>
      </c>
      <c r="R85" s="180" t="e">
        <f ca="1"/>
        <v>#NAME?</v>
      </c>
      <c r="S85" s="181"/>
      <c r="T85" s="176">
        <f t="shared" ca="1" si="34"/>
        <v>0</v>
      </c>
      <c r="U85" s="6"/>
      <c r="V85" s="51" t="e">
        <f t="shared" si="35"/>
        <v>#N/A</v>
      </c>
      <c r="Y85" s="147" t="e">
        <f t="shared" si="36"/>
        <v>#N/A</v>
      </c>
      <c r="Z85" s="177" t="e">
        <f t="shared" si="37"/>
        <v>#N/A</v>
      </c>
      <c r="AA85" s="178"/>
      <c r="AB85" s="178" t="e">
        <f t="shared" si="38"/>
        <v>#N/A</v>
      </c>
      <c r="AC85" s="179" t="e">
        <f t="shared" si="39"/>
        <v>#N/A</v>
      </c>
      <c r="AD85" s="147" t="e">
        <f t="shared" si="40"/>
        <v>#N/A</v>
      </c>
      <c r="AE85" s="157" t="e">
        <f t="shared" si="41"/>
        <v>#N/A</v>
      </c>
      <c r="AF85" s="179" t="e">
        <f t="shared" si="42"/>
        <v>#N/A</v>
      </c>
      <c r="AG85" s="147" t="e">
        <f t="shared" si="43"/>
        <v>#N/A</v>
      </c>
      <c r="AH85" s="157" t="e">
        <f t="shared" si="44"/>
        <v>#N/A</v>
      </c>
      <c r="AI85" s="179" t="e">
        <f t="shared" si="45"/>
        <v>#N/A</v>
      </c>
      <c r="AJ85" s="147" t="e">
        <f t="shared" si="46"/>
        <v>#N/A</v>
      </c>
      <c r="AK85" s="157" t="e">
        <f t="shared" si="47"/>
        <v>#N/A</v>
      </c>
    </row>
    <row r="86" spans="1:37" ht="14.25" hidden="1" customHeight="1" x14ac:dyDescent="0.3">
      <c r="A86" s="168" t="s">
        <v>199</v>
      </c>
      <c r="B86" s="168" t="s">
        <v>207</v>
      </c>
      <c r="C86" s="168" t="s">
        <v>919</v>
      </c>
      <c r="D86" s="168" t="s">
        <v>922</v>
      </c>
      <c r="E86" s="169">
        <v>2</v>
      </c>
      <c r="F86" s="170" t="e">
        <f>IF(A86="","",VLOOKUP(A86,Cotizador!$A$5:$J$43,2,FALSE))</f>
        <v>#N/A</v>
      </c>
      <c r="G86" s="171" t="e">
        <f>IF(A86="","",VLOOKUP(A86,Cotizador!$A$5:$J$43,3,FALSE))</f>
        <v>#N/A</v>
      </c>
      <c r="H86" s="147" t="e">
        <f>IF(OR(A86="",D86=""),"",IF(D86="Sin estampar",0,IF(D86="Pecho",VLOOKUP(A86,Cotizador!$A$5:$J$43,4,FALSE),IF(D86="Espalda",VLOOKUP(A86,Cotizador!$A$5:$J$43,5,FALSE),VLOOKUP(A86,Cotizador!$A$5:$J$43,4,FALSE)+VLOOKUP(A86,Cotizador!$A$5:$J$43,5,FALSE)))))</f>
        <v>#N/A</v>
      </c>
      <c r="I86" s="147" t="e">
        <f>IF(A86="","",VLOOKUP(A86,Cotizador!$A$5:$J$43,6,FALSE))</f>
        <v>#N/A</v>
      </c>
      <c r="J86" s="147" t="e">
        <f>IF(A86="","",VLOOKUP(A86,Cotizador!$A$5:$J$43,7,FALSE))</f>
        <v>#N/A</v>
      </c>
      <c r="K86" s="172" t="e">
        <f t="shared" si="29"/>
        <v>#N/A</v>
      </c>
      <c r="L86" s="147" t="e">
        <f>IF(A86="","",IF(D86="Sin estampar",VLOOKUP(A86,Cotizador!$A$5:$J$43,8,FALSE),IF(D86="Pecho",VLOOKUP(A86,Cotizador!$A$5:$J$43,10,FALSE),VLOOKUP(A86,Cotizador!$A$5:$J$43,9,FALSE))))</f>
        <v>#N/A</v>
      </c>
      <c r="M86" s="173" t="e">
        <f t="shared" si="30"/>
        <v>#N/A</v>
      </c>
      <c r="N86" s="147" t="e">
        <f t="shared" si="31"/>
        <v>#N/A</v>
      </c>
      <c r="O86" s="157"/>
      <c r="P86" s="157" t="e">
        <f t="shared" si="32"/>
        <v>#N/A</v>
      </c>
      <c r="Q86" s="174" t="str">
        <f t="shared" si="33"/>
        <v>Camisa Oversize Peruana L Perla</v>
      </c>
      <c r="R86" s="180" t="e">
        <f ca="1"/>
        <v>#NAME?</v>
      </c>
      <c r="S86" s="181"/>
      <c r="T86" s="176">
        <f t="shared" ca="1" si="34"/>
        <v>0</v>
      </c>
      <c r="U86" s="6"/>
      <c r="V86" s="51" t="e">
        <f t="shared" si="35"/>
        <v>#N/A</v>
      </c>
      <c r="Y86" s="147" t="e">
        <f t="shared" si="36"/>
        <v>#N/A</v>
      </c>
      <c r="Z86" s="177" t="e">
        <f t="shared" si="37"/>
        <v>#N/A</v>
      </c>
      <c r="AA86" s="178"/>
      <c r="AB86" s="178" t="e">
        <f t="shared" si="38"/>
        <v>#N/A</v>
      </c>
      <c r="AC86" s="179" t="e">
        <f t="shared" si="39"/>
        <v>#N/A</v>
      </c>
      <c r="AD86" s="147" t="e">
        <f t="shared" si="40"/>
        <v>#N/A</v>
      </c>
      <c r="AE86" s="157" t="e">
        <f t="shared" si="41"/>
        <v>#N/A</v>
      </c>
      <c r="AF86" s="179" t="e">
        <f t="shared" si="42"/>
        <v>#N/A</v>
      </c>
      <c r="AG86" s="147" t="e">
        <f t="shared" si="43"/>
        <v>#N/A</v>
      </c>
      <c r="AH86" s="157" t="e">
        <f t="shared" si="44"/>
        <v>#N/A</v>
      </c>
      <c r="AI86" s="179" t="e">
        <f t="shared" si="45"/>
        <v>#N/A</v>
      </c>
      <c r="AJ86" s="147" t="e">
        <f t="shared" si="46"/>
        <v>#N/A</v>
      </c>
      <c r="AK86" s="157" t="e">
        <f t="shared" si="47"/>
        <v>#N/A</v>
      </c>
    </row>
    <row r="87" spans="1:37" ht="14.25" hidden="1" customHeight="1" x14ac:dyDescent="0.3">
      <c r="A87" s="168" t="s">
        <v>199</v>
      </c>
      <c r="B87" s="168" t="s">
        <v>210</v>
      </c>
      <c r="C87" s="168" t="s">
        <v>919</v>
      </c>
      <c r="D87" s="168" t="s">
        <v>922</v>
      </c>
      <c r="E87" s="169">
        <v>2</v>
      </c>
      <c r="F87" s="170" t="e">
        <f>IF(A87="","",VLOOKUP(A87,Cotizador!$A$5:$J$43,2,FALSE))</f>
        <v>#N/A</v>
      </c>
      <c r="G87" s="171" t="e">
        <f>IF(A87="","",VLOOKUP(A87,Cotizador!$A$5:$J$43,3,FALSE))</f>
        <v>#N/A</v>
      </c>
      <c r="H87" s="147" t="e">
        <f>IF(OR(A87="",D87=""),"",IF(D87="Sin estampar",0,IF(D87="Pecho",VLOOKUP(A87,Cotizador!$A$5:$J$43,4,FALSE),IF(D87="Espalda",VLOOKUP(A87,Cotizador!$A$5:$J$43,5,FALSE),VLOOKUP(A87,Cotizador!$A$5:$J$43,4,FALSE)+VLOOKUP(A87,Cotizador!$A$5:$J$43,5,FALSE)))))</f>
        <v>#N/A</v>
      </c>
      <c r="I87" s="147" t="e">
        <f>IF(A87="","",VLOOKUP(A87,Cotizador!$A$5:$J$43,6,FALSE))</f>
        <v>#N/A</v>
      </c>
      <c r="J87" s="147" t="e">
        <f>IF(A87="","",VLOOKUP(A87,Cotizador!$A$5:$J$43,7,FALSE))</f>
        <v>#N/A</v>
      </c>
      <c r="K87" s="172" t="e">
        <f t="shared" si="29"/>
        <v>#N/A</v>
      </c>
      <c r="L87" s="147" t="e">
        <f>IF(A87="","",IF(D87="Sin estampar",VLOOKUP(A87,Cotizador!$A$5:$J$43,8,FALSE),IF(D87="Pecho",VLOOKUP(A87,Cotizador!$A$5:$J$43,10,FALSE),VLOOKUP(A87,Cotizador!$A$5:$J$43,9,FALSE))))</f>
        <v>#N/A</v>
      </c>
      <c r="M87" s="173" t="e">
        <f t="shared" si="30"/>
        <v>#N/A</v>
      </c>
      <c r="N87" s="147" t="e">
        <f t="shared" si="31"/>
        <v>#N/A</v>
      </c>
      <c r="O87" s="157"/>
      <c r="P87" s="157" t="e">
        <f t="shared" si="32"/>
        <v>#N/A</v>
      </c>
      <c r="Q87" s="174" t="str">
        <f t="shared" si="33"/>
        <v>Camisa Oversize Peruana XL Perla</v>
      </c>
      <c r="R87" s="180" t="e">
        <f ca="1"/>
        <v>#NAME?</v>
      </c>
      <c r="S87" s="181"/>
      <c r="T87" s="176">
        <f t="shared" ca="1" si="34"/>
        <v>0</v>
      </c>
      <c r="U87" s="6"/>
      <c r="V87" s="51" t="e">
        <f t="shared" si="35"/>
        <v>#N/A</v>
      </c>
      <c r="Y87" s="147" t="e">
        <f t="shared" si="36"/>
        <v>#N/A</v>
      </c>
      <c r="Z87" s="177" t="e">
        <f t="shared" si="37"/>
        <v>#N/A</v>
      </c>
      <c r="AA87" s="178"/>
      <c r="AB87" s="178" t="e">
        <f t="shared" si="38"/>
        <v>#N/A</v>
      </c>
      <c r="AC87" s="179" t="e">
        <f t="shared" si="39"/>
        <v>#N/A</v>
      </c>
      <c r="AD87" s="147" t="e">
        <f t="shared" si="40"/>
        <v>#N/A</v>
      </c>
      <c r="AE87" s="157" t="e">
        <f t="shared" si="41"/>
        <v>#N/A</v>
      </c>
      <c r="AF87" s="179" t="e">
        <f t="shared" si="42"/>
        <v>#N/A</v>
      </c>
      <c r="AG87" s="147" t="e">
        <f t="shared" si="43"/>
        <v>#N/A</v>
      </c>
      <c r="AH87" s="157" t="e">
        <f t="shared" si="44"/>
        <v>#N/A</v>
      </c>
      <c r="AI87" s="179" t="e">
        <f t="shared" si="45"/>
        <v>#N/A</v>
      </c>
      <c r="AJ87" s="147" t="e">
        <f t="shared" si="46"/>
        <v>#N/A</v>
      </c>
      <c r="AK87" s="157" t="e">
        <f t="shared" si="47"/>
        <v>#N/A</v>
      </c>
    </row>
    <row r="88" spans="1:37" ht="14.25" hidden="1" customHeight="1" x14ac:dyDescent="0.3">
      <c r="A88" s="168" t="s">
        <v>199</v>
      </c>
      <c r="B88" s="168" t="s">
        <v>200</v>
      </c>
      <c r="C88" s="168" t="s">
        <v>920</v>
      </c>
      <c r="D88" s="168" t="s">
        <v>924</v>
      </c>
      <c r="E88" s="169">
        <v>1</v>
      </c>
      <c r="F88" s="170" t="e">
        <f>IF(A88="","",VLOOKUP(A88,Cotizador!$A$5:$J$43,2,FALSE))</f>
        <v>#N/A</v>
      </c>
      <c r="G88" s="171" t="e">
        <f>IF(A88="","",VLOOKUP(A88,Cotizador!$A$5:$J$43,3,FALSE))</f>
        <v>#N/A</v>
      </c>
      <c r="H88" s="147" t="e">
        <f>IF(OR(A88="",D88=""),"",IF(D88="Sin estampar",0,IF(D88="Pecho",VLOOKUP(A88,Cotizador!$A$5:$J$43,4,FALSE),IF(D88="Espalda",VLOOKUP(A88,Cotizador!$A$5:$J$43,5,FALSE),VLOOKUP(A88,Cotizador!$A$5:$J$43,4,FALSE)+VLOOKUP(A88,Cotizador!$A$5:$J$43,5,FALSE)))))</f>
        <v>#N/A</v>
      </c>
      <c r="I88" s="147" t="e">
        <f>IF(A88="","",VLOOKUP(A88,Cotizador!$A$5:$J$43,6,FALSE))</f>
        <v>#N/A</v>
      </c>
      <c r="J88" s="147" t="e">
        <f>IF(A88="","",VLOOKUP(A88,Cotizador!$A$5:$J$43,7,FALSE))</f>
        <v>#N/A</v>
      </c>
      <c r="K88" s="172" t="e">
        <f t="shared" si="29"/>
        <v>#N/A</v>
      </c>
      <c r="L88" s="147" t="e">
        <f>IF(A88="","",IF(D88="Sin estampar",VLOOKUP(A88,Cotizador!$A$5:$J$43,8,FALSE),IF(D88="Pecho",VLOOKUP(A88,Cotizador!$A$5:$J$43,10,FALSE),VLOOKUP(A88,Cotizador!$A$5:$J$43,9,FALSE))))</f>
        <v>#N/A</v>
      </c>
      <c r="M88" s="173" t="e">
        <f t="shared" si="30"/>
        <v>#N/A</v>
      </c>
      <c r="N88" s="147" t="e">
        <f t="shared" si="31"/>
        <v>#N/A</v>
      </c>
      <c r="O88" s="157"/>
      <c r="P88" s="157" t="e">
        <f t="shared" si="32"/>
        <v>#N/A</v>
      </c>
      <c r="Q88" s="174" t="str">
        <f t="shared" si="33"/>
        <v>Camisa Oversize Peruana S Beige</v>
      </c>
      <c r="R88" s="180" t="e">
        <f ca="1"/>
        <v>#NAME?</v>
      </c>
      <c r="S88" s="181"/>
      <c r="T88" s="176">
        <f t="shared" ca="1" si="34"/>
        <v>0</v>
      </c>
      <c r="V88" s="51" t="e">
        <f t="shared" si="35"/>
        <v>#N/A</v>
      </c>
      <c r="Y88" s="147" t="e">
        <f t="shared" si="36"/>
        <v>#N/A</v>
      </c>
      <c r="Z88" s="177" t="e">
        <f t="shared" si="37"/>
        <v>#N/A</v>
      </c>
      <c r="AA88" s="178"/>
      <c r="AB88" s="178" t="e">
        <f t="shared" si="38"/>
        <v>#N/A</v>
      </c>
      <c r="AC88" s="179" t="e">
        <f t="shared" si="39"/>
        <v>#N/A</v>
      </c>
      <c r="AD88" s="147" t="e">
        <f t="shared" si="40"/>
        <v>#N/A</v>
      </c>
      <c r="AE88" s="157" t="e">
        <f t="shared" si="41"/>
        <v>#N/A</v>
      </c>
      <c r="AF88" s="179" t="e">
        <f t="shared" si="42"/>
        <v>#N/A</v>
      </c>
      <c r="AG88" s="147" t="e">
        <f t="shared" si="43"/>
        <v>#N/A</v>
      </c>
      <c r="AH88" s="157" t="e">
        <f t="shared" si="44"/>
        <v>#N/A</v>
      </c>
      <c r="AI88" s="179" t="e">
        <f t="shared" si="45"/>
        <v>#N/A</v>
      </c>
      <c r="AJ88" s="147" t="e">
        <f t="shared" si="46"/>
        <v>#N/A</v>
      </c>
      <c r="AK88" s="157" t="e">
        <f t="shared" si="47"/>
        <v>#N/A</v>
      </c>
    </row>
    <row r="89" spans="1:37" ht="14.25" hidden="1" customHeight="1" x14ac:dyDescent="0.3">
      <c r="A89" s="168" t="s">
        <v>199</v>
      </c>
      <c r="B89" s="168" t="s">
        <v>204</v>
      </c>
      <c r="C89" s="168" t="s">
        <v>920</v>
      </c>
      <c r="D89" s="168" t="s">
        <v>924</v>
      </c>
      <c r="E89" s="169">
        <v>2</v>
      </c>
      <c r="F89" s="170" t="e">
        <f>IF(A89="","",VLOOKUP(A89,Cotizador!$A$5:$J$43,2,FALSE))</f>
        <v>#N/A</v>
      </c>
      <c r="G89" s="171" t="e">
        <f>IF(A89="","",VLOOKUP(A89,Cotizador!$A$5:$J$43,3,FALSE))</f>
        <v>#N/A</v>
      </c>
      <c r="H89" s="147" t="e">
        <f>IF(OR(A89="",D89=""),"",IF(D89="Sin estampar",0,IF(D89="Pecho",VLOOKUP(A89,Cotizador!$A$5:$J$43,4,FALSE),IF(D89="Espalda",VLOOKUP(A89,Cotizador!$A$5:$J$43,5,FALSE),VLOOKUP(A89,Cotizador!$A$5:$J$43,4,FALSE)+VLOOKUP(A89,Cotizador!$A$5:$J$43,5,FALSE)))))</f>
        <v>#N/A</v>
      </c>
      <c r="I89" s="147" t="e">
        <f>IF(A89="","",VLOOKUP(A89,Cotizador!$A$5:$J$43,6,FALSE))</f>
        <v>#N/A</v>
      </c>
      <c r="J89" s="147" t="e">
        <f>IF(A89="","",VLOOKUP(A89,Cotizador!$A$5:$J$43,7,FALSE))</f>
        <v>#N/A</v>
      </c>
      <c r="K89" s="172" t="e">
        <f t="shared" si="29"/>
        <v>#N/A</v>
      </c>
      <c r="L89" s="147" t="e">
        <f>IF(A89="","",IF(D89="Sin estampar",VLOOKUP(A89,Cotizador!$A$5:$J$43,8,FALSE),IF(D89="Pecho",VLOOKUP(A89,Cotizador!$A$5:$J$43,10,FALSE),VLOOKUP(A89,Cotizador!$A$5:$J$43,9,FALSE))))</f>
        <v>#N/A</v>
      </c>
      <c r="M89" s="173" t="e">
        <f t="shared" si="30"/>
        <v>#N/A</v>
      </c>
      <c r="N89" s="147" t="e">
        <f t="shared" si="31"/>
        <v>#N/A</v>
      </c>
      <c r="O89" s="157"/>
      <c r="P89" s="157" t="e">
        <f t="shared" si="32"/>
        <v>#N/A</v>
      </c>
      <c r="Q89" s="174" t="str">
        <f t="shared" si="33"/>
        <v>Camisa Oversize Peruana M Beige</v>
      </c>
      <c r="R89" s="180" t="e">
        <f ca="1"/>
        <v>#NAME?</v>
      </c>
      <c r="S89" s="181"/>
      <c r="T89" s="176">
        <f t="shared" ca="1" si="34"/>
        <v>0</v>
      </c>
      <c r="V89" s="51" t="e">
        <f t="shared" si="35"/>
        <v>#N/A</v>
      </c>
      <c r="Y89" s="147" t="e">
        <f t="shared" si="36"/>
        <v>#N/A</v>
      </c>
      <c r="Z89" s="177" t="e">
        <f t="shared" si="37"/>
        <v>#N/A</v>
      </c>
      <c r="AA89" s="178"/>
      <c r="AB89" s="178" t="e">
        <f t="shared" si="38"/>
        <v>#N/A</v>
      </c>
      <c r="AC89" s="179" t="e">
        <f t="shared" si="39"/>
        <v>#N/A</v>
      </c>
      <c r="AD89" s="147" t="e">
        <f t="shared" si="40"/>
        <v>#N/A</v>
      </c>
      <c r="AE89" s="157" t="e">
        <f t="shared" si="41"/>
        <v>#N/A</v>
      </c>
      <c r="AF89" s="179" t="e">
        <f t="shared" si="42"/>
        <v>#N/A</v>
      </c>
      <c r="AG89" s="147" t="e">
        <f t="shared" si="43"/>
        <v>#N/A</v>
      </c>
      <c r="AH89" s="157" t="e">
        <f t="shared" si="44"/>
        <v>#N/A</v>
      </c>
      <c r="AI89" s="179" t="e">
        <f t="shared" si="45"/>
        <v>#N/A</v>
      </c>
      <c r="AJ89" s="147" t="e">
        <f t="shared" si="46"/>
        <v>#N/A</v>
      </c>
      <c r="AK89" s="157" t="e">
        <f t="shared" si="47"/>
        <v>#N/A</v>
      </c>
    </row>
    <row r="90" spans="1:37" ht="14.25" hidden="1" customHeight="1" x14ac:dyDescent="0.3">
      <c r="A90" s="168" t="s">
        <v>199</v>
      </c>
      <c r="B90" s="168" t="s">
        <v>207</v>
      </c>
      <c r="C90" s="168" t="s">
        <v>920</v>
      </c>
      <c r="D90" s="168" t="s">
        <v>924</v>
      </c>
      <c r="E90" s="169">
        <v>2</v>
      </c>
      <c r="F90" s="170" t="e">
        <f>IF(A90="","",VLOOKUP(A90,Cotizador!$A$5:$J$43,2,FALSE))</f>
        <v>#N/A</v>
      </c>
      <c r="G90" s="171" t="e">
        <f>IF(A90="","",VLOOKUP(A90,Cotizador!$A$5:$J$43,3,FALSE))</f>
        <v>#N/A</v>
      </c>
      <c r="H90" s="147" t="e">
        <f>IF(OR(A90="",D90=""),"",IF(D90="Sin estampar",0,IF(D90="Pecho",VLOOKUP(A90,Cotizador!$A$5:$J$43,4,FALSE),IF(D90="Espalda",VLOOKUP(A90,Cotizador!$A$5:$J$43,5,FALSE),VLOOKUP(A90,Cotizador!$A$5:$J$43,4,FALSE)+VLOOKUP(A90,Cotizador!$A$5:$J$43,5,FALSE)))))</f>
        <v>#N/A</v>
      </c>
      <c r="I90" s="147" t="e">
        <f>IF(A90="","",VLOOKUP(A90,Cotizador!$A$5:$J$43,6,FALSE))</f>
        <v>#N/A</v>
      </c>
      <c r="J90" s="147" t="e">
        <f>IF(A90="","",VLOOKUP(A90,Cotizador!$A$5:$J$43,7,FALSE))</f>
        <v>#N/A</v>
      </c>
      <c r="K90" s="172" t="e">
        <f t="shared" si="29"/>
        <v>#N/A</v>
      </c>
      <c r="L90" s="147" t="e">
        <f>IF(A90="","",IF(D90="Sin estampar",VLOOKUP(A90,Cotizador!$A$5:$J$43,8,FALSE),IF(D90="Pecho",VLOOKUP(A90,Cotizador!$A$5:$J$43,10,FALSE),VLOOKUP(A90,Cotizador!$A$5:$J$43,9,FALSE))))</f>
        <v>#N/A</v>
      </c>
      <c r="M90" s="173" t="e">
        <f t="shared" si="30"/>
        <v>#N/A</v>
      </c>
      <c r="N90" s="147" t="e">
        <f t="shared" si="31"/>
        <v>#N/A</v>
      </c>
      <c r="O90" s="157"/>
      <c r="P90" s="157" t="e">
        <f t="shared" si="32"/>
        <v>#N/A</v>
      </c>
      <c r="Q90" s="174" t="str">
        <f t="shared" si="33"/>
        <v>Camisa Oversize Peruana L Beige</v>
      </c>
      <c r="R90" s="180" t="e">
        <f ca="1"/>
        <v>#NAME?</v>
      </c>
      <c r="S90" s="181"/>
      <c r="T90" s="176">
        <f t="shared" ca="1" si="34"/>
        <v>0</v>
      </c>
      <c r="V90" s="51" t="e">
        <f t="shared" si="35"/>
        <v>#N/A</v>
      </c>
      <c r="Y90" s="147" t="e">
        <f t="shared" si="36"/>
        <v>#N/A</v>
      </c>
      <c r="Z90" s="177" t="e">
        <f t="shared" si="37"/>
        <v>#N/A</v>
      </c>
      <c r="AA90" s="178"/>
      <c r="AB90" s="178" t="e">
        <f t="shared" si="38"/>
        <v>#N/A</v>
      </c>
      <c r="AC90" s="179" t="e">
        <f t="shared" si="39"/>
        <v>#N/A</v>
      </c>
      <c r="AD90" s="147" t="e">
        <f t="shared" si="40"/>
        <v>#N/A</v>
      </c>
      <c r="AE90" s="157" t="e">
        <f t="shared" si="41"/>
        <v>#N/A</v>
      </c>
      <c r="AF90" s="179" t="e">
        <f t="shared" si="42"/>
        <v>#N/A</v>
      </c>
      <c r="AG90" s="147" t="e">
        <f t="shared" si="43"/>
        <v>#N/A</v>
      </c>
      <c r="AH90" s="157" t="e">
        <f t="shared" si="44"/>
        <v>#N/A</v>
      </c>
      <c r="AI90" s="179" t="e">
        <f t="shared" si="45"/>
        <v>#N/A</v>
      </c>
      <c r="AJ90" s="147" t="e">
        <f t="shared" si="46"/>
        <v>#N/A</v>
      </c>
      <c r="AK90" s="157" t="e">
        <f t="shared" si="47"/>
        <v>#N/A</v>
      </c>
    </row>
    <row r="91" spans="1:37" ht="14.25" hidden="1" customHeight="1" x14ac:dyDescent="0.3">
      <c r="A91" s="168" t="s">
        <v>199</v>
      </c>
      <c r="B91" s="168" t="s">
        <v>210</v>
      </c>
      <c r="C91" s="168" t="s">
        <v>920</v>
      </c>
      <c r="D91" s="168" t="s">
        <v>924</v>
      </c>
      <c r="E91" s="169">
        <v>2</v>
      </c>
      <c r="F91" s="170" t="e">
        <f>IF(A91="","",VLOOKUP(A91,Cotizador!$A$5:$J$43,2,FALSE))</f>
        <v>#N/A</v>
      </c>
      <c r="G91" s="171" t="e">
        <f>IF(A91="","",VLOOKUP(A91,Cotizador!$A$5:$J$43,3,FALSE))</f>
        <v>#N/A</v>
      </c>
      <c r="H91" s="147" t="e">
        <f>IF(OR(A91="",D91=""),"",IF(D91="Sin estampar",0,IF(D91="Pecho",VLOOKUP(A91,Cotizador!$A$5:$J$43,4,FALSE),IF(D91="Espalda",VLOOKUP(A91,Cotizador!$A$5:$J$43,5,FALSE),VLOOKUP(A91,Cotizador!$A$5:$J$43,4,FALSE)+VLOOKUP(A91,Cotizador!$A$5:$J$43,5,FALSE)))))</f>
        <v>#N/A</v>
      </c>
      <c r="I91" s="147" t="e">
        <f>IF(A91="","",VLOOKUP(A91,Cotizador!$A$5:$J$43,6,FALSE))</f>
        <v>#N/A</v>
      </c>
      <c r="J91" s="147" t="e">
        <f>IF(A91="","",VLOOKUP(A91,Cotizador!$A$5:$J$43,7,FALSE))</f>
        <v>#N/A</v>
      </c>
      <c r="K91" s="172" t="e">
        <f t="shared" si="29"/>
        <v>#N/A</v>
      </c>
      <c r="L91" s="147" t="e">
        <f>IF(A91="","",IF(D91="Sin estampar",VLOOKUP(A91,Cotizador!$A$5:$J$43,8,FALSE),IF(D91="Pecho",VLOOKUP(A91,Cotizador!$A$5:$J$43,10,FALSE),VLOOKUP(A91,Cotizador!$A$5:$J$43,9,FALSE))))</f>
        <v>#N/A</v>
      </c>
      <c r="M91" s="173" t="e">
        <f t="shared" si="30"/>
        <v>#N/A</v>
      </c>
      <c r="N91" s="147" t="e">
        <f t="shared" si="31"/>
        <v>#N/A</v>
      </c>
      <c r="O91" s="157"/>
      <c r="P91" s="157" t="e">
        <f t="shared" si="32"/>
        <v>#N/A</v>
      </c>
      <c r="Q91" s="174" t="str">
        <f t="shared" si="33"/>
        <v>Camisa Oversize Peruana XL Beige</v>
      </c>
      <c r="R91" s="180" t="e">
        <f ca="1"/>
        <v>#NAME?</v>
      </c>
      <c r="S91" s="181"/>
      <c r="T91" s="176">
        <f t="shared" ca="1" si="34"/>
        <v>0</v>
      </c>
      <c r="V91" s="51" t="e">
        <f t="shared" si="35"/>
        <v>#N/A</v>
      </c>
      <c r="Y91" s="147" t="e">
        <f t="shared" si="36"/>
        <v>#N/A</v>
      </c>
      <c r="Z91" s="177" t="e">
        <f t="shared" si="37"/>
        <v>#N/A</v>
      </c>
      <c r="AA91" s="178"/>
      <c r="AB91" s="178" t="e">
        <f t="shared" si="38"/>
        <v>#N/A</v>
      </c>
      <c r="AC91" s="179" t="e">
        <f t="shared" si="39"/>
        <v>#N/A</v>
      </c>
      <c r="AD91" s="147" t="e">
        <f t="shared" si="40"/>
        <v>#N/A</v>
      </c>
      <c r="AE91" s="157" t="e">
        <f t="shared" si="41"/>
        <v>#N/A</v>
      </c>
      <c r="AF91" s="179" t="e">
        <f t="shared" si="42"/>
        <v>#N/A</v>
      </c>
      <c r="AG91" s="147" t="e">
        <f t="shared" si="43"/>
        <v>#N/A</v>
      </c>
      <c r="AH91" s="157" t="e">
        <f t="shared" si="44"/>
        <v>#N/A</v>
      </c>
      <c r="AI91" s="179" t="e">
        <f t="shared" si="45"/>
        <v>#N/A</v>
      </c>
      <c r="AJ91" s="147" t="e">
        <f t="shared" si="46"/>
        <v>#N/A</v>
      </c>
      <c r="AK91" s="157" t="e">
        <f t="shared" si="47"/>
        <v>#N/A</v>
      </c>
    </row>
    <row r="92" spans="1:37" ht="14.25" hidden="1" customHeight="1" x14ac:dyDescent="0.3">
      <c r="A92" s="168" t="s">
        <v>199</v>
      </c>
      <c r="B92" s="168" t="s">
        <v>200</v>
      </c>
      <c r="C92" s="168" t="s">
        <v>201</v>
      </c>
      <c r="D92" s="168" t="s">
        <v>924</v>
      </c>
      <c r="E92" s="169">
        <v>1</v>
      </c>
      <c r="F92" s="170" t="e">
        <f>IF(A92="","",VLOOKUP(A92,Cotizador!$A$5:$J$43,2,FALSE))</f>
        <v>#N/A</v>
      </c>
      <c r="G92" s="171" t="e">
        <f>IF(A92="","",VLOOKUP(A92,Cotizador!$A$5:$J$43,3,FALSE))</f>
        <v>#N/A</v>
      </c>
      <c r="H92" s="147" t="e">
        <f>IF(OR(A92="",D92=""),"",IF(D92="Sin estampar",0,IF(D92="Pecho",VLOOKUP(A92,Cotizador!$A$5:$J$43,4,FALSE),IF(D92="Espalda",VLOOKUP(A92,Cotizador!$A$5:$J$43,5,FALSE),VLOOKUP(A92,Cotizador!$A$5:$J$43,4,FALSE)+VLOOKUP(A92,Cotizador!$A$5:$J$43,5,FALSE)))))</f>
        <v>#N/A</v>
      </c>
      <c r="I92" s="147" t="e">
        <f>IF(A92="","",VLOOKUP(A92,Cotizador!$A$5:$J$43,6,FALSE))</f>
        <v>#N/A</v>
      </c>
      <c r="J92" s="147" t="e">
        <f>IF(A92="","",VLOOKUP(A92,Cotizador!$A$5:$J$43,7,FALSE))</f>
        <v>#N/A</v>
      </c>
      <c r="K92" s="172" t="e">
        <f t="shared" si="29"/>
        <v>#N/A</v>
      </c>
      <c r="L92" s="147" t="e">
        <f>IF(A92="","",IF(D92="Sin estampar",VLOOKUP(A92,Cotizador!$A$5:$J$43,8,FALSE),IF(D92="Pecho",VLOOKUP(A92,Cotizador!$A$5:$J$43,10,FALSE),VLOOKUP(A92,Cotizador!$A$5:$J$43,9,FALSE))))</f>
        <v>#N/A</v>
      </c>
      <c r="M92" s="173" t="e">
        <f t="shared" si="30"/>
        <v>#N/A</v>
      </c>
      <c r="N92" s="147" t="e">
        <f t="shared" si="31"/>
        <v>#N/A</v>
      </c>
      <c r="O92" s="157"/>
      <c r="P92" s="157" t="e">
        <f t="shared" si="32"/>
        <v>#N/A</v>
      </c>
      <c r="Q92" s="174" t="str">
        <f t="shared" si="33"/>
        <v>Camisa Oversize Peruana S Negro</v>
      </c>
      <c r="R92" s="180" t="e">
        <f ca="1"/>
        <v>#NAME?</v>
      </c>
      <c r="S92" s="181"/>
      <c r="T92" s="176">
        <f t="shared" ca="1" si="34"/>
        <v>0</v>
      </c>
      <c r="V92" s="51" t="e">
        <f t="shared" si="35"/>
        <v>#N/A</v>
      </c>
      <c r="Y92" s="147" t="e">
        <f t="shared" si="36"/>
        <v>#N/A</v>
      </c>
      <c r="Z92" s="177" t="e">
        <f t="shared" si="37"/>
        <v>#N/A</v>
      </c>
      <c r="AA92" s="178"/>
      <c r="AB92" s="178" t="e">
        <f t="shared" si="38"/>
        <v>#N/A</v>
      </c>
      <c r="AC92" s="179" t="e">
        <f t="shared" si="39"/>
        <v>#N/A</v>
      </c>
      <c r="AD92" s="147" t="e">
        <f t="shared" si="40"/>
        <v>#N/A</v>
      </c>
      <c r="AE92" s="157" t="e">
        <f t="shared" si="41"/>
        <v>#N/A</v>
      </c>
      <c r="AF92" s="179" t="e">
        <f t="shared" si="42"/>
        <v>#N/A</v>
      </c>
      <c r="AG92" s="147" t="e">
        <f t="shared" si="43"/>
        <v>#N/A</v>
      </c>
      <c r="AH92" s="157" t="e">
        <f t="shared" si="44"/>
        <v>#N/A</v>
      </c>
      <c r="AI92" s="179" t="e">
        <f t="shared" si="45"/>
        <v>#N/A</v>
      </c>
      <c r="AJ92" s="147" t="e">
        <f t="shared" si="46"/>
        <v>#N/A</v>
      </c>
      <c r="AK92" s="157" t="e">
        <f t="shared" si="47"/>
        <v>#N/A</v>
      </c>
    </row>
    <row r="93" spans="1:37" ht="14.25" hidden="1" customHeight="1" x14ac:dyDescent="0.3">
      <c r="A93" s="168" t="s">
        <v>199</v>
      </c>
      <c r="B93" s="168" t="s">
        <v>204</v>
      </c>
      <c r="C93" s="168" t="s">
        <v>201</v>
      </c>
      <c r="D93" s="168" t="s">
        <v>924</v>
      </c>
      <c r="E93" s="169">
        <v>2</v>
      </c>
      <c r="F93" s="170" t="e">
        <f>IF(A93="","",VLOOKUP(A93,Cotizador!$A$5:$J$43,2,FALSE))</f>
        <v>#N/A</v>
      </c>
      <c r="G93" s="171" t="e">
        <f>IF(A93="","",VLOOKUP(A93,Cotizador!$A$5:$J$43,3,FALSE))</f>
        <v>#N/A</v>
      </c>
      <c r="H93" s="147" t="e">
        <f>IF(OR(A93="",D93=""),"",IF(D93="Sin estampar",0,IF(D93="Pecho",VLOOKUP(A93,Cotizador!$A$5:$J$43,4,FALSE),IF(D93="Espalda",VLOOKUP(A93,Cotizador!$A$5:$J$43,5,FALSE),VLOOKUP(A93,Cotizador!$A$5:$J$43,4,FALSE)+VLOOKUP(A93,Cotizador!$A$5:$J$43,5,FALSE)))))</f>
        <v>#N/A</v>
      </c>
      <c r="I93" s="147" t="e">
        <f>IF(A93="","",VLOOKUP(A93,Cotizador!$A$5:$J$43,6,FALSE))</f>
        <v>#N/A</v>
      </c>
      <c r="J93" s="147" t="e">
        <f>IF(A93="","",VLOOKUP(A93,Cotizador!$A$5:$J$43,7,FALSE))</f>
        <v>#N/A</v>
      </c>
      <c r="K93" s="172" t="e">
        <f t="shared" si="29"/>
        <v>#N/A</v>
      </c>
      <c r="L93" s="147" t="e">
        <f>IF(A93="","",IF(D93="Sin estampar",VLOOKUP(A93,Cotizador!$A$5:$J$43,8,FALSE),IF(D93="Pecho",VLOOKUP(A93,Cotizador!$A$5:$J$43,10,FALSE),VLOOKUP(A93,Cotizador!$A$5:$J$43,9,FALSE))))</f>
        <v>#N/A</v>
      </c>
      <c r="M93" s="173" t="e">
        <f t="shared" si="30"/>
        <v>#N/A</v>
      </c>
      <c r="N93" s="147" t="e">
        <f t="shared" si="31"/>
        <v>#N/A</v>
      </c>
      <c r="O93" s="157"/>
      <c r="P93" s="157" t="e">
        <f t="shared" si="32"/>
        <v>#N/A</v>
      </c>
      <c r="Q93" s="174" t="str">
        <f t="shared" si="33"/>
        <v>Camisa Oversize Peruana M Negro</v>
      </c>
      <c r="R93" s="180" t="e">
        <f ca="1"/>
        <v>#NAME?</v>
      </c>
      <c r="S93" s="181"/>
      <c r="T93" s="176">
        <f t="shared" ca="1" si="34"/>
        <v>0</v>
      </c>
      <c r="V93" s="51" t="e">
        <f t="shared" si="35"/>
        <v>#N/A</v>
      </c>
      <c r="Y93" s="147" t="e">
        <f t="shared" si="36"/>
        <v>#N/A</v>
      </c>
      <c r="Z93" s="177" t="e">
        <f t="shared" si="37"/>
        <v>#N/A</v>
      </c>
      <c r="AA93" s="178"/>
      <c r="AB93" s="178" t="e">
        <f t="shared" si="38"/>
        <v>#N/A</v>
      </c>
      <c r="AC93" s="179" t="e">
        <f t="shared" si="39"/>
        <v>#N/A</v>
      </c>
      <c r="AD93" s="147" t="e">
        <f t="shared" si="40"/>
        <v>#N/A</v>
      </c>
      <c r="AE93" s="157" t="e">
        <f t="shared" si="41"/>
        <v>#N/A</v>
      </c>
      <c r="AF93" s="179" t="e">
        <f t="shared" si="42"/>
        <v>#N/A</v>
      </c>
      <c r="AG93" s="147" t="e">
        <f t="shared" si="43"/>
        <v>#N/A</v>
      </c>
      <c r="AH93" s="157" t="e">
        <f t="shared" si="44"/>
        <v>#N/A</v>
      </c>
      <c r="AI93" s="179" t="e">
        <f t="shared" si="45"/>
        <v>#N/A</v>
      </c>
      <c r="AJ93" s="147" t="e">
        <f t="shared" si="46"/>
        <v>#N/A</v>
      </c>
      <c r="AK93" s="157" t="e">
        <f t="shared" si="47"/>
        <v>#N/A</v>
      </c>
    </row>
    <row r="94" spans="1:37" ht="14.25" hidden="1" customHeight="1" x14ac:dyDescent="0.3">
      <c r="A94" s="168" t="s">
        <v>199</v>
      </c>
      <c r="B94" s="168" t="s">
        <v>207</v>
      </c>
      <c r="C94" s="168" t="s">
        <v>201</v>
      </c>
      <c r="D94" s="168" t="s">
        <v>924</v>
      </c>
      <c r="E94" s="169">
        <v>2</v>
      </c>
      <c r="F94" s="170" t="e">
        <f>IF(A94="","",VLOOKUP(A94,Cotizador!$A$5:$J$43,2,FALSE))</f>
        <v>#N/A</v>
      </c>
      <c r="G94" s="171" t="e">
        <f>IF(A94="","",VLOOKUP(A94,Cotizador!$A$5:$J$43,3,FALSE))</f>
        <v>#N/A</v>
      </c>
      <c r="H94" s="147" t="e">
        <f>IF(OR(A94="",D94=""),"",IF(D94="Sin estampar",0,IF(D94="Pecho",VLOOKUP(A94,Cotizador!$A$5:$J$43,4,FALSE),IF(D94="Espalda",VLOOKUP(A94,Cotizador!$A$5:$J$43,5,FALSE),VLOOKUP(A94,Cotizador!$A$5:$J$43,4,FALSE)+VLOOKUP(A94,Cotizador!$A$5:$J$43,5,FALSE)))))</f>
        <v>#N/A</v>
      </c>
      <c r="I94" s="147" t="e">
        <f>IF(A94="","",VLOOKUP(A94,Cotizador!$A$5:$J$43,6,FALSE))</f>
        <v>#N/A</v>
      </c>
      <c r="J94" s="147" t="e">
        <f>IF(A94="","",VLOOKUP(A94,Cotizador!$A$5:$J$43,7,FALSE))</f>
        <v>#N/A</v>
      </c>
      <c r="K94" s="172" t="e">
        <f t="shared" si="29"/>
        <v>#N/A</v>
      </c>
      <c r="L94" s="147" t="e">
        <f>IF(A94="","",IF(D94="Sin estampar",VLOOKUP(A94,Cotizador!$A$5:$J$43,8,FALSE),IF(D94="Pecho",VLOOKUP(A94,Cotizador!$A$5:$J$43,10,FALSE),VLOOKUP(A94,Cotizador!$A$5:$J$43,9,FALSE))))</f>
        <v>#N/A</v>
      </c>
      <c r="M94" s="173" t="e">
        <f t="shared" si="30"/>
        <v>#N/A</v>
      </c>
      <c r="N94" s="147" t="e">
        <f t="shared" si="31"/>
        <v>#N/A</v>
      </c>
      <c r="O94" s="157"/>
      <c r="P94" s="157" t="e">
        <f t="shared" si="32"/>
        <v>#N/A</v>
      </c>
      <c r="Q94" s="174" t="str">
        <f t="shared" si="33"/>
        <v>Camisa Oversize Peruana L Negro</v>
      </c>
      <c r="R94" s="180" t="e">
        <f ca="1"/>
        <v>#NAME?</v>
      </c>
      <c r="S94" s="181"/>
      <c r="T94" s="176">
        <f t="shared" ca="1" si="34"/>
        <v>0</v>
      </c>
      <c r="V94" s="51" t="e">
        <f t="shared" si="35"/>
        <v>#N/A</v>
      </c>
      <c r="Y94" s="147" t="e">
        <f t="shared" si="36"/>
        <v>#N/A</v>
      </c>
      <c r="Z94" s="177" t="e">
        <f t="shared" si="37"/>
        <v>#N/A</v>
      </c>
      <c r="AA94" s="178"/>
      <c r="AB94" s="178" t="e">
        <f t="shared" si="38"/>
        <v>#N/A</v>
      </c>
      <c r="AC94" s="179" t="e">
        <f t="shared" si="39"/>
        <v>#N/A</v>
      </c>
      <c r="AD94" s="147" t="e">
        <f t="shared" si="40"/>
        <v>#N/A</v>
      </c>
      <c r="AE94" s="157" t="e">
        <f t="shared" si="41"/>
        <v>#N/A</v>
      </c>
      <c r="AF94" s="179" t="e">
        <f t="shared" si="42"/>
        <v>#N/A</v>
      </c>
      <c r="AG94" s="147" t="e">
        <f t="shared" si="43"/>
        <v>#N/A</v>
      </c>
      <c r="AH94" s="157" t="e">
        <f t="shared" si="44"/>
        <v>#N/A</v>
      </c>
      <c r="AI94" s="179" t="e">
        <f t="shared" si="45"/>
        <v>#N/A</v>
      </c>
      <c r="AJ94" s="147" t="e">
        <f t="shared" si="46"/>
        <v>#N/A</v>
      </c>
      <c r="AK94" s="157" t="e">
        <f t="shared" si="47"/>
        <v>#N/A</v>
      </c>
    </row>
    <row r="95" spans="1:37" ht="14.25" hidden="1" customHeight="1" x14ac:dyDescent="0.3">
      <c r="A95" s="168" t="s">
        <v>199</v>
      </c>
      <c r="B95" s="168" t="s">
        <v>210</v>
      </c>
      <c r="C95" s="168" t="s">
        <v>201</v>
      </c>
      <c r="D95" s="168" t="s">
        <v>924</v>
      </c>
      <c r="E95" s="169">
        <v>2</v>
      </c>
      <c r="F95" s="170" t="e">
        <f>IF(A95="","",VLOOKUP(A95,Cotizador!$A$5:$J$43,2,FALSE))</f>
        <v>#N/A</v>
      </c>
      <c r="G95" s="171" t="e">
        <f>IF(A95="","",VLOOKUP(A95,Cotizador!$A$5:$J$43,3,FALSE))</f>
        <v>#N/A</v>
      </c>
      <c r="H95" s="147" t="e">
        <f>IF(OR(A95="",D95=""),"",IF(D95="Sin estampar",0,IF(D95="Pecho",VLOOKUP(A95,Cotizador!$A$5:$J$43,4,FALSE),IF(D95="Espalda",VLOOKUP(A95,Cotizador!$A$5:$J$43,5,FALSE),VLOOKUP(A95,Cotizador!$A$5:$J$43,4,FALSE)+VLOOKUP(A95,Cotizador!$A$5:$J$43,5,FALSE)))))</f>
        <v>#N/A</v>
      </c>
      <c r="I95" s="147" t="e">
        <f>IF(A95="","",VLOOKUP(A95,Cotizador!$A$5:$J$43,6,FALSE))</f>
        <v>#N/A</v>
      </c>
      <c r="J95" s="147" t="e">
        <f>IF(A95="","",VLOOKUP(A95,Cotizador!$A$5:$J$43,7,FALSE))</f>
        <v>#N/A</v>
      </c>
      <c r="K95" s="172" t="e">
        <f t="shared" si="29"/>
        <v>#N/A</v>
      </c>
      <c r="L95" s="147" t="e">
        <f>IF(A95="","",IF(D95="Sin estampar",VLOOKUP(A95,Cotizador!$A$5:$J$43,8,FALSE),IF(D95="Pecho",VLOOKUP(A95,Cotizador!$A$5:$J$43,10,FALSE),VLOOKUP(A95,Cotizador!$A$5:$J$43,9,FALSE))))</f>
        <v>#N/A</v>
      </c>
      <c r="M95" s="173" t="e">
        <f t="shared" si="30"/>
        <v>#N/A</v>
      </c>
      <c r="N95" s="147" t="e">
        <f t="shared" si="31"/>
        <v>#N/A</v>
      </c>
      <c r="O95" s="157"/>
      <c r="P95" s="157" t="e">
        <f t="shared" si="32"/>
        <v>#N/A</v>
      </c>
      <c r="Q95" s="174" t="str">
        <f t="shared" si="33"/>
        <v>Camisa Oversize Peruana XL Negro</v>
      </c>
      <c r="R95" s="180" t="e">
        <f ca="1"/>
        <v>#NAME?</v>
      </c>
      <c r="S95" s="181"/>
      <c r="T95" s="176">
        <f t="shared" ca="1" si="34"/>
        <v>0</v>
      </c>
      <c r="V95" s="51" t="e">
        <f t="shared" si="35"/>
        <v>#N/A</v>
      </c>
      <c r="Y95" s="147" t="e">
        <f t="shared" si="36"/>
        <v>#N/A</v>
      </c>
      <c r="Z95" s="177" t="e">
        <f t="shared" si="37"/>
        <v>#N/A</v>
      </c>
      <c r="AA95" s="178"/>
      <c r="AB95" s="178" t="e">
        <f t="shared" si="38"/>
        <v>#N/A</v>
      </c>
      <c r="AC95" s="179" t="e">
        <f t="shared" si="39"/>
        <v>#N/A</v>
      </c>
      <c r="AD95" s="147" t="e">
        <f t="shared" si="40"/>
        <v>#N/A</v>
      </c>
      <c r="AE95" s="157" t="e">
        <f t="shared" si="41"/>
        <v>#N/A</v>
      </c>
      <c r="AF95" s="179" t="e">
        <f t="shared" si="42"/>
        <v>#N/A</v>
      </c>
      <c r="AG95" s="147" t="e">
        <f t="shared" si="43"/>
        <v>#N/A</v>
      </c>
      <c r="AH95" s="157" t="e">
        <f t="shared" si="44"/>
        <v>#N/A</v>
      </c>
      <c r="AI95" s="179" t="e">
        <f t="shared" si="45"/>
        <v>#N/A</v>
      </c>
      <c r="AJ95" s="147" t="e">
        <f t="shared" si="46"/>
        <v>#N/A</v>
      </c>
      <c r="AK95" s="157" t="e">
        <f t="shared" si="47"/>
        <v>#N/A</v>
      </c>
    </row>
    <row r="96" spans="1:37" ht="14.25" hidden="1" customHeight="1" x14ac:dyDescent="0.3">
      <c r="A96" s="168" t="s">
        <v>925</v>
      </c>
      <c r="B96" s="168" t="s">
        <v>200</v>
      </c>
      <c r="C96" s="168" t="s">
        <v>201</v>
      </c>
      <c r="D96" s="168" t="s">
        <v>917</v>
      </c>
      <c r="E96" s="169">
        <v>1</v>
      </c>
      <c r="F96" s="182" t="s">
        <v>505</v>
      </c>
      <c r="G96" s="183" t="e">
        <f>IF(A96="","",VLOOKUP(A96,Cotizador!$A$5:$J$43,3,FALSE))</f>
        <v>#N/A</v>
      </c>
      <c r="H96" s="147">
        <f>IF(OR(A96="",D96=""),"",IF(D96="Sin estampar",0,IF(D96="Pecho",VLOOKUP(A96,Cotizador!$A$5:$J$43,4,FALSE),IF(D96="Espalda",VLOOKUP(A96,Cotizador!$A$5:$J$43,5,FALSE),VLOOKUP(A96,Cotizador!$A$5:$J$43,4,FALSE)+VLOOKUP(A96,Cotizador!$A$5:$J$43,5,FALSE)))))</f>
        <v>0</v>
      </c>
      <c r="I96" s="147" t="e">
        <f>IF(A96="","",VLOOKUP(A96,Cotizador!$A$5:$J$43,6,FALSE))</f>
        <v>#N/A</v>
      </c>
      <c r="J96" s="147" t="e">
        <f>IF(A96="","",VLOOKUP(A96,Cotizador!$A$5:$J$43,7,FALSE))</f>
        <v>#N/A</v>
      </c>
      <c r="K96" s="172" t="e">
        <f t="shared" si="29"/>
        <v>#N/A</v>
      </c>
      <c r="L96" s="147" t="e">
        <f>IF(A96="","",IF(D96="Sin estampar",VLOOKUP(A96,Cotizador!$A$5:$J$43,8,FALSE),IF(D96="Pecho",VLOOKUP(A96,Cotizador!$A$5:$J$43,10,FALSE),VLOOKUP(A96,Cotizador!$A$5:$J$43,9,FALSE))))</f>
        <v>#N/A</v>
      </c>
      <c r="M96" s="173" t="e">
        <f t="shared" si="30"/>
        <v>#N/A</v>
      </c>
      <c r="N96" s="147" t="e">
        <f t="shared" si="31"/>
        <v>#N/A</v>
      </c>
      <c r="O96" s="157"/>
      <c r="P96" s="157" t="e">
        <f t="shared" si="32"/>
        <v>#N/A</v>
      </c>
      <c r="Q96" s="174" t="str">
        <f t="shared" si="33"/>
        <v>Camisa Boxy fit S Negro</v>
      </c>
      <c r="R96" s="180" t="e">
        <f ca="1"/>
        <v>#NAME?</v>
      </c>
      <c r="S96" s="181"/>
      <c r="T96" s="176">
        <f t="shared" ca="1" si="34"/>
        <v>0</v>
      </c>
      <c r="V96" s="51" t="e">
        <f t="shared" si="35"/>
        <v>#N/A</v>
      </c>
      <c r="Y96" s="147" t="e">
        <f t="shared" si="36"/>
        <v>#N/A</v>
      </c>
      <c r="Z96" s="177" t="e">
        <f t="shared" si="37"/>
        <v>#N/A</v>
      </c>
      <c r="AA96" s="178"/>
      <c r="AB96" s="178" t="e">
        <f t="shared" si="38"/>
        <v>#N/A</v>
      </c>
      <c r="AC96" s="179" t="e">
        <f t="shared" si="39"/>
        <v>#N/A</v>
      </c>
      <c r="AD96" s="147" t="e">
        <f t="shared" si="40"/>
        <v>#N/A</v>
      </c>
      <c r="AE96" s="157" t="e">
        <f t="shared" si="41"/>
        <v>#N/A</v>
      </c>
      <c r="AF96" s="179" t="e">
        <f t="shared" si="42"/>
        <v>#N/A</v>
      </c>
      <c r="AG96" s="147" t="e">
        <f t="shared" si="43"/>
        <v>#N/A</v>
      </c>
      <c r="AH96" s="157" t="e">
        <f t="shared" si="44"/>
        <v>#N/A</v>
      </c>
      <c r="AI96" s="179" t="e">
        <f t="shared" si="45"/>
        <v>#N/A</v>
      </c>
      <c r="AJ96" s="147" t="e">
        <f t="shared" si="46"/>
        <v>#N/A</v>
      </c>
      <c r="AK96" s="157" t="e">
        <f t="shared" si="47"/>
        <v>#N/A</v>
      </c>
    </row>
    <row r="97" spans="1:37" ht="14.25" hidden="1" customHeight="1" x14ac:dyDescent="0.3">
      <c r="A97" s="168" t="s">
        <v>925</v>
      </c>
      <c r="B97" s="168" t="s">
        <v>204</v>
      </c>
      <c r="C97" s="168" t="s">
        <v>201</v>
      </c>
      <c r="D97" s="168" t="s">
        <v>917</v>
      </c>
      <c r="E97" s="169">
        <v>2</v>
      </c>
      <c r="F97" s="182" t="s">
        <v>505</v>
      </c>
      <c r="G97" s="183" t="e">
        <f>IF(A97="","",VLOOKUP(A97,Cotizador!$A$5:$J$43,3,FALSE))</f>
        <v>#N/A</v>
      </c>
      <c r="H97" s="147">
        <f>IF(OR(A97="",D97=""),"",IF(D97="Sin estampar",0,IF(D97="Pecho",VLOOKUP(A97,Cotizador!$A$5:$J$43,4,FALSE),IF(D97="Espalda",VLOOKUP(A97,Cotizador!$A$5:$J$43,5,FALSE),VLOOKUP(A97,Cotizador!$A$5:$J$43,4,FALSE)+VLOOKUP(A97,Cotizador!$A$5:$J$43,5,FALSE)))))</f>
        <v>0</v>
      </c>
      <c r="I97" s="147" t="e">
        <f>IF(A97="","",VLOOKUP(A97,Cotizador!$A$5:$J$43,6,FALSE))</f>
        <v>#N/A</v>
      </c>
      <c r="J97" s="147" t="e">
        <f>IF(A97="","",VLOOKUP(A97,Cotizador!$A$5:$J$43,7,FALSE))</f>
        <v>#N/A</v>
      </c>
      <c r="K97" s="172" t="e">
        <f t="shared" si="29"/>
        <v>#N/A</v>
      </c>
      <c r="L97" s="147" t="e">
        <f>IF(A97="","",IF(D97="Sin estampar",VLOOKUP(A97,Cotizador!$A$5:$J$43,8,FALSE),IF(D97="Pecho",VLOOKUP(A97,Cotizador!$A$5:$J$43,10,FALSE),VLOOKUP(A97,Cotizador!$A$5:$J$43,9,FALSE))))</f>
        <v>#N/A</v>
      </c>
      <c r="M97" s="173" t="e">
        <f t="shared" si="30"/>
        <v>#N/A</v>
      </c>
      <c r="N97" s="147" t="e">
        <f t="shared" si="31"/>
        <v>#N/A</v>
      </c>
      <c r="O97" s="157"/>
      <c r="P97" s="157" t="e">
        <f t="shared" si="32"/>
        <v>#N/A</v>
      </c>
      <c r="Q97" s="174" t="str">
        <f t="shared" si="33"/>
        <v>Camisa Boxy fit M Negro</v>
      </c>
      <c r="R97" s="180" t="e">
        <f ca="1"/>
        <v>#NAME?</v>
      </c>
      <c r="S97" s="181"/>
      <c r="T97" s="176">
        <f t="shared" ca="1" si="34"/>
        <v>0</v>
      </c>
      <c r="V97" s="51" t="e">
        <f t="shared" si="35"/>
        <v>#N/A</v>
      </c>
      <c r="Y97" s="147" t="e">
        <f t="shared" si="36"/>
        <v>#N/A</v>
      </c>
      <c r="Z97" s="177" t="e">
        <f t="shared" si="37"/>
        <v>#N/A</v>
      </c>
      <c r="AA97" s="178"/>
      <c r="AB97" s="178" t="e">
        <f t="shared" si="38"/>
        <v>#N/A</v>
      </c>
      <c r="AC97" s="179" t="e">
        <f t="shared" si="39"/>
        <v>#N/A</v>
      </c>
      <c r="AD97" s="147" t="e">
        <f t="shared" si="40"/>
        <v>#N/A</v>
      </c>
      <c r="AE97" s="157" t="e">
        <f t="shared" si="41"/>
        <v>#N/A</v>
      </c>
      <c r="AF97" s="179" t="e">
        <f t="shared" si="42"/>
        <v>#N/A</v>
      </c>
      <c r="AG97" s="147" t="e">
        <f t="shared" si="43"/>
        <v>#N/A</v>
      </c>
      <c r="AH97" s="157" t="e">
        <f t="shared" si="44"/>
        <v>#N/A</v>
      </c>
      <c r="AI97" s="179" t="e">
        <f t="shared" si="45"/>
        <v>#N/A</v>
      </c>
      <c r="AJ97" s="147" t="e">
        <f t="shared" si="46"/>
        <v>#N/A</v>
      </c>
      <c r="AK97" s="157" t="e">
        <f t="shared" si="47"/>
        <v>#N/A</v>
      </c>
    </row>
    <row r="98" spans="1:37" ht="14.25" hidden="1" customHeight="1" x14ac:dyDescent="0.3">
      <c r="A98" s="168" t="s">
        <v>925</v>
      </c>
      <c r="B98" s="168" t="s">
        <v>207</v>
      </c>
      <c r="C98" s="168" t="s">
        <v>201</v>
      </c>
      <c r="D98" s="168" t="s">
        <v>917</v>
      </c>
      <c r="E98" s="169">
        <v>2</v>
      </c>
      <c r="F98" s="182" t="s">
        <v>505</v>
      </c>
      <c r="G98" s="183" t="e">
        <f>IF(A98="","",VLOOKUP(A98,Cotizador!$A$5:$J$43,3,FALSE))</f>
        <v>#N/A</v>
      </c>
      <c r="H98" s="147">
        <f>IF(OR(A98="",D98=""),"",IF(D98="Sin estampar",0,IF(D98="Pecho",VLOOKUP(A98,Cotizador!$A$5:$J$43,4,FALSE),IF(D98="Espalda",VLOOKUP(A98,Cotizador!$A$5:$J$43,5,FALSE),VLOOKUP(A98,Cotizador!$A$5:$J$43,4,FALSE)+VLOOKUP(A98,Cotizador!$A$5:$J$43,5,FALSE)))))</f>
        <v>0</v>
      </c>
      <c r="I98" s="147" t="e">
        <f>IF(A98="","",VLOOKUP(A98,Cotizador!$A$5:$J$43,6,FALSE))</f>
        <v>#N/A</v>
      </c>
      <c r="J98" s="147" t="e">
        <f>IF(A98="","",VLOOKUP(A98,Cotizador!$A$5:$J$43,7,FALSE))</f>
        <v>#N/A</v>
      </c>
      <c r="K98" s="172" t="e">
        <f t="shared" si="29"/>
        <v>#N/A</v>
      </c>
      <c r="L98" s="147" t="e">
        <f>IF(A98="","",IF(D98="Sin estampar",VLOOKUP(A98,Cotizador!$A$5:$J$43,8,FALSE),IF(D98="Pecho",VLOOKUP(A98,Cotizador!$A$5:$J$43,10,FALSE),VLOOKUP(A98,Cotizador!$A$5:$J$43,9,FALSE))))</f>
        <v>#N/A</v>
      </c>
      <c r="M98" s="173" t="e">
        <f t="shared" si="30"/>
        <v>#N/A</v>
      </c>
      <c r="N98" s="147" t="e">
        <f t="shared" si="31"/>
        <v>#N/A</v>
      </c>
      <c r="O98" s="157"/>
      <c r="P98" s="157" t="e">
        <f t="shared" si="32"/>
        <v>#N/A</v>
      </c>
      <c r="Q98" s="174" t="str">
        <f t="shared" si="33"/>
        <v>Camisa Boxy fit L Negro</v>
      </c>
      <c r="R98" s="180" t="e">
        <f ca="1"/>
        <v>#NAME?</v>
      </c>
      <c r="S98" s="181"/>
      <c r="T98" s="176">
        <f t="shared" ca="1" si="34"/>
        <v>0</v>
      </c>
      <c r="V98" s="51" t="e">
        <f t="shared" si="35"/>
        <v>#N/A</v>
      </c>
      <c r="Y98" s="147" t="e">
        <f t="shared" si="36"/>
        <v>#N/A</v>
      </c>
      <c r="Z98" s="177" t="e">
        <f t="shared" si="37"/>
        <v>#N/A</v>
      </c>
      <c r="AA98" s="178"/>
      <c r="AB98" s="178" t="e">
        <f t="shared" si="38"/>
        <v>#N/A</v>
      </c>
      <c r="AC98" s="179" t="e">
        <f t="shared" si="39"/>
        <v>#N/A</v>
      </c>
      <c r="AD98" s="147" t="e">
        <f t="shared" si="40"/>
        <v>#N/A</v>
      </c>
      <c r="AE98" s="157" t="e">
        <f t="shared" si="41"/>
        <v>#N/A</v>
      </c>
      <c r="AF98" s="179" t="e">
        <f t="shared" si="42"/>
        <v>#N/A</v>
      </c>
      <c r="AG98" s="147" t="e">
        <f t="shared" si="43"/>
        <v>#N/A</v>
      </c>
      <c r="AH98" s="157" t="e">
        <f t="shared" si="44"/>
        <v>#N/A</v>
      </c>
      <c r="AI98" s="179" t="e">
        <f t="shared" si="45"/>
        <v>#N/A</v>
      </c>
      <c r="AJ98" s="147" t="e">
        <f t="shared" si="46"/>
        <v>#N/A</v>
      </c>
      <c r="AK98" s="157" t="e">
        <f t="shared" si="47"/>
        <v>#N/A</v>
      </c>
    </row>
    <row r="99" spans="1:37" ht="14.25" hidden="1" customHeight="1" x14ac:dyDescent="0.3">
      <c r="A99" s="168" t="s">
        <v>925</v>
      </c>
      <c r="B99" s="168" t="s">
        <v>200</v>
      </c>
      <c r="C99" s="168" t="s">
        <v>918</v>
      </c>
      <c r="D99" s="168" t="s">
        <v>917</v>
      </c>
      <c r="E99" s="169">
        <v>1</v>
      </c>
      <c r="F99" s="182" t="s">
        <v>505</v>
      </c>
      <c r="G99" s="183" t="e">
        <f>IF(A99="","",VLOOKUP(A99,Cotizador!$A$5:$J$43,3,FALSE))</f>
        <v>#N/A</v>
      </c>
      <c r="H99" s="147">
        <f>IF(OR(A99="",D99=""),"",IF(D99="Sin estampar",0,IF(D99="Pecho",VLOOKUP(A99,Cotizador!$A$5:$J$43,4,FALSE),IF(D99="Espalda",VLOOKUP(A99,Cotizador!$A$5:$J$43,5,FALSE),VLOOKUP(A99,Cotizador!$A$5:$J$43,4,FALSE)+VLOOKUP(A99,Cotizador!$A$5:$J$43,5,FALSE)))))</f>
        <v>0</v>
      </c>
      <c r="I99" s="147" t="e">
        <f>IF(A99="","",VLOOKUP(A99,Cotizador!$A$5:$J$43,6,FALSE))</f>
        <v>#N/A</v>
      </c>
      <c r="J99" s="147" t="e">
        <f>IF(A99="","",VLOOKUP(A99,Cotizador!$A$5:$J$43,7,FALSE))</f>
        <v>#N/A</v>
      </c>
      <c r="K99" s="172" t="e">
        <f t="shared" si="29"/>
        <v>#N/A</v>
      </c>
      <c r="L99" s="147" t="e">
        <f>IF(A99="","",IF(D99="Sin estampar",VLOOKUP(A99,Cotizador!$A$5:$J$43,8,FALSE),IF(D99="Pecho",VLOOKUP(A99,Cotizador!$A$5:$J$43,10,FALSE),VLOOKUP(A99,Cotizador!$A$5:$J$43,9,FALSE))))</f>
        <v>#N/A</v>
      </c>
      <c r="M99" s="173" t="e">
        <f t="shared" si="30"/>
        <v>#N/A</v>
      </c>
      <c r="N99" s="147" t="e">
        <f t="shared" si="31"/>
        <v>#N/A</v>
      </c>
      <c r="O99" s="157"/>
      <c r="P99" s="157" t="e">
        <f t="shared" si="32"/>
        <v>#N/A</v>
      </c>
      <c r="Q99" s="174" t="str">
        <f t="shared" si="33"/>
        <v>Camisa Boxy fit S Blanco</v>
      </c>
      <c r="R99" s="180" t="e">
        <f ca="1"/>
        <v>#NAME?</v>
      </c>
      <c r="S99" s="181"/>
      <c r="T99" s="176">
        <f t="shared" ca="1" si="34"/>
        <v>0</v>
      </c>
      <c r="V99" s="51" t="e">
        <f t="shared" si="35"/>
        <v>#N/A</v>
      </c>
      <c r="Y99" s="147" t="e">
        <f t="shared" si="36"/>
        <v>#N/A</v>
      </c>
      <c r="Z99" s="177" t="e">
        <f t="shared" si="37"/>
        <v>#N/A</v>
      </c>
      <c r="AA99" s="178"/>
      <c r="AB99" s="178" t="e">
        <f t="shared" si="38"/>
        <v>#N/A</v>
      </c>
      <c r="AC99" s="179" t="e">
        <f t="shared" si="39"/>
        <v>#N/A</v>
      </c>
      <c r="AD99" s="147" t="e">
        <f t="shared" si="40"/>
        <v>#N/A</v>
      </c>
      <c r="AE99" s="157" t="e">
        <f t="shared" si="41"/>
        <v>#N/A</v>
      </c>
      <c r="AF99" s="179" t="e">
        <f t="shared" si="42"/>
        <v>#N/A</v>
      </c>
      <c r="AG99" s="147" t="e">
        <f t="shared" si="43"/>
        <v>#N/A</v>
      </c>
      <c r="AH99" s="157" t="e">
        <f t="shared" si="44"/>
        <v>#N/A</v>
      </c>
      <c r="AI99" s="179" t="e">
        <f t="shared" si="45"/>
        <v>#N/A</v>
      </c>
      <c r="AJ99" s="147" t="e">
        <f t="shared" si="46"/>
        <v>#N/A</v>
      </c>
      <c r="AK99" s="157" t="e">
        <f t="shared" si="47"/>
        <v>#N/A</v>
      </c>
    </row>
    <row r="100" spans="1:37" ht="14.25" hidden="1" customHeight="1" x14ac:dyDescent="0.3">
      <c r="A100" s="168" t="s">
        <v>925</v>
      </c>
      <c r="B100" s="168" t="s">
        <v>204</v>
      </c>
      <c r="C100" s="168" t="s">
        <v>918</v>
      </c>
      <c r="D100" s="168" t="s">
        <v>917</v>
      </c>
      <c r="E100" s="169">
        <v>2</v>
      </c>
      <c r="F100" s="182" t="s">
        <v>505</v>
      </c>
      <c r="G100" s="183" t="e">
        <f>IF(A100="","",VLOOKUP(A100,Cotizador!$A$5:$J$43,3,FALSE))</f>
        <v>#N/A</v>
      </c>
      <c r="H100" s="147">
        <f>IF(OR(A100="",D100=""),"",IF(D100="Sin estampar",0,IF(D100="Pecho",VLOOKUP(A100,Cotizador!$A$5:$J$43,4,FALSE),IF(D100="Espalda",VLOOKUP(A100,Cotizador!$A$5:$J$43,5,FALSE),VLOOKUP(A100,Cotizador!$A$5:$J$43,4,FALSE)+VLOOKUP(A100,Cotizador!$A$5:$J$43,5,FALSE)))))</f>
        <v>0</v>
      </c>
      <c r="I100" s="147" t="e">
        <f>IF(A100="","",VLOOKUP(A100,Cotizador!$A$5:$J$43,6,FALSE))</f>
        <v>#N/A</v>
      </c>
      <c r="J100" s="147" t="e">
        <f>IF(A100="","",VLOOKUP(A100,Cotizador!$A$5:$J$43,7,FALSE))</f>
        <v>#N/A</v>
      </c>
      <c r="K100" s="172" t="e">
        <f t="shared" si="29"/>
        <v>#N/A</v>
      </c>
      <c r="L100" s="147" t="e">
        <f>IF(A100="","",IF(D100="Sin estampar",VLOOKUP(A100,Cotizador!$A$5:$J$43,8,FALSE),IF(D100="Pecho",VLOOKUP(A100,Cotizador!$A$5:$J$43,10,FALSE),VLOOKUP(A100,Cotizador!$A$5:$J$43,9,FALSE))))</f>
        <v>#N/A</v>
      </c>
      <c r="M100" s="173" t="e">
        <f t="shared" si="30"/>
        <v>#N/A</v>
      </c>
      <c r="N100" s="147" t="e">
        <f t="shared" si="31"/>
        <v>#N/A</v>
      </c>
      <c r="O100" s="157"/>
      <c r="P100" s="157" t="e">
        <f t="shared" si="32"/>
        <v>#N/A</v>
      </c>
      <c r="Q100" s="174" t="str">
        <f t="shared" si="33"/>
        <v>Camisa Boxy fit M Blanco</v>
      </c>
      <c r="R100" s="180" t="e">
        <f ca="1"/>
        <v>#NAME?</v>
      </c>
      <c r="S100" s="181"/>
      <c r="T100" s="176">
        <f t="shared" ca="1" si="34"/>
        <v>0</v>
      </c>
      <c r="V100" s="51" t="e">
        <f t="shared" si="35"/>
        <v>#N/A</v>
      </c>
      <c r="Y100" s="147" t="e">
        <f t="shared" si="36"/>
        <v>#N/A</v>
      </c>
      <c r="Z100" s="177" t="e">
        <f t="shared" si="37"/>
        <v>#N/A</v>
      </c>
      <c r="AA100" s="178"/>
      <c r="AB100" s="178" t="e">
        <f t="shared" si="38"/>
        <v>#N/A</v>
      </c>
      <c r="AC100" s="179" t="e">
        <f t="shared" si="39"/>
        <v>#N/A</v>
      </c>
      <c r="AD100" s="147" t="e">
        <f t="shared" si="40"/>
        <v>#N/A</v>
      </c>
      <c r="AE100" s="157" t="e">
        <f t="shared" si="41"/>
        <v>#N/A</v>
      </c>
      <c r="AF100" s="179" t="e">
        <f t="shared" si="42"/>
        <v>#N/A</v>
      </c>
      <c r="AG100" s="147" t="e">
        <f t="shared" si="43"/>
        <v>#N/A</v>
      </c>
      <c r="AH100" s="157" t="e">
        <f t="shared" si="44"/>
        <v>#N/A</v>
      </c>
      <c r="AI100" s="179" t="e">
        <f t="shared" si="45"/>
        <v>#N/A</v>
      </c>
      <c r="AJ100" s="147" t="e">
        <f t="shared" si="46"/>
        <v>#N/A</v>
      </c>
      <c r="AK100" s="157" t="e">
        <f t="shared" si="47"/>
        <v>#N/A</v>
      </c>
    </row>
    <row r="101" spans="1:37" ht="14.25" hidden="1" customHeight="1" x14ac:dyDescent="0.3">
      <c r="A101" s="168" t="s">
        <v>925</v>
      </c>
      <c r="B101" s="168" t="s">
        <v>207</v>
      </c>
      <c r="C101" s="168" t="s">
        <v>918</v>
      </c>
      <c r="D101" s="168" t="s">
        <v>917</v>
      </c>
      <c r="E101" s="169">
        <v>2</v>
      </c>
      <c r="F101" s="182" t="s">
        <v>505</v>
      </c>
      <c r="G101" s="183" t="e">
        <f>IF(A101="","",VLOOKUP(A101,Cotizador!$A$5:$J$43,3,FALSE))</f>
        <v>#N/A</v>
      </c>
      <c r="H101" s="147">
        <f>IF(OR(A101="",D101=""),"",IF(D101="Sin estampar",0,IF(D101="Pecho",VLOOKUP(A101,Cotizador!$A$5:$J$43,4,FALSE),IF(D101="Espalda",VLOOKUP(A101,Cotizador!$A$5:$J$43,5,FALSE),VLOOKUP(A101,Cotizador!$A$5:$J$43,4,FALSE)+VLOOKUP(A101,Cotizador!$A$5:$J$43,5,FALSE)))))</f>
        <v>0</v>
      </c>
      <c r="I101" s="147" t="e">
        <f>IF(A101="","",VLOOKUP(A101,Cotizador!$A$5:$J$43,6,FALSE))</f>
        <v>#N/A</v>
      </c>
      <c r="J101" s="147" t="e">
        <f>IF(A101="","",VLOOKUP(A101,Cotizador!$A$5:$J$43,7,FALSE))</f>
        <v>#N/A</v>
      </c>
      <c r="K101" s="172" t="e">
        <f t="shared" si="29"/>
        <v>#N/A</v>
      </c>
      <c r="L101" s="147" t="e">
        <f>IF(A101="","",IF(D101="Sin estampar",VLOOKUP(A101,Cotizador!$A$5:$J$43,8,FALSE),IF(D101="Pecho",VLOOKUP(A101,Cotizador!$A$5:$J$43,10,FALSE),VLOOKUP(A101,Cotizador!$A$5:$J$43,9,FALSE))))</f>
        <v>#N/A</v>
      </c>
      <c r="M101" s="173" t="e">
        <f t="shared" si="30"/>
        <v>#N/A</v>
      </c>
      <c r="N101" s="147" t="e">
        <f t="shared" si="31"/>
        <v>#N/A</v>
      </c>
      <c r="O101" s="157"/>
      <c r="P101" s="157" t="e">
        <f t="shared" si="32"/>
        <v>#N/A</v>
      </c>
      <c r="Q101" s="174" t="str">
        <f t="shared" si="33"/>
        <v>Camisa Boxy fit L Blanco</v>
      </c>
      <c r="R101" s="180" t="e">
        <f ca="1"/>
        <v>#NAME?</v>
      </c>
      <c r="S101" s="181"/>
      <c r="T101" s="176">
        <f t="shared" ca="1" si="34"/>
        <v>0</v>
      </c>
      <c r="V101" s="51" t="e">
        <f t="shared" si="35"/>
        <v>#N/A</v>
      </c>
      <c r="Y101" s="147" t="e">
        <f t="shared" si="36"/>
        <v>#N/A</v>
      </c>
      <c r="Z101" s="177" t="e">
        <f t="shared" si="37"/>
        <v>#N/A</v>
      </c>
      <c r="AA101" s="178"/>
      <c r="AB101" s="178" t="e">
        <f t="shared" si="38"/>
        <v>#N/A</v>
      </c>
      <c r="AC101" s="179" t="e">
        <f t="shared" si="39"/>
        <v>#N/A</v>
      </c>
      <c r="AD101" s="147" t="e">
        <f t="shared" si="40"/>
        <v>#N/A</v>
      </c>
      <c r="AE101" s="157" t="e">
        <f t="shared" si="41"/>
        <v>#N/A</v>
      </c>
      <c r="AF101" s="179" t="e">
        <f t="shared" si="42"/>
        <v>#N/A</v>
      </c>
      <c r="AG101" s="147" t="e">
        <f t="shared" si="43"/>
        <v>#N/A</v>
      </c>
      <c r="AH101" s="157" t="e">
        <f t="shared" si="44"/>
        <v>#N/A</v>
      </c>
      <c r="AI101" s="179" t="e">
        <f t="shared" si="45"/>
        <v>#N/A</v>
      </c>
      <c r="AJ101" s="147" t="e">
        <f t="shared" si="46"/>
        <v>#N/A</v>
      </c>
      <c r="AK101" s="157" t="e">
        <f t="shared" si="47"/>
        <v>#N/A</v>
      </c>
    </row>
    <row r="102" spans="1:37" ht="14.25" hidden="1" customHeight="1" x14ac:dyDescent="0.3">
      <c r="A102" s="168" t="s">
        <v>925</v>
      </c>
      <c r="B102" s="168" t="s">
        <v>200</v>
      </c>
      <c r="C102" s="168" t="s">
        <v>921</v>
      </c>
      <c r="D102" s="168" t="s">
        <v>917</v>
      </c>
      <c r="E102" s="169">
        <v>1</v>
      </c>
      <c r="F102" s="182" t="s">
        <v>505</v>
      </c>
      <c r="G102" s="183" t="e">
        <f>IF(A102="","",VLOOKUP(A102,Cotizador!$A$5:$J$43,3,FALSE))</f>
        <v>#N/A</v>
      </c>
      <c r="H102" s="147">
        <f>IF(OR(A102="",D102=""),"",IF(D102="Sin estampar",0,IF(D102="Pecho",VLOOKUP(A102,Cotizador!$A$5:$J$43,4,FALSE),IF(D102="Espalda",VLOOKUP(A102,Cotizador!$A$5:$J$43,5,FALSE),VLOOKUP(A102,Cotizador!$A$5:$J$43,4,FALSE)+VLOOKUP(A102,Cotizador!$A$5:$J$43,5,FALSE)))))</f>
        <v>0</v>
      </c>
      <c r="I102" s="147" t="e">
        <f>IF(A102="","",VLOOKUP(A102,Cotizador!$A$5:$J$43,6,FALSE))</f>
        <v>#N/A</v>
      </c>
      <c r="J102" s="147" t="e">
        <f>IF(A102="","",VLOOKUP(A102,Cotizador!$A$5:$J$43,7,FALSE))</f>
        <v>#N/A</v>
      </c>
      <c r="K102" s="172" t="e">
        <f t="shared" si="29"/>
        <v>#N/A</v>
      </c>
      <c r="L102" s="147" t="e">
        <f>IF(A102="","",IF(D102="Sin estampar",VLOOKUP(A102,Cotizador!$A$5:$J$43,8,FALSE),IF(D102="Pecho",VLOOKUP(A102,Cotizador!$A$5:$J$43,10,FALSE),VLOOKUP(A102,Cotizador!$A$5:$J$43,9,FALSE))))</f>
        <v>#N/A</v>
      </c>
      <c r="M102" s="173" t="e">
        <f t="shared" si="30"/>
        <v>#N/A</v>
      </c>
      <c r="N102" s="147" t="e">
        <f t="shared" si="31"/>
        <v>#N/A</v>
      </c>
      <c r="O102" s="157"/>
      <c r="P102" s="157" t="e">
        <f t="shared" si="32"/>
        <v>#N/A</v>
      </c>
      <c r="Q102" s="174" t="str">
        <f t="shared" si="33"/>
        <v>Camisa Boxy fit S Plomo Plata</v>
      </c>
      <c r="R102" s="180" t="e">
        <f ca="1"/>
        <v>#NAME?</v>
      </c>
      <c r="S102" s="181"/>
      <c r="T102" s="176">
        <f t="shared" ca="1" si="34"/>
        <v>0</v>
      </c>
      <c r="V102" s="51" t="e">
        <f t="shared" si="35"/>
        <v>#N/A</v>
      </c>
      <c r="Y102" s="147" t="e">
        <f t="shared" si="36"/>
        <v>#N/A</v>
      </c>
      <c r="Z102" s="177" t="e">
        <f t="shared" si="37"/>
        <v>#N/A</v>
      </c>
      <c r="AA102" s="178"/>
      <c r="AB102" s="178" t="e">
        <f t="shared" si="38"/>
        <v>#N/A</v>
      </c>
      <c r="AC102" s="179" t="e">
        <f t="shared" si="39"/>
        <v>#N/A</v>
      </c>
      <c r="AD102" s="147" t="e">
        <f t="shared" si="40"/>
        <v>#N/A</v>
      </c>
      <c r="AE102" s="157" t="e">
        <f t="shared" si="41"/>
        <v>#N/A</v>
      </c>
      <c r="AF102" s="179" t="e">
        <f t="shared" si="42"/>
        <v>#N/A</v>
      </c>
      <c r="AG102" s="147" t="e">
        <f t="shared" si="43"/>
        <v>#N/A</v>
      </c>
      <c r="AH102" s="157" t="e">
        <f t="shared" si="44"/>
        <v>#N/A</v>
      </c>
      <c r="AI102" s="179" t="e">
        <f t="shared" si="45"/>
        <v>#N/A</v>
      </c>
      <c r="AJ102" s="147" t="e">
        <f t="shared" si="46"/>
        <v>#N/A</v>
      </c>
      <c r="AK102" s="157" t="e">
        <f t="shared" si="47"/>
        <v>#N/A</v>
      </c>
    </row>
    <row r="103" spans="1:37" ht="14.25" hidden="1" customHeight="1" x14ac:dyDescent="0.3">
      <c r="A103" s="168" t="s">
        <v>925</v>
      </c>
      <c r="B103" s="168" t="s">
        <v>204</v>
      </c>
      <c r="C103" s="168" t="s">
        <v>921</v>
      </c>
      <c r="D103" s="168" t="s">
        <v>917</v>
      </c>
      <c r="E103" s="169">
        <v>2</v>
      </c>
      <c r="F103" s="182" t="s">
        <v>505</v>
      </c>
      <c r="G103" s="183" t="e">
        <f>IF(A103="","",VLOOKUP(A103,Cotizador!$A$5:$J$43,3,FALSE))</f>
        <v>#N/A</v>
      </c>
      <c r="H103" s="147">
        <f>IF(OR(A103="",D103=""),"",IF(D103="Sin estampar",0,IF(D103="Pecho",VLOOKUP(A103,Cotizador!$A$5:$J$43,4,FALSE),IF(D103="Espalda",VLOOKUP(A103,Cotizador!$A$5:$J$43,5,FALSE),VLOOKUP(A103,Cotizador!$A$5:$J$43,4,FALSE)+VLOOKUP(A103,Cotizador!$A$5:$J$43,5,FALSE)))))</f>
        <v>0</v>
      </c>
      <c r="I103" s="147" t="e">
        <f>IF(A103="","",VLOOKUP(A103,Cotizador!$A$5:$J$43,6,FALSE))</f>
        <v>#N/A</v>
      </c>
      <c r="J103" s="147" t="e">
        <f>IF(A103="","",VLOOKUP(A103,Cotizador!$A$5:$J$43,7,FALSE))</f>
        <v>#N/A</v>
      </c>
      <c r="K103" s="172" t="e">
        <f t="shared" si="29"/>
        <v>#N/A</v>
      </c>
      <c r="L103" s="147" t="e">
        <f>IF(A103="","",IF(D103="Sin estampar",VLOOKUP(A103,Cotizador!$A$5:$J$43,8,FALSE),IF(D103="Pecho",VLOOKUP(A103,Cotizador!$A$5:$J$43,10,FALSE),VLOOKUP(A103,Cotizador!$A$5:$J$43,9,FALSE))))</f>
        <v>#N/A</v>
      </c>
      <c r="M103" s="173" t="e">
        <f t="shared" si="30"/>
        <v>#N/A</v>
      </c>
      <c r="N103" s="147" t="e">
        <f t="shared" si="31"/>
        <v>#N/A</v>
      </c>
      <c r="O103" s="157"/>
      <c r="P103" s="157" t="e">
        <f t="shared" si="32"/>
        <v>#N/A</v>
      </c>
      <c r="Q103" s="174" t="str">
        <f t="shared" si="33"/>
        <v>Camisa Boxy fit M Plomo Plata</v>
      </c>
      <c r="R103" s="180" t="e">
        <f ca="1"/>
        <v>#NAME?</v>
      </c>
      <c r="S103" s="181"/>
      <c r="T103" s="176">
        <f t="shared" ca="1" si="34"/>
        <v>0</v>
      </c>
      <c r="V103" s="51" t="e">
        <f t="shared" si="35"/>
        <v>#N/A</v>
      </c>
      <c r="Y103" s="147" t="e">
        <f t="shared" si="36"/>
        <v>#N/A</v>
      </c>
      <c r="Z103" s="177" t="e">
        <f t="shared" si="37"/>
        <v>#N/A</v>
      </c>
      <c r="AA103" s="178"/>
      <c r="AB103" s="178" t="e">
        <f t="shared" si="38"/>
        <v>#N/A</v>
      </c>
      <c r="AC103" s="179" t="e">
        <f t="shared" si="39"/>
        <v>#N/A</v>
      </c>
      <c r="AD103" s="147" t="e">
        <f t="shared" si="40"/>
        <v>#N/A</v>
      </c>
      <c r="AE103" s="157" t="e">
        <f t="shared" si="41"/>
        <v>#N/A</v>
      </c>
      <c r="AF103" s="179" t="e">
        <f t="shared" si="42"/>
        <v>#N/A</v>
      </c>
      <c r="AG103" s="147" t="e">
        <f t="shared" si="43"/>
        <v>#N/A</v>
      </c>
      <c r="AH103" s="157" t="e">
        <f t="shared" si="44"/>
        <v>#N/A</v>
      </c>
      <c r="AI103" s="179" t="e">
        <f t="shared" si="45"/>
        <v>#N/A</v>
      </c>
      <c r="AJ103" s="147" t="e">
        <f t="shared" si="46"/>
        <v>#N/A</v>
      </c>
      <c r="AK103" s="157" t="e">
        <f t="shared" si="47"/>
        <v>#N/A</v>
      </c>
    </row>
    <row r="104" spans="1:37" ht="14.25" hidden="1" customHeight="1" x14ac:dyDescent="0.3">
      <c r="A104" s="168" t="s">
        <v>925</v>
      </c>
      <c r="B104" s="168" t="s">
        <v>207</v>
      </c>
      <c r="C104" s="168" t="s">
        <v>921</v>
      </c>
      <c r="D104" s="168" t="s">
        <v>917</v>
      </c>
      <c r="E104" s="169">
        <v>2</v>
      </c>
      <c r="F104" s="182" t="s">
        <v>505</v>
      </c>
      <c r="G104" s="183" t="e">
        <f>IF(A104="","",VLOOKUP(A104,Cotizador!$A$5:$J$43,3,FALSE))</f>
        <v>#N/A</v>
      </c>
      <c r="H104" s="147">
        <f>IF(OR(A104="",D104=""),"",IF(D104="Sin estampar",0,IF(D104="Pecho",VLOOKUP(A104,Cotizador!$A$5:$J$43,4,FALSE),IF(D104="Espalda",VLOOKUP(A104,Cotizador!$A$5:$J$43,5,FALSE),VLOOKUP(A104,Cotizador!$A$5:$J$43,4,FALSE)+VLOOKUP(A104,Cotizador!$A$5:$J$43,5,FALSE)))))</f>
        <v>0</v>
      </c>
      <c r="I104" s="147" t="e">
        <f>IF(A104="","",VLOOKUP(A104,Cotizador!$A$5:$J$43,6,FALSE))</f>
        <v>#N/A</v>
      </c>
      <c r="J104" s="147" t="e">
        <f>IF(A104="","",VLOOKUP(A104,Cotizador!$A$5:$J$43,7,FALSE))</f>
        <v>#N/A</v>
      </c>
      <c r="K104" s="172" t="e">
        <f t="shared" si="29"/>
        <v>#N/A</v>
      </c>
      <c r="L104" s="147" t="e">
        <f>IF(A104="","",IF(D104="Sin estampar",VLOOKUP(A104,Cotizador!$A$5:$J$43,8,FALSE),IF(D104="Pecho",VLOOKUP(A104,Cotizador!$A$5:$J$43,10,FALSE),VLOOKUP(A104,Cotizador!$A$5:$J$43,9,FALSE))))</f>
        <v>#N/A</v>
      </c>
      <c r="M104" s="173" t="e">
        <f t="shared" si="30"/>
        <v>#N/A</v>
      </c>
      <c r="N104" s="147" t="e">
        <f t="shared" si="31"/>
        <v>#N/A</v>
      </c>
      <c r="O104" s="157"/>
      <c r="P104" s="157" t="e">
        <f t="shared" si="32"/>
        <v>#N/A</v>
      </c>
      <c r="Q104" s="174" t="str">
        <f t="shared" si="33"/>
        <v>Camisa Boxy fit L Plomo Plata</v>
      </c>
      <c r="R104" s="180" t="e">
        <f ca="1"/>
        <v>#NAME?</v>
      </c>
      <c r="S104" s="181"/>
      <c r="T104" s="176">
        <f t="shared" ca="1" si="34"/>
        <v>0</v>
      </c>
      <c r="V104" s="51" t="e">
        <f t="shared" si="35"/>
        <v>#N/A</v>
      </c>
      <c r="Y104" s="147" t="e">
        <f t="shared" si="36"/>
        <v>#N/A</v>
      </c>
      <c r="Z104" s="177" t="e">
        <f t="shared" si="37"/>
        <v>#N/A</v>
      </c>
      <c r="AA104" s="178"/>
      <c r="AB104" s="178" t="e">
        <f t="shared" si="38"/>
        <v>#N/A</v>
      </c>
      <c r="AC104" s="179" t="e">
        <f t="shared" si="39"/>
        <v>#N/A</v>
      </c>
      <c r="AD104" s="147" t="e">
        <f t="shared" si="40"/>
        <v>#N/A</v>
      </c>
      <c r="AE104" s="157" t="e">
        <f t="shared" si="41"/>
        <v>#N/A</v>
      </c>
      <c r="AF104" s="179" t="e">
        <f t="shared" si="42"/>
        <v>#N/A</v>
      </c>
      <c r="AG104" s="147" t="e">
        <f t="shared" si="43"/>
        <v>#N/A</v>
      </c>
      <c r="AH104" s="157" t="e">
        <f t="shared" si="44"/>
        <v>#N/A</v>
      </c>
      <c r="AI104" s="179" t="e">
        <f t="shared" si="45"/>
        <v>#N/A</v>
      </c>
      <c r="AJ104" s="147" t="e">
        <f t="shared" si="46"/>
        <v>#N/A</v>
      </c>
      <c r="AK104" s="157" t="e">
        <f t="shared" si="47"/>
        <v>#N/A</v>
      </c>
    </row>
    <row r="105" spans="1:37" ht="14.25" hidden="1" customHeight="1" x14ac:dyDescent="0.3">
      <c r="A105" s="168" t="s">
        <v>925</v>
      </c>
      <c r="B105" s="168" t="s">
        <v>200</v>
      </c>
      <c r="C105" s="168" t="s">
        <v>201</v>
      </c>
      <c r="D105" s="168" t="s">
        <v>922</v>
      </c>
      <c r="E105" s="169">
        <v>1</v>
      </c>
      <c r="F105" s="182" t="s">
        <v>505</v>
      </c>
      <c r="G105" s="183" t="e">
        <f>IF(A105="","",VLOOKUP(A105,Cotizador!$A$5:$J$43,3,FALSE))</f>
        <v>#N/A</v>
      </c>
      <c r="H105" s="147" t="e">
        <f>IF(OR(A105="",D105=""),"",IF(D105="Sin estampar",0,IF(D105="Pecho",VLOOKUP(A105,Cotizador!$A$5:$J$43,4,FALSE),IF(D105="Espalda",VLOOKUP(A105,Cotizador!$A$5:$J$43,5,FALSE),VLOOKUP(A105,Cotizador!$A$5:$J$43,4,FALSE)+VLOOKUP(A105,Cotizador!$A$5:$J$43,5,FALSE)))))</f>
        <v>#N/A</v>
      </c>
      <c r="I105" s="147" t="e">
        <f>IF(A105="","",VLOOKUP(A105,Cotizador!$A$5:$J$43,6,FALSE))</f>
        <v>#N/A</v>
      </c>
      <c r="J105" s="147" t="e">
        <f>IF(A105="","",VLOOKUP(A105,Cotizador!$A$5:$J$43,7,FALSE))</f>
        <v>#N/A</v>
      </c>
      <c r="K105" s="172" t="e">
        <f t="shared" si="29"/>
        <v>#N/A</v>
      </c>
      <c r="L105" s="147" t="e">
        <f>IF(A105="","",IF(D105="Sin estampar",VLOOKUP(A105,Cotizador!$A$5:$J$43,8,FALSE),IF(D105="Pecho",VLOOKUP(A105,Cotizador!$A$5:$J$43,10,FALSE),VLOOKUP(A105,Cotizador!$A$5:$J$43,9,FALSE))))</f>
        <v>#N/A</v>
      </c>
      <c r="M105" s="173" t="e">
        <f t="shared" si="30"/>
        <v>#N/A</v>
      </c>
      <c r="N105" s="147" t="e">
        <f t="shared" si="31"/>
        <v>#N/A</v>
      </c>
      <c r="O105" s="157"/>
      <c r="P105" s="157" t="e">
        <f t="shared" si="32"/>
        <v>#N/A</v>
      </c>
      <c r="Q105" s="174" t="str">
        <f t="shared" si="33"/>
        <v>Camisa Boxy fit S Negro</v>
      </c>
      <c r="R105" s="180" t="e">
        <f ca="1"/>
        <v>#NAME?</v>
      </c>
      <c r="S105" s="181"/>
      <c r="T105" s="176">
        <f t="shared" ca="1" si="34"/>
        <v>0</v>
      </c>
      <c r="V105" s="51" t="e">
        <f t="shared" si="35"/>
        <v>#N/A</v>
      </c>
      <c r="Y105" s="147" t="e">
        <f t="shared" si="36"/>
        <v>#N/A</v>
      </c>
      <c r="Z105" s="177" t="e">
        <f t="shared" si="37"/>
        <v>#N/A</v>
      </c>
      <c r="AA105" s="178"/>
      <c r="AB105" s="178" t="e">
        <f t="shared" si="38"/>
        <v>#N/A</v>
      </c>
      <c r="AC105" s="179" t="e">
        <f t="shared" si="39"/>
        <v>#N/A</v>
      </c>
      <c r="AD105" s="147" t="e">
        <f t="shared" si="40"/>
        <v>#N/A</v>
      </c>
      <c r="AE105" s="157" t="e">
        <f t="shared" si="41"/>
        <v>#N/A</v>
      </c>
      <c r="AF105" s="179" t="e">
        <f t="shared" si="42"/>
        <v>#N/A</v>
      </c>
      <c r="AG105" s="147" t="e">
        <f t="shared" si="43"/>
        <v>#N/A</v>
      </c>
      <c r="AH105" s="157" t="e">
        <f t="shared" si="44"/>
        <v>#N/A</v>
      </c>
      <c r="AI105" s="179" t="e">
        <f t="shared" si="45"/>
        <v>#N/A</v>
      </c>
      <c r="AJ105" s="147" t="e">
        <f t="shared" si="46"/>
        <v>#N/A</v>
      </c>
      <c r="AK105" s="157" t="e">
        <f t="shared" si="47"/>
        <v>#N/A</v>
      </c>
    </row>
    <row r="106" spans="1:37" ht="14.25" hidden="1" customHeight="1" x14ac:dyDescent="0.3">
      <c r="A106" s="168" t="s">
        <v>925</v>
      </c>
      <c r="B106" s="168" t="s">
        <v>204</v>
      </c>
      <c r="C106" s="168" t="s">
        <v>201</v>
      </c>
      <c r="D106" s="168" t="s">
        <v>922</v>
      </c>
      <c r="E106" s="169">
        <v>2</v>
      </c>
      <c r="F106" s="182" t="s">
        <v>505</v>
      </c>
      <c r="G106" s="183" t="e">
        <f>IF(A106="","",VLOOKUP(A106,Cotizador!$A$5:$J$43,3,FALSE))</f>
        <v>#N/A</v>
      </c>
      <c r="H106" s="147" t="e">
        <f>IF(OR(A106="",D106=""),"",IF(D106="Sin estampar",0,IF(D106="Pecho",VLOOKUP(A106,Cotizador!$A$5:$J$43,4,FALSE),IF(D106="Espalda",VLOOKUP(A106,Cotizador!$A$5:$J$43,5,FALSE),VLOOKUP(A106,Cotizador!$A$5:$J$43,4,FALSE)+VLOOKUP(A106,Cotizador!$A$5:$J$43,5,FALSE)))))</f>
        <v>#N/A</v>
      </c>
      <c r="I106" s="147" t="e">
        <f>IF(A106="","",VLOOKUP(A106,Cotizador!$A$5:$J$43,6,FALSE))</f>
        <v>#N/A</v>
      </c>
      <c r="J106" s="147" t="e">
        <f>IF(A106="","",VLOOKUP(A106,Cotizador!$A$5:$J$43,7,FALSE))</f>
        <v>#N/A</v>
      </c>
      <c r="K106" s="172" t="e">
        <f t="shared" si="29"/>
        <v>#N/A</v>
      </c>
      <c r="L106" s="147" t="e">
        <f>IF(A106="","",IF(D106="Sin estampar",VLOOKUP(A106,Cotizador!$A$5:$J$43,8,FALSE),IF(D106="Pecho",VLOOKUP(A106,Cotizador!$A$5:$J$43,10,FALSE),VLOOKUP(A106,Cotizador!$A$5:$J$43,9,FALSE))))</f>
        <v>#N/A</v>
      </c>
      <c r="M106" s="173" t="e">
        <f t="shared" si="30"/>
        <v>#N/A</v>
      </c>
      <c r="N106" s="147" t="e">
        <f t="shared" si="31"/>
        <v>#N/A</v>
      </c>
      <c r="O106" s="157"/>
      <c r="P106" s="157" t="e">
        <f t="shared" si="32"/>
        <v>#N/A</v>
      </c>
      <c r="Q106" s="174" t="str">
        <f t="shared" si="33"/>
        <v>Camisa Boxy fit M Negro</v>
      </c>
      <c r="R106" s="180" t="e">
        <f ca="1"/>
        <v>#NAME?</v>
      </c>
      <c r="S106" s="181"/>
      <c r="T106" s="176">
        <f t="shared" ca="1" si="34"/>
        <v>0</v>
      </c>
      <c r="V106" s="51" t="e">
        <f t="shared" si="35"/>
        <v>#N/A</v>
      </c>
      <c r="Y106" s="147" t="e">
        <f t="shared" si="36"/>
        <v>#N/A</v>
      </c>
      <c r="Z106" s="177" t="e">
        <f t="shared" si="37"/>
        <v>#N/A</v>
      </c>
      <c r="AA106" s="178"/>
      <c r="AB106" s="178" t="e">
        <f t="shared" si="38"/>
        <v>#N/A</v>
      </c>
      <c r="AC106" s="179" t="e">
        <f t="shared" si="39"/>
        <v>#N/A</v>
      </c>
      <c r="AD106" s="147" t="e">
        <f t="shared" si="40"/>
        <v>#N/A</v>
      </c>
      <c r="AE106" s="157" t="e">
        <f t="shared" si="41"/>
        <v>#N/A</v>
      </c>
      <c r="AF106" s="179" t="e">
        <f t="shared" si="42"/>
        <v>#N/A</v>
      </c>
      <c r="AG106" s="147" t="e">
        <f t="shared" si="43"/>
        <v>#N/A</v>
      </c>
      <c r="AH106" s="157" t="e">
        <f t="shared" si="44"/>
        <v>#N/A</v>
      </c>
      <c r="AI106" s="179" t="e">
        <f t="shared" si="45"/>
        <v>#N/A</v>
      </c>
      <c r="AJ106" s="147" t="e">
        <f t="shared" si="46"/>
        <v>#N/A</v>
      </c>
      <c r="AK106" s="157" t="e">
        <f t="shared" si="47"/>
        <v>#N/A</v>
      </c>
    </row>
    <row r="107" spans="1:37" ht="14.25" hidden="1" customHeight="1" x14ac:dyDescent="0.3">
      <c r="A107" s="168" t="s">
        <v>925</v>
      </c>
      <c r="B107" s="168" t="s">
        <v>207</v>
      </c>
      <c r="C107" s="168" t="s">
        <v>201</v>
      </c>
      <c r="D107" s="168" t="s">
        <v>922</v>
      </c>
      <c r="E107" s="169">
        <v>2</v>
      </c>
      <c r="F107" s="182" t="s">
        <v>505</v>
      </c>
      <c r="G107" s="183" t="e">
        <f>IF(A107="","",VLOOKUP(A107,Cotizador!$A$5:$J$43,3,FALSE))</f>
        <v>#N/A</v>
      </c>
      <c r="H107" s="147" t="e">
        <f>IF(OR(A107="",D107=""),"",IF(D107="Sin estampar",0,IF(D107="Pecho",VLOOKUP(A107,Cotizador!$A$5:$J$43,4,FALSE),IF(D107="Espalda",VLOOKUP(A107,Cotizador!$A$5:$J$43,5,FALSE),VLOOKUP(A107,Cotizador!$A$5:$J$43,4,FALSE)+VLOOKUP(A107,Cotizador!$A$5:$J$43,5,FALSE)))))</f>
        <v>#N/A</v>
      </c>
      <c r="I107" s="147" t="e">
        <f>IF(A107="","",VLOOKUP(A107,Cotizador!$A$5:$J$43,6,FALSE))</f>
        <v>#N/A</v>
      </c>
      <c r="J107" s="147" t="e">
        <f>IF(A107="","",VLOOKUP(A107,Cotizador!$A$5:$J$43,7,FALSE))</f>
        <v>#N/A</v>
      </c>
      <c r="K107" s="172" t="e">
        <f t="shared" si="29"/>
        <v>#N/A</v>
      </c>
      <c r="L107" s="147" t="e">
        <f>IF(A107="","",IF(D107="Sin estampar",VLOOKUP(A107,Cotizador!$A$5:$J$43,8,FALSE),IF(D107="Pecho",VLOOKUP(A107,Cotizador!$A$5:$J$43,10,FALSE),VLOOKUP(A107,Cotizador!$A$5:$J$43,9,FALSE))))</f>
        <v>#N/A</v>
      </c>
      <c r="M107" s="173" t="e">
        <f t="shared" si="30"/>
        <v>#N/A</v>
      </c>
      <c r="N107" s="147" t="e">
        <f t="shared" si="31"/>
        <v>#N/A</v>
      </c>
      <c r="O107" s="157"/>
      <c r="P107" s="157" t="e">
        <f t="shared" si="32"/>
        <v>#N/A</v>
      </c>
      <c r="Q107" s="174" t="str">
        <f t="shared" si="33"/>
        <v>Camisa Boxy fit L Negro</v>
      </c>
      <c r="R107" s="180" t="e">
        <f ca="1"/>
        <v>#NAME?</v>
      </c>
      <c r="S107" s="181"/>
      <c r="T107" s="176">
        <f t="shared" ca="1" si="34"/>
        <v>0</v>
      </c>
      <c r="V107" s="51" t="e">
        <f t="shared" si="35"/>
        <v>#N/A</v>
      </c>
      <c r="Y107" s="147" t="e">
        <f t="shared" si="36"/>
        <v>#N/A</v>
      </c>
      <c r="Z107" s="177" t="e">
        <f t="shared" si="37"/>
        <v>#N/A</v>
      </c>
      <c r="AA107" s="178"/>
      <c r="AB107" s="178" t="e">
        <f t="shared" si="38"/>
        <v>#N/A</v>
      </c>
      <c r="AC107" s="179" t="e">
        <f t="shared" si="39"/>
        <v>#N/A</v>
      </c>
      <c r="AD107" s="147" t="e">
        <f t="shared" si="40"/>
        <v>#N/A</v>
      </c>
      <c r="AE107" s="157" t="e">
        <f t="shared" si="41"/>
        <v>#N/A</v>
      </c>
      <c r="AF107" s="179" t="e">
        <f t="shared" si="42"/>
        <v>#N/A</v>
      </c>
      <c r="AG107" s="147" t="e">
        <f t="shared" si="43"/>
        <v>#N/A</v>
      </c>
      <c r="AH107" s="157" t="e">
        <f t="shared" si="44"/>
        <v>#N/A</v>
      </c>
      <c r="AI107" s="179" t="e">
        <f t="shared" si="45"/>
        <v>#N/A</v>
      </c>
      <c r="AJ107" s="147" t="e">
        <f t="shared" si="46"/>
        <v>#N/A</v>
      </c>
      <c r="AK107" s="157" t="e">
        <f t="shared" si="47"/>
        <v>#N/A</v>
      </c>
    </row>
    <row r="108" spans="1:37" ht="14.25" hidden="1" customHeight="1" x14ac:dyDescent="0.3">
      <c r="A108" s="168" t="s">
        <v>925</v>
      </c>
      <c r="B108" s="168" t="s">
        <v>200</v>
      </c>
      <c r="C108" s="168" t="s">
        <v>918</v>
      </c>
      <c r="D108" s="168" t="s">
        <v>922</v>
      </c>
      <c r="E108" s="169">
        <v>1</v>
      </c>
      <c r="F108" s="182" t="s">
        <v>505</v>
      </c>
      <c r="G108" s="183" t="e">
        <f>IF(A108="","",VLOOKUP(A108,Cotizador!$A$5:$J$43,3,FALSE))</f>
        <v>#N/A</v>
      </c>
      <c r="H108" s="147" t="e">
        <f>IF(OR(A108="",D108=""),"",IF(D108="Sin estampar",0,IF(D108="Pecho",VLOOKUP(A108,Cotizador!$A$5:$J$43,4,FALSE),IF(D108="Espalda",VLOOKUP(A108,Cotizador!$A$5:$J$43,5,FALSE),VLOOKUP(A108,Cotizador!$A$5:$J$43,4,FALSE)+VLOOKUP(A108,Cotizador!$A$5:$J$43,5,FALSE)))))</f>
        <v>#N/A</v>
      </c>
      <c r="I108" s="147" t="e">
        <f>IF(A108="","",VLOOKUP(A108,Cotizador!$A$5:$J$43,6,FALSE))</f>
        <v>#N/A</v>
      </c>
      <c r="J108" s="147" t="e">
        <f>IF(A108="","",VLOOKUP(A108,Cotizador!$A$5:$J$43,7,FALSE))</f>
        <v>#N/A</v>
      </c>
      <c r="K108" s="172" t="e">
        <f t="shared" si="29"/>
        <v>#N/A</v>
      </c>
      <c r="L108" s="147" t="e">
        <f>IF(A108="","",IF(D108="Sin estampar",VLOOKUP(A108,Cotizador!$A$5:$J$43,8,FALSE),IF(D108="Pecho",VLOOKUP(A108,Cotizador!$A$5:$J$43,10,FALSE),VLOOKUP(A108,Cotizador!$A$5:$J$43,9,FALSE))))</f>
        <v>#N/A</v>
      </c>
      <c r="M108" s="173" t="e">
        <f t="shared" si="30"/>
        <v>#N/A</v>
      </c>
      <c r="N108" s="147" t="e">
        <f t="shared" si="31"/>
        <v>#N/A</v>
      </c>
      <c r="O108" s="157"/>
      <c r="P108" s="157" t="e">
        <f t="shared" si="32"/>
        <v>#N/A</v>
      </c>
      <c r="Q108" s="174" t="str">
        <f t="shared" si="33"/>
        <v>Camisa Boxy fit S Blanco</v>
      </c>
      <c r="R108" s="180" t="e">
        <f ca="1"/>
        <v>#NAME?</v>
      </c>
      <c r="S108" s="181"/>
      <c r="T108" s="176">
        <f t="shared" ca="1" si="34"/>
        <v>0</v>
      </c>
      <c r="V108" s="51" t="e">
        <f t="shared" si="35"/>
        <v>#N/A</v>
      </c>
      <c r="Y108" s="147" t="e">
        <f t="shared" si="36"/>
        <v>#N/A</v>
      </c>
      <c r="Z108" s="177" t="e">
        <f t="shared" si="37"/>
        <v>#N/A</v>
      </c>
      <c r="AA108" s="178"/>
      <c r="AB108" s="178" t="e">
        <f t="shared" si="38"/>
        <v>#N/A</v>
      </c>
      <c r="AC108" s="179" t="e">
        <f t="shared" si="39"/>
        <v>#N/A</v>
      </c>
      <c r="AD108" s="147" t="e">
        <f t="shared" si="40"/>
        <v>#N/A</v>
      </c>
      <c r="AE108" s="157" t="e">
        <f t="shared" si="41"/>
        <v>#N/A</v>
      </c>
      <c r="AF108" s="179" t="e">
        <f t="shared" si="42"/>
        <v>#N/A</v>
      </c>
      <c r="AG108" s="147" t="e">
        <f t="shared" si="43"/>
        <v>#N/A</v>
      </c>
      <c r="AH108" s="157" t="e">
        <f t="shared" si="44"/>
        <v>#N/A</v>
      </c>
      <c r="AI108" s="179" t="e">
        <f t="shared" si="45"/>
        <v>#N/A</v>
      </c>
      <c r="AJ108" s="147" t="e">
        <f t="shared" si="46"/>
        <v>#N/A</v>
      </c>
      <c r="AK108" s="157" t="e">
        <f t="shared" si="47"/>
        <v>#N/A</v>
      </c>
    </row>
    <row r="109" spans="1:37" ht="14.25" hidden="1" customHeight="1" x14ac:dyDescent="0.3">
      <c r="A109" s="168" t="s">
        <v>925</v>
      </c>
      <c r="B109" s="168" t="s">
        <v>204</v>
      </c>
      <c r="C109" s="168" t="s">
        <v>918</v>
      </c>
      <c r="D109" s="168" t="s">
        <v>922</v>
      </c>
      <c r="E109" s="169">
        <v>2</v>
      </c>
      <c r="F109" s="182" t="s">
        <v>505</v>
      </c>
      <c r="G109" s="183" t="e">
        <f>IF(A109="","",VLOOKUP(A109,Cotizador!$A$5:$J$43,3,FALSE))</f>
        <v>#N/A</v>
      </c>
      <c r="H109" s="147" t="e">
        <f>IF(OR(A109="",D109=""),"",IF(D109="Sin estampar",0,IF(D109="Pecho",VLOOKUP(A109,Cotizador!$A$5:$J$43,4,FALSE),IF(D109="Espalda",VLOOKUP(A109,Cotizador!$A$5:$J$43,5,FALSE),VLOOKUP(A109,Cotizador!$A$5:$J$43,4,FALSE)+VLOOKUP(A109,Cotizador!$A$5:$J$43,5,FALSE)))))</f>
        <v>#N/A</v>
      </c>
      <c r="I109" s="147" t="e">
        <f>IF(A109="","",VLOOKUP(A109,Cotizador!$A$5:$J$43,6,FALSE))</f>
        <v>#N/A</v>
      </c>
      <c r="J109" s="147" t="e">
        <f>IF(A109="","",VLOOKUP(A109,Cotizador!$A$5:$J$43,7,FALSE))</f>
        <v>#N/A</v>
      </c>
      <c r="K109" s="172" t="e">
        <f t="shared" si="29"/>
        <v>#N/A</v>
      </c>
      <c r="L109" s="147" t="e">
        <f>IF(A109="","",IF(D109="Sin estampar",VLOOKUP(A109,Cotizador!$A$5:$J$43,8,FALSE),IF(D109="Pecho",VLOOKUP(A109,Cotizador!$A$5:$J$43,10,FALSE),VLOOKUP(A109,Cotizador!$A$5:$J$43,9,FALSE))))</f>
        <v>#N/A</v>
      </c>
      <c r="M109" s="173" t="e">
        <f t="shared" si="30"/>
        <v>#N/A</v>
      </c>
      <c r="N109" s="147" t="e">
        <f t="shared" si="31"/>
        <v>#N/A</v>
      </c>
      <c r="O109" s="157"/>
      <c r="P109" s="157" t="e">
        <f t="shared" si="32"/>
        <v>#N/A</v>
      </c>
      <c r="Q109" s="174" t="str">
        <f t="shared" si="33"/>
        <v>Camisa Boxy fit M Blanco</v>
      </c>
      <c r="R109" s="180" t="e">
        <f ca="1"/>
        <v>#NAME?</v>
      </c>
      <c r="S109" s="181"/>
      <c r="T109" s="176">
        <f t="shared" ca="1" si="34"/>
        <v>0</v>
      </c>
      <c r="V109" s="51" t="e">
        <f t="shared" si="35"/>
        <v>#N/A</v>
      </c>
      <c r="Y109" s="147" t="e">
        <f t="shared" si="36"/>
        <v>#N/A</v>
      </c>
      <c r="Z109" s="177" t="e">
        <f t="shared" si="37"/>
        <v>#N/A</v>
      </c>
      <c r="AA109" s="178"/>
      <c r="AB109" s="178" t="e">
        <f t="shared" si="38"/>
        <v>#N/A</v>
      </c>
      <c r="AC109" s="179" t="e">
        <f t="shared" si="39"/>
        <v>#N/A</v>
      </c>
      <c r="AD109" s="147" t="e">
        <f t="shared" si="40"/>
        <v>#N/A</v>
      </c>
      <c r="AE109" s="157" t="e">
        <f t="shared" si="41"/>
        <v>#N/A</v>
      </c>
      <c r="AF109" s="179" t="e">
        <f t="shared" si="42"/>
        <v>#N/A</v>
      </c>
      <c r="AG109" s="147" t="e">
        <f t="shared" si="43"/>
        <v>#N/A</v>
      </c>
      <c r="AH109" s="157" t="e">
        <f t="shared" si="44"/>
        <v>#N/A</v>
      </c>
      <c r="AI109" s="179" t="e">
        <f t="shared" si="45"/>
        <v>#N/A</v>
      </c>
      <c r="AJ109" s="147" t="e">
        <f t="shared" si="46"/>
        <v>#N/A</v>
      </c>
      <c r="AK109" s="157" t="e">
        <f t="shared" si="47"/>
        <v>#N/A</v>
      </c>
    </row>
    <row r="110" spans="1:37" ht="14.25" hidden="1" customHeight="1" x14ac:dyDescent="0.3">
      <c r="A110" s="168" t="s">
        <v>925</v>
      </c>
      <c r="B110" s="168" t="s">
        <v>207</v>
      </c>
      <c r="C110" s="168" t="s">
        <v>918</v>
      </c>
      <c r="D110" s="168" t="s">
        <v>922</v>
      </c>
      <c r="E110" s="169">
        <v>2</v>
      </c>
      <c r="F110" s="182" t="s">
        <v>505</v>
      </c>
      <c r="G110" s="183" t="e">
        <f>IF(A110="","",VLOOKUP(A110,Cotizador!$A$5:$J$43,3,FALSE))</f>
        <v>#N/A</v>
      </c>
      <c r="H110" s="147" t="e">
        <f>IF(OR(A110="",D110=""),"",IF(D110="Sin estampar",0,IF(D110="Pecho",VLOOKUP(A110,Cotizador!$A$5:$J$43,4,FALSE),IF(D110="Espalda",VLOOKUP(A110,Cotizador!$A$5:$J$43,5,FALSE),VLOOKUP(A110,Cotizador!$A$5:$J$43,4,FALSE)+VLOOKUP(A110,Cotizador!$A$5:$J$43,5,FALSE)))))</f>
        <v>#N/A</v>
      </c>
      <c r="I110" s="147" t="e">
        <f>IF(A110="","",VLOOKUP(A110,Cotizador!$A$5:$J$43,6,FALSE))</f>
        <v>#N/A</v>
      </c>
      <c r="J110" s="147" t="e">
        <f>IF(A110="","",VLOOKUP(A110,Cotizador!$A$5:$J$43,7,FALSE))</f>
        <v>#N/A</v>
      </c>
      <c r="K110" s="172" t="e">
        <f t="shared" si="29"/>
        <v>#N/A</v>
      </c>
      <c r="L110" s="147" t="e">
        <f>IF(A110="","",IF(D110="Sin estampar",VLOOKUP(A110,Cotizador!$A$5:$J$43,8,FALSE),IF(D110="Pecho",VLOOKUP(A110,Cotizador!$A$5:$J$43,10,FALSE),VLOOKUP(A110,Cotizador!$A$5:$J$43,9,FALSE))))</f>
        <v>#N/A</v>
      </c>
      <c r="M110" s="173" t="e">
        <f t="shared" si="30"/>
        <v>#N/A</v>
      </c>
      <c r="N110" s="147" t="e">
        <f t="shared" si="31"/>
        <v>#N/A</v>
      </c>
      <c r="O110" s="157"/>
      <c r="P110" s="157" t="e">
        <f t="shared" si="32"/>
        <v>#N/A</v>
      </c>
      <c r="Q110" s="174" t="str">
        <f t="shared" si="33"/>
        <v>Camisa Boxy fit L Blanco</v>
      </c>
      <c r="R110" s="180" t="e">
        <f ca="1"/>
        <v>#NAME?</v>
      </c>
      <c r="S110" s="181"/>
      <c r="T110" s="176">
        <f t="shared" ca="1" si="34"/>
        <v>0</v>
      </c>
      <c r="V110" s="51" t="e">
        <f t="shared" si="35"/>
        <v>#N/A</v>
      </c>
      <c r="Y110" s="147" t="e">
        <f t="shared" si="36"/>
        <v>#N/A</v>
      </c>
      <c r="Z110" s="177" t="e">
        <f t="shared" si="37"/>
        <v>#N/A</v>
      </c>
      <c r="AA110" s="178"/>
      <c r="AB110" s="178" t="e">
        <f t="shared" si="38"/>
        <v>#N/A</v>
      </c>
      <c r="AC110" s="179" t="e">
        <f t="shared" si="39"/>
        <v>#N/A</v>
      </c>
      <c r="AD110" s="147" t="e">
        <f t="shared" si="40"/>
        <v>#N/A</v>
      </c>
      <c r="AE110" s="157" t="e">
        <f t="shared" si="41"/>
        <v>#N/A</v>
      </c>
      <c r="AF110" s="179" t="e">
        <f t="shared" si="42"/>
        <v>#N/A</v>
      </c>
      <c r="AG110" s="147" t="e">
        <f t="shared" si="43"/>
        <v>#N/A</v>
      </c>
      <c r="AH110" s="157" t="e">
        <f t="shared" si="44"/>
        <v>#N/A</v>
      </c>
      <c r="AI110" s="179" t="e">
        <f t="shared" si="45"/>
        <v>#N/A</v>
      </c>
      <c r="AJ110" s="147" t="e">
        <f t="shared" si="46"/>
        <v>#N/A</v>
      </c>
      <c r="AK110" s="157" t="e">
        <f t="shared" si="47"/>
        <v>#N/A</v>
      </c>
    </row>
    <row r="111" spans="1:37" ht="14.25" hidden="1" customHeight="1" x14ac:dyDescent="0.3">
      <c r="A111" s="168" t="s">
        <v>925</v>
      </c>
      <c r="B111" s="168" t="s">
        <v>200</v>
      </c>
      <c r="C111" s="168" t="s">
        <v>921</v>
      </c>
      <c r="D111" s="168" t="s">
        <v>922</v>
      </c>
      <c r="E111" s="169">
        <v>1</v>
      </c>
      <c r="F111" s="182" t="s">
        <v>505</v>
      </c>
      <c r="G111" s="183" t="e">
        <f>IF(A111="","",VLOOKUP(A111,Cotizador!$A$5:$J$43,3,FALSE))</f>
        <v>#N/A</v>
      </c>
      <c r="H111" s="147" t="e">
        <f>IF(OR(A111="",D111=""),"",IF(D111="Sin estampar",0,IF(D111="Pecho",VLOOKUP(A111,Cotizador!$A$5:$J$43,4,FALSE),IF(D111="Espalda",VLOOKUP(A111,Cotizador!$A$5:$J$43,5,FALSE),VLOOKUP(A111,Cotizador!$A$5:$J$43,4,FALSE)+VLOOKUP(A111,Cotizador!$A$5:$J$43,5,FALSE)))))</f>
        <v>#N/A</v>
      </c>
      <c r="I111" s="147" t="e">
        <f>IF(A111="","",VLOOKUP(A111,Cotizador!$A$5:$J$43,6,FALSE))</f>
        <v>#N/A</v>
      </c>
      <c r="J111" s="147" t="e">
        <f>IF(A111="","",VLOOKUP(A111,Cotizador!$A$5:$J$43,7,FALSE))</f>
        <v>#N/A</v>
      </c>
      <c r="K111" s="172" t="e">
        <f t="shared" si="29"/>
        <v>#N/A</v>
      </c>
      <c r="L111" s="147" t="e">
        <f>IF(A111="","",IF(D111="Sin estampar",VLOOKUP(A111,Cotizador!$A$5:$J$43,8,FALSE),IF(D111="Pecho",VLOOKUP(A111,Cotizador!$A$5:$J$43,10,FALSE),VLOOKUP(A111,Cotizador!$A$5:$J$43,9,FALSE))))</f>
        <v>#N/A</v>
      </c>
      <c r="M111" s="173" t="e">
        <f t="shared" si="30"/>
        <v>#N/A</v>
      </c>
      <c r="N111" s="147" t="e">
        <f t="shared" si="31"/>
        <v>#N/A</v>
      </c>
      <c r="O111" s="157"/>
      <c r="P111" s="157" t="e">
        <f t="shared" si="32"/>
        <v>#N/A</v>
      </c>
      <c r="Q111" s="174" t="str">
        <f t="shared" si="33"/>
        <v>Camisa Boxy fit S Plomo Plata</v>
      </c>
      <c r="R111" s="180" t="e">
        <f ca="1"/>
        <v>#NAME?</v>
      </c>
      <c r="S111" s="181"/>
      <c r="T111" s="176">
        <f t="shared" ca="1" si="34"/>
        <v>0</v>
      </c>
      <c r="V111" s="51" t="e">
        <f t="shared" si="35"/>
        <v>#N/A</v>
      </c>
      <c r="Y111" s="147" t="e">
        <f t="shared" si="36"/>
        <v>#N/A</v>
      </c>
      <c r="Z111" s="177" t="e">
        <f t="shared" si="37"/>
        <v>#N/A</v>
      </c>
      <c r="AA111" s="178"/>
      <c r="AB111" s="178" t="e">
        <f t="shared" si="38"/>
        <v>#N/A</v>
      </c>
      <c r="AC111" s="179" t="e">
        <f t="shared" si="39"/>
        <v>#N/A</v>
      </c>
      <c r="AD111" s="147" t="e">
        <f t="shared" si="40"/>
        <v>#N/A</v>
      </c>
      <c r="AE111" s="157" t="e">
        <f t="shared" si="41"/>
        <v>#N/A</v>
      </c>
      <c r="AF111" s="179" t="e">
        <f t="shared" si="42"/>
        <v>#N/A</v>
      </c>
      <c r="AG111" s="147" t="e">
        <f t="shared" si="43"/>
        <v>#N/A</v>
      </c>
      <c r="AH111" s="157" t="e">
        <f t="shared" si="44"/>
        <v>#N/A</v>
      </c>
      <c r="AI111" s="179" t="e">
        <f t="shared" si="45"/>
        <v>#N/A</v>
      </c>
      <c r="AJ111" s="147" t="e">
        <f t="shared" si="46"/>
        <v>#N/A</v>
      </c>
      <c r="AK111" s="157" t="e">
        <f t="shared" si="47"/>
        <v>#N/A</v>
      </c>
    </row>
    <row r="112" spans="1:37" ht="14.25" hidden="1" customHeight="1" x14ac:dyDescent="0.3">
      <c r="A112" s="168" t="s">
        <v>925</v>
      </c>
      <c r="B112" s="168" t="s">
        <v>204</v>
      </c>
      <c r="C112" s="168" t="s">
        <v>921</v>
      </c>
      <c r="D112" s="168" t="s">
        <v>922</v>
      </c>
      <c r="E112" s="169">
        <v>2</v>
      </c>
      <c r="F112" s="182" t="s">
        <v>505</v>
      </c>
      <c r="G112" s="183" t="e">
        <f>IF(A112="","",VLOOKUP(A112,Cotizador!$A$5:$J$43,3,FALSE))</f>
        <v>#N/A</v>
      </c>
      <c r="H112" s="147" t="e">
        <f>IF(OR(A112="",D112=""),"",IF(D112="Sin estampar",0,IF(D112="Pecho",VLOOKUP(A112,Cotizador!$A$5:$J$43,4,FALSE),IF(D112="Espalda",VLOOKUP(A112,Cotizador!$A$5:$J$43,5,FALSE),VLOOKUP(A112,Cotizador!$A$5:$J$43,4,FALSE)+VLOOKUP(A112,Cotizador!$A$5:$J$43,5,FALSE)))))</f>
        <v>#N/A</v>
      </c>
      <c r="I112" s="147" t="e">
        <f>IF(A112="","",VLOOKUP(A112,Cotizador!$A$5:$J$43,6,FALSE))</f>
        <v>#N/A</v>
      </c>
      <c r="J112" s="147" t="e">
        <f>IF(A112="","",VLOOKUP(A112,Cotizador!$A$5:$J$43,7,FALSE))</f>
        <v>#N/A</v>
      </c>
      <c r="K112" s="172" t="e">
        <f t="shared" si="29"/>
        <v>#N/A</v>
      </c>
      <c r="L112" s="147" t="e">
        <f>IF(A112="","",IF(D112="Sin estampar",VLOOKUP(A112,Cotizador!$A$5:$J$43,8,FALSE),IF(D112="Pecho",VLOOKUP(A112,Cotizador!$A$5:$J$43,10,FALSE),VLOOKUP(A112,Cotizador!$A$5:$J$43,9,FALSE))))</f>
        <v>#N/A</v>
      </c>
      <c r="M112" s="173" t="e">
        <f t="shared" si="30"/>
        <v>#N/A</v>
      </c>
      <c r="N112" s="147" t="e">
        <f t="shared" si="31"/>
        <v>#N/A</v>
      </c>
      <c r="O112" s="157"/>
      <c r="P112" s="157" t="e">
        <f t="shared" si="32"/>
        <v>#N/A</v>
      </c>
      <c r="Q112" s="174" t="str">
        <f t="shared" si="33"/>
        <v>Camisa Boxy fit M Plomo Plata</v>
      </c>
      <c r="R112" s="180" t="e">
        <f ca="1"/>
        <v>#NAME?</v>
      </c>
      <c r="S112" s="181"/>
      <c r="T112" s="176">
        <f t="shared" ca="1" si="34"/>
        <v>0</v>
      </c>
      <c r="V112" s="51" t="e">
        <f t="shared" si="35"/>
        <v>#N/A</v>
      </c>
      <c r="Y112" s="147" t="e">
        <f t="shared" si="36"/>
        <v>#N/A</v>
      </c>
      <c r="Z112" s="177" t="e">
        <f t="shared" si="37"/>
        <v>#N/A</v>
      </c>
      <c r="AA112" s="178"/>
      <c r="AB112" s="178" t="e">
        <f t="shared" si="38"/>
        <v>#N/A</v>
      </c>
      <c r="AC112" s="179" t="e">
        <f t="shared" si="39"/>
        <v>#N/A</v>
      </c>
      <c r="AD112" s="147" t="e">
        <f t="shared" si="40"/>
        <v>#N/A</v>
      </c>
      <c r="AE112" s="157" t="e">
        <f t="shared" si="41"/>
        <v>#N/A</v>
      </c>
      <c r="AF112" s="179" t="e">
        <f t="shared" si="42"/>
        <v>#N/A</v>
      </c>
      <c r="AG112" s="147" t="e">
        <f t="shared" si="43"/>
        <v>#N/A</v>
      </c>
      <c r="AH112" s="157" t="e">
        <f t="shared" si="44"/>
        <v>#N/A</v>
      </c>
      <c r="AI112" s="179" t="e">
        <f t="shared" si="45"/>
        <v>#N/A</v>
      </c>
      <c r="AJ112" s="147" t="e">
        <f t="shared" si="46"/>
        <v>#N/A</v>
      </c>
      <c r="AK112" s="157" t="e">
        <f t="shared" si="47"/>
        <v>#N/A</v>
      </c>
    </row>
    <row r="113" spans="1:37" ht="14.25" hidden="1" customHeight="1" x14ac:dyDescent="0.3">
      <c r="A113" s="168" t="s">
        <v>925</v>
      </c>
      <c r="B113" s="168" t="s">
        <v>207</v>
      </c>
      <c r="C113" s="168" t="s">
        <v>921</v>
      </c>
      <c r="D113" s="168" t="s">
        <v>922</v>
      </c>
      <c r="E113" s="169">
        <v>2</v>
      </c>
      <c r="F113" s="182" t="s">
        <v>505</v>
      </c>
      <c r="G113" s="183" t="e">
        <f>IF(A113="","",VLOOKUP(A113,Cotizador!$A$5:$J$43,3,FALSE))</f>
        <v>#N/A</v>
      </c>
      <c r="H113" s="147" t="e">
        <f>IF(OR(A113="",D113=""),"",IF(D113="Sin estampar",0,IF(D113="Pecho",VLOOKUP(A113,Cotizador!$A$5:$J$43,4,FALSE),IF(D113="Espalda",VLOOKUP(A113,Cotizador!$A$5:$J$43,5,FALSE),VLOOKUP(A113,Cotizador!$A$5:$J$43,4,FALSE)+VLOOKUP(A113,Cotizador!$A$5:$J$43,5,FALSE)))))</f>
        <v>#N/A</v>
      </c>
      <c r="I113" s="147" t="e">
        <f>IF(A113="","",VLOOKUP(A113,Cotizador!$A$5:$J$43,6,FALSE))</f>
        <v>#N/A</v>
      </c>
      <c r="J113" s="147" t="e">
        <f>IF(A113="","",VLOOKUP(A113,Cotizador!$A$5:$J$43,7,FALSE))</f>
        <v>#N/A</v>
      </c>
      <c r="K113" s="172" t="e">
        <f t="shared" si="29"/>
        <v>#N/A</v>
      </c>
      <c r="L113" s="147" t="e">
        <f>IF(A113="","",IF(D113="Sin estampar",VLOOKUP(A113,Cotizador!$A$5:$J$43,8,FALSE),IF(D113="Pecho",VLOOKUP(A113,Cotizador!$A$5:$J$43,10,FALSE),VLOOKUP(A113,Cotizador!$A$5:$J$43,9,FALSE))))</f>
        <v>#N/A</v>
      </c>
      <c r="M113" s="173" t="e">
        <f t="shared" si="30"/>
        <v>#N/A</v>
      </c>
      <c r="N113" s="147" t="e">
        <f t="shared" si="31"/>
        <v>#N/A</v>
      </c>
      <c r="O113" s="157"/>
      <c r="P113" s="157" t="e">
        <f t="shared" si="32"/>
        <v>#N/A</v>
      </c>
      <c r="Q113" s="174" t="str">
        <f t="shared" si="33"/>
        <v>Camisa Boxy fit L Plomo Plata</v>
      </c>
      <c r="R113" s="180" t="e">
        <f ca="1"/>
        <v>#NAME?</v>
      </c>
      <c r="S113" s="181"/>
      <c r="T113" s="176">
        <f t="shared" ca="1" si="34"/>
        <v>0</v>
      </c>
      <c r="V113" s="51" t="e">
        <f t="shared" si="35"/>
        <v>#N/A</v>
      </c>
      <c r="Y113" s="147" t="e">
        <f t="shared" si="36"/>
        <v>#N/A</v>
      </c>
      <c r="Z113" s="177" t="e">
        <f t="shared" si="37"/>
        <v>#N/A</v>
      </c>
      <c r="AA113" s="178"/>
      <c r="AB113" s="178" t="e">
        <f t="shared" si="38"/>
        <v>#N/A</v>
      </c>
      <c r="AC113" s="179" t="e">
        <f t="shared" si="39"/>
        <v>#N/A</v>
      </c>
      <c r="AD113" s="147" t="e">
        <f t="shared" si="40"/>
        <v>#N/A</v>
      </c>
      <c r="AE113" s="157" t="e">
        <f t="shared" si="41"/>
        <v>#N/A</v>
      </c>
      <c r="AF113" s="179" t="e">
        <f t="shared" si="42"/>
        <v>#N/A</v>
      </c>
      <c r="AG113" s="147" t="e">
        <f t="shared" si="43"/>
        <v>#N/A</v>
      </c>
      <c r="AH113" s="157" t="e">
        <f t="shared" si="44"/>
        <v>#N/A</v>
      </c>
      <c r="AI113" s="179" t="e">
        <f t="shared" si="45"/>
        <v>#N/A</v>
      </c>
      <c r="AJ113" s="147" t="e">
        <f t="shared" si="46"/>
        <v>#N/A</v>
      </c>
      <c r="AK113" s="157" t="e">
        <f t="shared" si="47"/>
        <v>#N/A</v>
      </c>
    </row>
    <row r="114" spans="1:37" ht="14.25" hidden="1" customHeight="1" x14ac:dyDescent="0.3">
      <c r="A114" s="168" t="s">
        <v>926</v>
      </c>
      <c r="B114" s="168" t="s">
        <v>207</v>
      </c>
      <c r="C114" s="168" t="s">
        <v>927</v>
      </c>
      <c r="D114" s="168" t="s">
        <v>917</v>
      </c>
      <c r="E114" s="169">
        <v>6</v>
      </c>
      <c r="F114" s="182" t="s">
        <v>505</v>
      </c>
      <c r="G114" s="183" t="e">
        <f>IF(A114="","",VLOOKUP(A114,Cotizador!$A$5:$J$43,3,FALSE))</f>
        <v>#N/A</v>
      </c>
      <c r="H114" s="147">
        <f>IF(OR(A114="",D114=""),"",IF(D114="Sin estampar",0,IF(D114="Pecho",VLOOKUP(A114,Cotizador!$A$5:$J$43,4,FALSE),IF(D114="Espalda",VLOOKUP(A114,Cotizador!$A$5:$J$43,5,FALSE),VLOOKUP(A114,Cotizador!$A$5:$J$43,4,FALSE)+VLOOKUP(A114,Cotizador!$A$5:$J$43,5,FALSE)))))</f>
        <v>0</v>
      </c>
      <c r="I114" s="147" t="e">
        <f>IF(A114="","",VLOOKUP(A114,Cotizador!$A$5:$J$43,6,FALSE))</f>
        <v>#N/A</v>
      </c>
      <c r="J114" s="147" t="e">
        <f>IF(A114="","",VLOOKUP(A114,Cotizador!$A$5:$J$43,7,FALSE))</f>
        <v>#N/A</v>
      </c>
      <c r="K114" s="172" t="e">
        <f t="shared" si="29"/>
        <v>#N/A</v>
      </c>
      <c r="L114" s="147" t="e">
        <f>IF(A114="","",IF(D114="Sin estampar",VLOOKUP(A114,Cotizador!$A$5:$J$43,8,FALSE),IF(D114="Pecho",VLOOKUP(A114,Cotizador!$A$5:$J$43,10,FALSE),VLOOKUP(A114,Cotizador!$A$5:$J$43,9,FALSE))))</f>
        <v>#N/A</v>
      </c>
      <c r="M114" s="173" t="e">
        <f t="shared" si="30"/>
        <v>#N/A</v>
      </c>
      <c r="N114" s="147" t="e">
        <f t="shared" si="31"/>
        <v>#N/A</v>
      </c>
      <c r="O114" s="157"/>
      <c r="P114" s="157" t="e">
        <f t="shared" si="32"/>
        <v>#N/A</v>
      </c>
      <c r="Q114" s="174" t="str">
        <f t="shared" si="33"/>
        <v>Hoodie L Acid Wash Gris</v>
      </c>
      <c r="R114" s="180" t="e">
        <f ca="1"/>
        <v>#NAME?</v>
      </c>
      <c r="S114" s="181"/>
      <c r="T114" s="176">
        <f t="shared" ca="1" si="34"/>
        <v>0</v>
      </c>
      <c r="V114" s="51" t="e">
        <f t="shared" si="35"/>
        <v>#N/A</v>
      </c>
      <c r="Y114" s="147" t="e">
        <f t="shared" si="36"/>
        <v>#N/A</v>
      </c>
      <c r="Z114" s="177" t="e">
        <f t="shared" si="37"/>
        <v>#N/A</v>
      </c>
      <c r="AA114" s="178"/>
      <c r="AB114" s="178" t="e">
        <f t="shared" si="38"/>
        <v>#N/A</v>
      </c>
      <c r="AC114" s="179" t="e">
        <f t="shared" si="39"/>
        <v>#N/A</v>
      </c>
      <c r="AD114" s="147" t="e">
        <f t="shared" si="40"/>
        <v>#N/A</v>
      </c>
      <c r="AE114" s="157" t="e">
        <f t="shared" si="41"/>
        <v>#N/A</v>
      </c>
      <c r="AF114" s="179" t="e">
        <f t="shared" si="42"/>
        <v>#N/A</v>
      </c>
      <c r="AG114" s="147" t="e">
        <f t="shared" si="43"/>
        <v>#N/A</v>
      </c>
      <c r="AH114" s="157" t="e">
        <f t="shared" si="44"/>
        <v>#N/A</v>
      </c>
      <c r="AI114" s="179" t="e">
        <f t="shared" ref="AI114:AI115" si="48">ROUNDUP(L114*0.85,-3)</f>
        <v>#N/A</v>
      </c>
      <c r="AJ114" s="147" t="e">
        <f t="shared" si="46"/>
        <v>#N/A</v>
      </c>
      <c r="AK114" s="157" t="e">
        <f t="shared" si="47"/>
        <v>#N/A</v>
      </c>
    </row>
    <row r="115" spans="1:37" ht="14.25" hidden="1" customHeight="1" x14ac:dyDescent="0.3">
      <c r="A115" s="168" t="s">
        <v>926</v>
      </c>
      <c r="B115" s="168" t="s">
        <v>207</v>
      </c>
      <c r="C115" s="168" t="s">
        <v>927</v>
      </c>
      <c r="D115" s="168" t="s">
        <v>922</v>
      </c>
      <c r="E115" s="169">
        <v>6</v>
      </c>
      <c r="F115" s="182" t="s">
        <v>505</v>
      </c>
      <c r="G115" s="183" t="e">
        <f>IF(A115="","",VLOOKUP(A115,Cotizador!$A$5:$J$43,3,FALSE))</f>
        <v>#N/A</v>
      </c>
      <c r="H115" s="184" t="e">
        <f>IF(OR(A115="",D115=""),"",IF(D115="Sin estampar",0,IF(D115="Pecho",VLOOKUP(A115,Cotizador!$A$5:$J$43,4,FALSE),IF(D115="Espalda",VLOOKUP(A115,Cotizador!$A$5:$J$43,5,FALSE),VLOOKUP(A115,Cotizador!$A$5:$J$43,4,FALSE)+VLOOKUP(A115,Cotizador!$A$5:$J$43,5,FALSE)))))</f>
        <v>#N/A</v>
      </c>
      <c r="I115" s="147" t="e">
        <f>IF(A115="","",VLOOKUP(A115,Cotizador!$A$5:$J$43,6,FALSE))</f>
        <v>#N/A</v>
      </c>
      <c r="J115" s="147" t="e">
        <f>IF(A115="","",VLOOKUP(A115,Cotizador!$A$5:$J$43,7,FALSE))</f>
        <v>#N/A</v>
      </c>
      <c r="K115" s="172" t="e">
        <f t="shared" si="29"/>
        <v>#N/A</v>
      </c>
      <c r="L115" s="147" t="e">
        <f>IF(A115="","",IF(D115="Sin estampar",VLOOKUP(A115,Cotizador!$A$5:$J$43,8,FALSE),IF(D115="Pecho",VLOOKUP(A115,Cotizador!$A$5:$J$43,10,FALSE),VLOOKUP(A115,Cotizador!$A$5:$J$43,9,FALSE))))</f>
        <v>#N/A</v>
      </c>
      <c r="M115" s="173" t="e">
        <f t="shared" si="30"/>
        <v>#N/A</v>
      </c>
      <c r="N115" s="147" t="e">
        <f t="shared" si="31"/>
        <v>#N/A</v>
      </c>
      <c r="O115" s="157"/>
      <c r="P115" s="157" t="e">
        <f t="shared" si="32"/>
        <v>#N/A</v>
      </c>
      <c r="Q115" s="174" t="str">
        <f t="shared" si="33"/>
        <v>Hoodie L Acid Wash Gris</v>
      </c>
      <c r="R115" s="180" t="e">
        <f ca="1"/>
        <v>#NAME?</v>
      </c>
      <c r="S115" s="181"/>
      <c r="T115" s="176">
        <f t="shared" ca="1" si="34"/>
        <v>0</v>
      </c>
      <c r="V115" s="51" t="e">
        <f t="shared" si="35"/>
        <v>#N/A</v>
      </c>
      <c r="Y115" s="147" t="e">
        <f t="shared" si="36"/>
        <v>#N/A</v>
      </c>
      <c r="Z115" s="177" t="e">
        <f t="shared" si="37"/>
        <v>#N/A</v>
      </c>
      <c r="AA115" s="178"/>
      <c r="AB115" s="178" t="e">
        <f t="shared" si="38"/>
        <v>#N/A</v>
      </c>
      <c r="AC115" s="179" t="e">
        <f t="shared" si="39"/>
        <v>#N/A</v>
      </c>
      <c r="AD115" s="147" t="e">
        <f t="shared" si="40"/>
        <v>#N/A</v>
      </c>
      <c r="AE115" s="157" t="e">
        <f t="shared" si="41"/>
        <v>#N/A</v>
      </c>
      <c r="AF115" s="179" t="e">
        <f t="shared" si="42"/>
        <v>#N/A</v>
      </c>
      <c r="AG115" s="147" t="e">
        <f t="shared" si="43"/>
        <v>#N/A</v>
      </c>
      <c r="AH115" s="157" t="e">
        <f t="shared" si="44"/>
        <v>#N/A</v>
      </c>
      <c r="AI115" s="179" t="e">
        <f t="shared" si="48"/>
        <v>#N/A</v>
      </c>
      <c r="AJ115" s="147" t="e">
        <f t="shared" si="46"/>
        <v>#N/A</v>
      </c>
      <c r="AK115" s="157" t="e">
        <f t="shared" si="47"/>
        <v>#N/A</v>
      </c>
    </row>
    <row r="116" spans="1:37" ht="14.25" hidden="1" customHeight="1" x14ac:dyDescent="0.3">
      <c r="A116" s="168" t="s">
        <v>288</v>
      </c>
      <c r="B116" s="168" t="s">
        <v>200</v>
      </c>
      <c r="C116" s="168" t="s">
        <v>201</v>
      </c>
      <c r="D116" s="168" t="s">
        <v>917</v>
      </c>
      <c r="E116" s="169">
        <v>1</v>
      </c>
      <c r="F116" s="170" t="e">
        <f>IF(A116="","",VLOOKUP(A116,Cotizador!$A$5:$J$43,2,FALSE))</f>
        <v>#N/A</v>
      </c>
      <c r="G116" s="171" t="e">
        <f>IF(A116="","",VLOOKUP(A116,Cotizador!$A$5:$J$43,3,FALSE))</f>
        <v>#N/A</v>
      </c>
      <c r="H116" s="147">
        <f>IF(OR(A116="",D116=""),"",IF(D116="Sin estampar",0,IF(D116="Pecho",VLOOKUP(A116,Cotizador!$A$5:$J$43,4,FALSE),IF(D116="Espalda",VLOOKUP(A116,Cotizador!$A$5:$J$43,5,FALSE),VLOOKUP(A116,Cotizador!$A$5:$J$43,4,FALSE)+VLOOKUP(A116,Cotizador!$A$5:$J$43,5,FALSE)))))</f>
        <v>0</v>
      </c>
      <c r="I116" s="147" t="e">
        <f>IF(A116="","",VLOOKUP(A116,Cotizador!$A$5:$J$43,6,FALSE))</f>
        <v>#N/A</v>
      </c>
      <c r="J116" s="147" t="e">
        <f>IF(A116="","",VLOOKUP(A116,Cotizador!$A$5:$J$43,7,FALSE))</f>
        <v>#N/A</v>
      </c>
      <c r="K116" s="172" t="e">
        <f t="shared" si="29"/>
        <v>#N/A</v>
      </c>
      <c r="L116" s="147" t="e">
        <f>IF(A116="","",IF(D116="Sin estampar",VLOOKUP(A116,Cotizador!$A$5:$J$43,8,FALSE),IF(D116="Pecho",VLOOKUP(A116,Cotizador!$A$5:$J$43,10,FALSE),VLOOKUP(A116,Cotizador!$A$5:$J$43,9,FALSE))))</f>
        <v>#N/A</v>
      </c>
      <c r="M116" s="173" t="e">
        <f t="shared" si="30"/>
        <v>#N/A</v>
      </c>
      <c r="N116" s="147" t="e">
        <f t="shared" si="31"/>
        <v>#N/A</v>
      </c>
      <c r="O116" s="157"/>
      <c r="P116" s="157" t="e">
        <f t="shared" si="32"/>
        <v>#N/A</v>
      </c>
      <c r="Q116" s="174" t="str">
        <f t="shared" si="33"/>
        <v>Chompa Capucha S Negro</v>
      </c>
      <c r="R116" s="180" t="e">
        <f ca="1"/>
        <v>#NAME?</v>
      </c>
      <c r="S116" s="181"/>
      <c r="T116" s="176">
        <f t="shared" ca="1" si="34"/>
        <v>0</v>
      </c>
      <c r="V116" s="51" t="e">
        <f t="shared" si="35"/>
        <v>#N/A</v>
      </c>
      <c r="Y116" s="147" t="e">
        <f t="shared" si="36"/>
        <v>#N/A</v>
      </c>
      <c r="Z116" s="177" t="e">
        <f t="shared" si="37"/>
        <v>#N/A</v>
      </c>
      <c r="AA116" s="178"/>
      <c r="AB116" s="178" t="e">
        <f t="shared" si="38"/>
        <v>#N/A</v>
      </c>
      <c r="AC116" s="179" t="e">
        <f t="shared" si="39"/>
        <v>#N/A</v>
      </c>
      <c r="AD116" s="147" t="e">
        <f t="shared" si="40"/>
        <v>#N/A</v>
      </c>
      <c r="AE116" s="157" t="e">
        <f t="shared" si="41"/>
        <v>#N/A</v>
      </c>
      <c r="AF116" s="179" t="e">
        <f t="shared" si="42"/>
        <v>#N/A</v>
      </c>
      <c r="AG116" s="147" t="e">
        <f t="shared" si="43"/>
        <v>#N/A</v>
      </c>
      <c r="AH116" s="157" t="e">
        <f t="shared" si="44"/>
        <v>#N/A</v>
      </c>
      <c r="AI116" s="179" t="e">
        <f t="shared" ref="AI116:AI166" si="49">ROUNDUP(L116*0.75,-3)</f>
        <v>#N/A</v>
      </c>
      <c r="AJ116" s="147" t="e">
        <f t="shared" si="46"/>
        <v>#N/A</v>
      </c>
      <c r="AK116" s="157" t="e">
        <f t="shared" si="47"/>
        <v>#N/A</v>
      </c>
    </row>
    <row r="117" spans="1:37" ht="14.25" hidden="1" customHeight="1" x14ac:dyDescent="0.3">
      <c r="A117" s="168" t="s">
        <v>288</v>
      </c>
      <c r="B117" s="168" t="s">
        <v>204</v>
      </c>
      <c r="C117" s="168" t="s">
        <v>201</v>
      </c>
      <c r="D117" s="168" t="s">
        <v>917</v>
      </c>
      <c r="E117" s="169">
        <v>6</v>
      </c>
      <c r="F117" s="170" t="e">
        <f>IF(A117="","",VLOOKUP(A117,Cotizador!$A$5:$J$43,2,FALSE))</f>
        <v>#N/A</v>
      </c>
      <c r="G117" s="171" t="e">
        <f>IF(A117="","",VLOOKUP(A117,Cotizador!$A$5:$J$43,3,FALSE))</f>
        <v>#N/A</v>
      </c>
      <c r="H117" s="147">
        <f>IF(OR(A117="",D117=""),"",IF(D117="Sin estampar",0,IF(D117="Pecho",VLOOKUP(A117,Cotizador!$A$5:$J$43,4,FALSE),IF(D117="Espalda",VLOOKUP(A117,Cotizador!$A$5:$J$43,5,FALSE),VLOOKUP(A117,Cotizador!$A$5:$J$43,4,FALSE)+VLOOKUP(A117,Cotizador!$A$5:$J$43,5,FALSE)))))</f>
        <v>0</v>
      </c>
      <c r="I117" s="147" t="e">
        <f>IF(A117="","",VLOOKUP(A117,Cotizador!$A$5:$J$43,6,FALSE))</f>
        <v>#N/A</v>
      </c>
      <c r="J117" s="147" t="e">
        <f>IF(A117="","",VLOOKUP(A117,Cotizador!$A$5:$J$43,7,FALSE))</f>
        <v>#N/A</v>
      </c>
      <c r="K117" s="172" t="e">
        <f t="shared" si="29"/>
        <v>#N/A</v>
      </c>
      <c r="L117" s="147" t="e">
        <f>IF(A117="","",IF(D117="Sin estampar",VLOOKUP(A117,Cotizador!$A$5:$J$43,8,FALSE),IF(D117="Pecho",VLOOKUP(A117,Cotizador!$A$5:$J$43,10,FALSE),VLOOKUP(A117,Cotizador!$A$5:$J$43,9,FALSE))))</f>
        <v>#N/A</v>
      </c>
      <c r="M117" s="173" t="e">
        <f t="shared" si="30"/>
        <v>#N/A</v>
      </c>
      <c r="N117" s="147" t="e">
        <f t="shared" si="31"/>
        <v>#N/A</v>
      </c>
      <c r="O117" s="157"/>
      <c r="P117" s="157" t="e">
        <f t="shared" si="32"/>
        <v>#N/A</v>
      </c>
      <c r="Q117" s="174" t="str">
        <f t="shared" si="33"/>
        <v>Chompa Capucha M Negro</v>
      </c>
      <c r="R117" s="180" t="e">
        <f ca="1"/>
        <v>#NAME?</v>
      </c>
      <c r="S117" s="181"/>
      <c r="T117" s="176">
        <f t="shared" ca="1" si="34"/>
        <v>0</v>
      </c>
      <c r="V117" s="51" t="e">
        <f t="shared" si="35"/>
        <v>#N/A</v>
      </c>
      <c r="Y117" s="147" t="e">
        <f t="shared" si="36"/>
        <v>#N/A</v>
      </c>
      <c r="Z117" s="177" t="e">
        <f t="shared" si="37"/>
        <v>#N/A</v>
      </c>
      <c r="AA117" s="178"/>
      <c r="AB117" s="178" t="e">
        <f t="shared" si="38"/>
        <v>#N/A</v>
      </c>
      <c r="AC117" s="179" t="e">
        <f t="shared" si="39"/>
        <v>#N/A</v>
      </c>
      <c r="AD117" s="147" t="e">
        <f t="shared" si="40"/>
        <v>#N/A</v>
      </c>
      <c r="AE117" s="157" t="e">
        <f t="shared" si="41"/>
        <v>#N/A</v>
      </c>
      <c r="AF117" s="179" t="e">
        <f t="shared" si="42"/>
        <v>#N/A</v>
      </c>
      <c r="AG117" s="147" t="e">
        <f t="shared" si="43"/>
        <v>#N/A</v>
      </c>
      <c r="AH117" s="157" t="e">
        <f t="shared" si="44"/>
        <v>#N/A</v>
      </c>
      <c r="AI117" s="179" t="e">
        <f t="shared" si="49"/>
        <v>#N/A</v>
      </c>
      <c r="AJ117" s="147" t="e">
        <f t="shared" si="46"/>
        <v>#N/A</v>
      </c>
      <c r="AK117" s="157" t="e">
        <f t="shared" si="47"/>
        <v>#N/A</v>
      </c>
    </row>
    <row r="118" spans="1:37" ht="14.25" hidden="1" customHeight="1" x14ac:dyDescent="0.3">
      <c r="A118" s="168" t="s">
        <v>288</v>
      </c>
      <c r="B118" s="168" t="s">
        <v>207</v>
      </c>
      <c r="C118" s="168" t="s">
        <v>201</v>
      </c>
      <c r="D118" s="168" t="s">
        <v>917</v>
      </c>
      <c r="E118" s="169">
        <v>6</v>
      </c>
      <c r="F118" s="170" t="e">
        <f>IF(A118="","",VLOOKUP(A118,Cotizador!$A$5:$J$43,2,FALSE))</f>
        <v>#N/A</v>
      </c>
      <c r="G118" s="171" t="e">
        <f>IF(A118="","",VLOOKUP(A118,Cotizador!$A$5:$J$43,3,FALSE))</f>
        <v>#N/A</v>
      </c>
      <c r="H118" s="147">
        <f>IF(OR(A118="",D118=""),"",IF(D118="Sin estampar",0,IF(D118="Pecho",VLOOKUP(A118,Cotizador!$A$5:$J$43,4,FALSE),IF(D118="Espalda",VLOOKUP(A118,Cotizador!$A$5:$J$43,5,FALSE),VLOOKUP(A118,Cotizador!$A$5:$J$43,4,FALSE)+VLOOKUP(A118,Cotizador!$A$5:$J$43,5,FALSE)))))</f>
        <v>0</v>
      </c>
      <c r="I118" s="147" t="e">
        <f>IF(A118="","",VLOOKUP(A118,Cotizador!$A$5:$J$43,6,FALSE))</f>
        <v>#N/A</v>
      </c>
      <c r="J118" s="147" t="e">
        <f>IF(A118="","",VLOOKUP(A118,Cotizador!$A$5:$J$43,7,FALSE))</f>
        <v>#N/A</v>
      </c>
      <c r="K118" s="172" t="e">
        <f t="shared" si="29"/>
        <v>#N/A</v>
      </c>
      <c r="L118" s="147" t="e">
        <f>IF(A118="","",IF(D118="Sin estampar",VLOOKUP(A118,Cotizador!$A$5:$J$43,8,FALSE),IF(D118="Pecho",VLOOKUP(A118,Cotizador!$A$5:$J$43,10,FALSE),VLOOKUP(A118,Cotizador!$A$5:$J$43,9,FALSE))))</f>
        <v>#N/A</v>
      </c>
      <c r="M118" s="173" t="e">
        <f t="shared" si="30"/>
        <v>#N/A</v>
      </c>
      <c r="N118" s="147" t="e">
        <f t="shared" si="31"/>
        <v>#N/A</v>
      </c>
      <c r="O118" s="157"/>
      <c r="P118" s="157" t="e">
        <f t="shared" si="32"/>
        <v>#N/A</v>
      </c>
      <c r="Q118" s="174" t="str">
        <f t="shared" si="33"/>
        <v>Chompa Capucha L Negro</v>
      </c>
      <c r="R118" s="180" t="e">
        <f ca="1"/>
        <v>#NAME?</v>
      </c>
      <c r="S118" s="181"/>
      <c r="T118" s="176">
        <f t="shared" ca="1" si="34"/>
        <v>0</v>
      </c>
      <c r="V118" s="51" t="e">
        <f t="shared" si="35"/>
        <v>#N/A</v>
      </c>
      <c r="Y118" s="147" t="e">
        <f t="shared" si="36"/>
        <v>#N/A</v>
      </c>
      <c r="Z118" s="177" t="e">
        <f t="shared" si="37"/>
        <v>#N/A</v>
      </c>
      <c r="AA118" s="178"/>
      <c r="AB118" s="178" t="e">
        <f t="shared" si="38"/>
        <v>#N/A</v>
      </c>
      <c r="AC118" s="179" t="e">
        <f t="shared" si="39"/>
        <v>#N/A</v>
      </c>
      <c r="AD118" s="147" t="e">
        <f t="shared" si="40"/>
        <v>#N/A</v>
      </c>
      <c r="AE118" s="157" t="e">
        <f t="shared" si="41"/>
        <v>#N/A</v>
      </c>
      <c r="AF118" s="179" t="e">
        <f t="shared" si="42"/>
        <v>#N/A</v>
      </c>
      <c r="AG118" s="147" t="e">
        <f t="shared" si="43"/>
        <v>#N/A</v>
      </c>
      <c r="AH118" s="157" t="e">
        <f t="shared" si="44"/>
        <v>#N/A</v>
      </c>
      <c r="AI118" s="179" t="e">
        <f t="shared" si="49"/>
        <v>#N/A</v>
      </c>
      <c r="AJ118" s="147" t="e">
        <f t="shared" si="46"/>
        <v>#N/A</v>
      </c>
      <c r="AK118" s="157" t="e">
        <f t="shared" si="47"/>
        <v>#N/A</v>
      </c>
    </row>
    <row r="119" spans="1:37" ht="14.25" hidden="1" customHeight="1" x14ac:dyDescent="0.3">
      <c r="A119" s="168" t="s">
        <v>288</v>
      </c>
      <c r="B119" s="168" t="s">
        <v>200</v>
      </c>
      <c r="C119" s="168" t="s">
        <v>919</v>
      </c>
      <c r="D119" s="168" t="s">
        <v>917</v>
      </c>
      <c r="E119" s="169">
        <v>1</v>
      </c>
      <c r="F119" s="170" t="e">
        <f>IF(A119="","",VLOOKUP(A119,Cotizador!$A$5:$J$43,2,FALSE))</f>
        <v>#N/A</v>
      </c>
      <c r="G119" s="171" t="e">
        <f>IF(A119="","",VLOOKUP(A119,Cotizador!$A$5:$J$43,3,FALSE))</f>
        <v>#N/A</v>
      </c>
      <c r="H119" s="147">
        <f>IF(OR(A119="",D119=""),"",IF(D119="Sin estampar",0,IF(D119="Pecho",VLOOKUP(A119,Cotizador!$A$5:$J$43,4,FALSE),IF(D119="Espalda",VLOOKUP(A119,Cotizador!$A$5:$J$43,5,FALSE),VLOOKUP(A119,Cotizador!$A$5:$J$43,4,FALSE)+VLOOKUP(A119,Cotizador!$A$5:$J$43,5,FALSE)))))</f>
        <v>0</v>
      </c>
      <c r="I119" s="147" t="e">
        <f>IF(A119="","",VLOOKUP(A119,Cotizador!$A$5:$J$43,6,FALSE))</f>
        <v>#N/A</v>
      </c>
      <c r="J119" s="147" t="e">
        <f>IF(A119="","",VLOOKUP(A119,Cotizador!$A$5:$J$43,7,FALSE))</f>
        <v>#N/A</v>
      </c>
      <c r="K119" s="172" t="e">
        <f t="shared" si="29"/>
        <v>#N/A</v>
      </c>
      <c r="L119" s="147" t="e">
        <f>IF(A119="","",IF(D119="Sin estampar",VLOOKUP(A119,Cotizador!$A$5:$J$43,8,FALSE),IF(D119="Pecho",VLOOKUP(A119,Cotizador!$A$5:$J$43,10,FALSE),VLOOKUP(A119,Cotizador!$A$5:$J$43,9,FALSE))))</f>
        <v>#N/A</v>
      </c>
      <c r="M119" s="173" t="e">
        <f t="shared" si="30"/>
        <v>#N/A</v>
      </c>
      <c r="N119" s="147" t="e">
        <f t="shared" si="31"/>
        <v>#N/A</v>
      </c>
      <c r="O119" s="157"/>
      <c r="P119" s="157" t="e">
        <f t="shared" si="32"/>
        <v>#N/A</v>
      </c>
      <c r="Q119" s="174" t="str">
        <f t="shared" si="33"/>
        <v>Chompa Capucha S Perla</v>
      </c>
      <c r="R119" s="180" t="e">
        <f ca="1"/>
        <v>#NAME?</v>
      </c>
      <c r="S119" s="181"/>
      <c r="T119" s="176">
        <f t="shared" ca="1" si="34"/>
        <v>0</v>
      </c>
      <c r="V119" s="51" t="e">
        <f t="shared" si="35"/>
        <v>#N/A</v>
      </c>
      <c r="Y119" s="147" t="e">
        <f t="shared" si="36"/>
        <v>#N/A</v>
      </c>
      <c r="Z119" s="177" t="e">
        <f t="shared" si="37"/>
        <v>#N/A</v>
      </c>
      <c r="AA119" s="178"/>
      <c r="AB119" s="178" t="e">
        <f t="shared" si="38"/>
        <v>#N/A</v>
      </c>
      <c r="AC119" s="179" t="e">
        <f t="shared" si="39"/>
        <v>#N/A</v>
      </c>
      <c r="AD119" s="147" t="e">
        <f t="shared" si="40"/>
        <v>#N/A</v>
      </c>
      <c r="AE119" s="157" t="e">
        <f t="shared" si="41"/>
        <v>#N/A</v>
      </c>
      <c r="AF119" s="179" t="e">
        <f t="shared" si="42"/>
        <v>#N/A</v>
      </c>
      <c r="AG119" s="147" t="e">
        <f t="shared" si="43"/>
        <v>#N/A</v>
      </c>
      <c r="AH119" s="157" t="e">
        <f t="shared" si="44"/>
        <v>#N/A</v>
      </c>
      <c r="AI119" s="179" t="e">
        <f t="shared" si="49"/>
        <v>#N/A</v>
      </c>
      <c r="AJ119" s="147" t="e">
        <f t="shared" si="46"/>
        <v>#N/A</v>
      </c>
      <c r="AK119" s="157" t="e">
        <f t="shared" si="47"/>
        <v>#N/A</v>
      </c>
    </row>
    <row r="120" spans="1:37" ht="14.25" hidden="1" customHeight="1" x14ac:dyDescent="0.3">
      <c r="A120" s="168" t="s">
        <v>288</v>
      </c>
      <c r="B120" s="168" t="s">
        <v>204</v>
      </c>
      <c r="C120" s="168" t="s">
        <v>919</v>
      </c>
      <c r="D120" s="168" t="s">
        <v>917</v>
      </c>
      <c r="E120" s="169">
        <v>2</v>
      </c>
      <c r="F120" s="170" t="e">
        <f>IF(A120="","",VLOOKUP(A120,Cotizador!$A$5:$J$43,2,FALSE))</f>
        <v>#N/A</v>
      </c>
      <c r="G120" s="171" t="e">
        <f>IF(A120="","",VLOOKUP(A120,Cotizador!$A$5:$J$43,3,FALSE))</f>
        <v>#N/A</v>
      </c>
      <c r="H120" s="147">
        <f>IF(OR(A120="",D120=""),"",IF(D120="Sin estampar",0,IF(D120="Pecho",VLOOKUP(A120,Cotizador!$A$5:$J$43,4,FALSE),IF(D120="Espalda",VLOOKUP(A120,Cotizador!$A$5:$J$43,5,FALSE),VLOOKUP(A120,Cotizador!$A$5:$J$43,4,FALSE)+VLOOKUP(A120,Cotizador!$A$5:$J$43,5,FALSE)))))</f>
        <v>0</v>
      </c>
      <c r="I120" s="147" t="e">
        <f>IF(A120="","",VLOOKUP(A120,Cotizador!$A$5:$J$43,6,FALSE))</f>
        <v>#N/A</v>
      </c>
      <c r="J120" s="147" t="e">
        <f>IF(A120="","",VLOOKUP(A120,Cotizador!$A$5:$J$43,7,FALSE))</f>
        <v>#N/A</v>
      </c>
      <c r="K120" s="172" t="e">
        <f t="shared" si="29"/>
        <v>#N/A</v>
      </c>
      <c r="L120" s="147" t="e">
        <f>IF(A120="","",IF(D120="Sin estampar",VLOOKUP(A120,Cotizador!$A$5:$J$43,8,FALSE),IF(D120="Pecho",VLOOKUP(A120,Cotizador!$A$5:$J$43,10,FALSE),VLOOKUP(A120,Cotizador!$A$5:$J$43,9,FALSE))))</f>
        <v>#N/A</v>
      </c>
      <c r="M120" s="173" t="e">
        <f t="shared" si="30"/>
        <v>#N/A</v>
      </c>
      <c r="N120" s="147" t="e">
        <f t="shared" si="31"/>
        <v>#N/A</v>
      </c>
      <c r="O120" s="157"/>
      <c r="P120" s="157" t="e">
        <f t="shared" si="32"/>
        <v>#N/A</v>
      </c>
      <c r="Q120" s="174" t="str">
        <f t="shared" si="33"/>
        <v>Chompa Capucha M Perla</v>
      </c>
      <c r="R120" s="180" t="e">
        <f ca="1"/>
        <v>#NAME?</v>
      </c>
      <c r="S120" s="181"/>
      <c r="T120" s="176">
        <f t="shared" ca="1" si="34"/>
        <v>0</v>
      </c>
      <c r="V120" s="51" t="e">
        <f t="shared" si="35"/>
        <v>#N/A</v>
      </c>
      <c r="Y120" s="147" t="e">
        <f t="shared" si="36"/>
        <v>#N/A</v>
      </c>
      <c r="Z120" s="177" t="e">
        <f t="shared" si="37"/>
        <v>#N/A</v>
      </c>
      <c r="AA120" s="178"/>
      <c r="AB120" s="178" t="e">
        <f t="shared" si="38"/>
        <v>#N/A</v>
      </c>
      <c r="AC120" s="179" t="e">
        <f t="shared" si="39"/>
        <v>#N/A</v>
      </c>
      <c r="AD120" s="147" t="e">
        <f t="shared" si="40"/>
        <v>#N/A</v>
      </c>
      <c r="AE120" s="157" t="e">
        <f t="shared" si="41"/>
        <v>#N/A</v>
      </c>
      <c r="AF120" s="179" t="e">
        <f t="shared" si="42"/>
        <v>#N/A</v>
      </c>
      <c r="AG120" s="147" t="e">
        <f t="shared" si="43"/>
        <v>#N/A</v>
      </c>
      <c r="AH120" s="157" t="e">
        <f t="shared" si="44"/>
        <v>#N/A</v>
      </c>
      <c r="AI120" s="179" t="e">
        <f t="shared" si="49"/>
        <v>#N/A</v>
      </c>
      <c r="AJ120" s="147" t="e">
        <f t="shared" si="46"/>
        <v>#N/A</v>
      </c>
      <c r="AK120" s="157" t="e">
        <f t="shared" si="47"/>
        <v>#N/A</v>
      </c>
    </row>
    <row r="121" spans="1:37" ht="14.25" hidden="1" customHeight="1" x14ac:dyDescent="0.3">
      <c r="A121" s="168" t="s">
        <v>288</v>
      </c>
      <c r="B121" s="168" t="s">
        <v>207</v>
      </c>
      <c r="C121" s="168" t="s">
        <v>919</v>
      </c>
      <c r="D121" s="168" t="s">
        <v>917</v>
      </c>
      <c r="E121" s="169">
        <v>2</v>
      </c>
      <c r="F121" s="170" t="e">
        <f>IF(A121="","",VLOOKUP(A121,Cotizador!$A$5:$J$43,2,FALSE))</f>
        <v>#N/A</v>
      </c>
      <c r="G121" s="171" t="e">
        <f>IF(A121="","",VLOOKUP(A121,Cotizador!$A$5:$J$43,3,FALSE))</f>
        <v>#N/A</v>
      </c>
      <c r="H121" s="147">
        <f>IF(OR(A121="",D121=""),"",IF(D121="Sin estampar",0,IF(D121="Pecho",VLOOKUP(A121,Cotizador!$A$5:$J$43,4,FALSE),IF(D121="Espalda",VLOOKUP(A121,Cotizador!$A$5:$J$43,5,FALSE),VLOOKUP(A121,Cotizador!$A$5:$J$43,4,FALSE)+VLOOKUP(A121,Cotizador!$A$5:$J$43,5,FALSE)))))</f>
        <v>0</v>
      </c>
      <c r="I121" s="147" t="e">
        <f>IF(A121="","",VLOOKUP(A121,Cotizador!$A$5:$J$43,6,FALSE))</f>
        <v>#N/A</v>
      </c>
      <c r="J121" s="147" t="e">
        <f>IF(A121="","",VLOOKUP(A121,Cotizador!$A$5:$J$43,7,FALSE))</f>
        <v>#N/A</v>
      </c>
      <c r="K121" s="172" t="e">
        <f t="shared" si="29"/>
        <v>#N/A</v>
      </c>
      <c r="L121" s="147" t="e">
        <f>IF(A121="","",IF(D121="Sin estampar",VLOOKUP(A121,Cotizador!$A$5:$J$43,8,FALSE),IF(D121="Pecho",VLOOKUP(A121,Cotizador!$A$5:$J$43,10,FALSE),VLOOKUP(A121,Cotizador!$A$5:$J$43,9,FALSE))))</f>
        <v>#N/A</v>
      </c>
      <c r="M121" s="173" t="e">
        <f t="shared" si="30"/>
        <v>#N/A</v>
      </c>
      <c r="N121" s="147" t="e">
        <f t="shared" si="31"/>
        <v>#N/A</v>
      </c>
      <c r="O121" s="157"/>
      <c r="P121" s="157" t="e">
        <f t="shared" si="32"/>
        <v>#N/A</v>
      </c>
      <c r="Q121" s="174" t="str">
        <f t="shared" si="33"/>
        <v>Chompa Capucha L Perla</v>
      </c>
      <c r="R121" s="180" t="e">
        <f ca="1"/>
        <v>#NAME?</v>
      </c>
      <c r="S121" s="181"/>
      <c r="T121" s="176">
        <f t="shared" ca="1" si="34"/>
        <v>0</v>
      </c>
      <c r="V121" s="51" t="e">
        <f t="shared" si="35"/>
        <v>#N/A</v>
      </c>
      <c r="Y121" s="147" t="e">
        <f t="shared" si="36"/>
        <v>#N/A</v>
      </c>
      <c r="Z121" s="177" t="e">
        <f t="shared" si="37"/>
        <v>#N/A</v>
      </c>
      <c r="AA121" s="178"/>
      <c r="AB121" s="178" t="e">
        <f t="shared" si="38"/>
        <v>#N/A</v>
      </c>
      <c r="AC121" s="179" t="e">
        <f t="shared" si="39"/>
        <v>#N/A</v>
      </c>
      <c r="AD121" s="147" t="e">
        <f t="shared" si="40"/>
        <v>#N/A</v>
      </c>
      <c r="AE121" s="157" t="e">
        <f t="shared" si="41"/>
        <v>#N/A</v>
      </c>
      <c r="AF121" s="179" t="e">
        <f t="shared" si="42"/>
        <v>#N/A</v>
      </c>
      <c r="AG121" s="147" t="e">
        <f t="shared" si="43"/>
        <v>#N/A</v>
      </c>
      <c r="AH121" s="157" t="e">
        <f t="shared" si="44"/>
        <v>#N/A</v>
      </c>
      <c r="AI121" s="179" t="e">
        <f t="shared" si="49"/>
        <v>#N/A</v>
      </c>
      <c r="AJ121" s="147" t="e">
        <f t="shared" si="46"/>
        <v>#N/A</v>
      </c>
      <c r="AK121" s="157" t="e">
        <f t="shared" si="47"/>
        <v>#N/A</v>
      </c>
    </row>
    <row r="122" spans="1:37" ht="14.25" hidden="1" customHeight="1" x14ac:dyDescent="0.3">
      <c r="A122" s="168" t="s">
        <v>288</v>
      </c>
      <c r="B122" s="168" t="s">
        <v>200</v>
      </c>
      <c r="C122" s="168" t="s">
        <v>923</v>
      </c>
      <c r="D122" s="168" t="s">
        <v>917</v>
      </c>
      <c r="E122" s="169">
        <v>1</v>
      </c>
      <c r="F122" s="170" t="e">
        <f>IF(A122="","",VLOOKUP(A122,Cotizador!$A$5:$J$43,2,FALSE))</f>
        <v>#N/A</v>
      </c>
      <c r="G122" s="171" t="e">
        <f>IF(A122="","",VLOOKUP(A122,Cotizador!$A$5:$J$43,3,FALSE))</f>
        <v>#N/A</v>
      </c>
      <c r="H122" s="147">
        <f>IF(OR(A122="",D122=""),"",IF(D122="Sin estampar",0,IF(D122="Pecho",VLOOKUP(A122,Cotizador!$A$5:$J$43,4,FALSE),IF(D122="Espalda",VLOOKUP(A122,Cotizador!$A$5:$J$43,5,FALSE),VLOOKUP(A122,Cotizador!$A$5:$J$43,4,FALSE)+VLOOKUP(A122,Cotizador!$A$5:$J$43,5,FALSE)))))</f>
        <v>0</v>
      </c>
      <c r="I122" s="147" t="e">
        <f>IF(A122="","",VLOOKUP(A122,Cotizador!$A$5:$J$43,6,FALSE))</f>
        <v>#N/A</v>
      </c>
      <c r="J122" s="147" t="e">
        <f>IF(A122="","",VLOOKUP(A122,Cotizador!$A$5:$J$43,7,FALSE))</f>
        <v>#N/A</v>
      </c>
      <c r="K122" s="172" t="e">
        <f t="shared" si="29"/>
        <v>#N/A</v>
      </c>
      <c r="L122" s="147" t="e">
        <f>IF(A122="","",IF(D122="Sin estampar",VLOOKUP(A122,Cotizador!$A$5:$J$43,8,FALSE),IF(D122="Pecho",VLOOKUP(A122,Cotizador!$A$5:$J$43,10,FALSE),VLOOKUP(A122,Cotizador!$A$5:$J$43,9,FALSE))))</f>
        <v>#N/A</v>
      </c>
      <c r="M122" s="173" t="e">
        <f t="shared" si="30"/>
        <v>#N/A</v>
      </c>
      <c r="N122" s="147" t="e">
        <f t="shared" si="31"/>
        <v>#N/A</v>
      </c>
      <c r="O122" s="157"/>
      <c r="P122" s="157" t="e">
        <f t="shared" si="32"/>
        <v>#N/A</v>
      </c>
      <c r="Q122" s="174" t="str">
        <f t="shared" si="33"/>
        <v>Chompa Capucha S Verde Botella</v>
      </c>
      <c r="R122" s="180" t="e">
        <f ca="1"/>
        <v>#NAME?</v>
      </c>
      <c r="S122" s="181"/>
      <c r="T122" s="176">
        <f t="shared" ca="1" si="34"/>
        <v>0</v>
      </c>
      <c r="V122" s="51" t="e">
        <f t="shared" si="35"/>
        <v>#N/A</v>
      </c>
      <c r="Y122" s="147" t="e">
        <f t="shared" si="36"/>
        <v>#N/A</v>
      </c>
      <c r="Z122" s="177" t="e">
        <f t="shared" si="37"/>
        <v>#N/A</v>
      </c>
      <c r="AA122" s="178"/>
      <c r="AB122" s="178" t="e">
        <f t="shared" si="38"/>
        <v>#N/A</v>
      </c>
      <c r="AC122" s="179" t="e">
        <f t="shared" si="39"/>
        <v>#N/A</v>
      </c>
      <c r="AD122" s="147" t="e">
        <f t="shared" si="40"/>
        <v>#N/A</v>
      </c>
      <c r="AE122" s="157" t="e">
        <f t="shared" si="41"/>
        <v>#N/A</v>
      </c>
      <c r="AF122" s="179" t="e">
        <f t="shared" si="42"/>
        <v>#N/A</v>
      </c>
      <c r="AG122" s="147" t="e">
        <f t="shared" si="43"/>
        <v>#N/A</v>
      </c>
      <c r="AH122" s="157" t="e">
        <f t="shared" si="44"/>
        <v>#N/A</v>
      </c>
      <c r="AI122" s="179" t="e">
        <f t="shared" si="49"/>
        <v>#N/A</v>
      </c>
      <c r="AJ122" s="147" t="e">
        <f t="shared" si="46"/>
        <v>#N/A</v>
      </c>
      <c r="AK122" s="157" t="e">
        <f t="shared" si="47"/>
        <v>#N/A</v>
      </c>
    </row>
    <row r="123" spans="1:37" ht="14.25" hidden="1" customHeight="1" x14ac:dyDescent="0.3">
      <c r="A123" s="168" t="s">
        <v>288</v>
      </c>
      <c r="B123" s="168" t="s">
        <v>204</v>
      </c>
      <c r="C123" s="168" t="s">
        <v>923</v>
      </c>
      <c r="D123" s="168" t="s">
        <v>917</v>
      </c>
      <c r="E123" s="169">
        <v>2</v>
      </c>
      <c r="F123" s="170" t="e">
        <f>IF(A123="","",VLOOKUP(A123,Cotizador!$A$5:$J$43,2,FALSE))</f>
        <v>#N/A</v>
      </c>
      <c r="G123" s="171" t="e">
        <f>IF(A123="","",VLOOKUP(A123,Cotizador!$A$5:$J$43,3,FALSE))</f>
        <v>#N/A</v>
      </c>
      <c r="H123" s="147">
        <f>IF(OR(A123="",D123=""),"",IF(D123="Sin estampar",0,IF(D123="Pecho",VLOOKUP(A123,Cotizador!$A$5:$J$43,4,FALSE),IF(D123="Espalda",VLOOKUP(A123,Cotizador!$A$5:$J$43,5,FALSE),VLOOKUP(A123,Cotizador!$A$5:$J$43,4,FALSE)+VLOOKUP(A123,Cotizador!$A$5:$J$43,5,FALSE)))))</f>
        <v>0</v>
      </c>
      <c r="I123" s="147" t="e">
        <f>IF(A123="","",VLOOKUP(A123,Cotizador!$A$5:$J$43,6,FALSE))</f>
        <v>#N/A</v>
      </c>
      <c r="J123" s="147" t="e">
        <f>IF(A123="","",VLOOKUP(A123,Cotizador!$A$5:$J$43,7,FALSE))</f>
        <v>#N/A</v>
      </c>
      <c r="K123" s="172" t="e">
        <f t="shared" si="29"/>
        <v>#N/A</v>
      </c>
      <c r="L123" s="147" t="e">
        <f>IF(A123="","",IF(D123="Sin estampar",VLOOKUP(A123,Cotizador!$A$5:$J$43,8,FALSE),IF(D123="Pecho",VLOOKUP(A123,Cotizador!$A$5:$J$43,10,FALSE),VLOOKUP(A123,Cotizador!$A$5:$J$43,9,FALSE))))</f>
        <v>#N/A</v>
      </c>
      <c r="M123" s="173" t="e">
        <f t="shared" si="30"/>
        <v>#N/A</v>
      </c>
      <c r="N123" s="147" t="e">
        <f t="shared" si="31"/>
        <v>#N/A</v>
      </c>
      <c r="O123" s="157"/>
      <c r="P123" s="157" t="e">
        <f t="shared" si="32"/>
        <v>#N/A</v>
      </c>
      <c r="Q123" s="174" t="str">
        <f t="shared" si="33"/>
        <v>Chompa Capucha M Verde Botella</v>
      </c>
      <c r="R123" s="180" t="e">
        <f ca="1"/>
        <v>#NAME?</v>
      </c>
      <c r="S123" s="181"/>
      <c r="T123" s="176">
        <f t="shared" ca="1" si="34"/>
        <v>0</v>
      </c>
      <c r="V123" s="51" t="e">
        <f t="shared" si="35"/>
        <v>#N/A</v>
      </c>
      <c r="Y123" s="147" t="e">
        <f t="shared" si="36"/>
        <v>#N/A</v>
      </c>
      <c r="Z123" s="177" t="e">
        <f t="shared" si="37"/>
        <v>#N/A</v>
      </c>
      <c r="AA123" s="178"/>
      <c r="AB123" s="178" t="e">
        <f t="shared" si="38"/>
        <v>#N/A</v>
      </c>
      <c r="AC123" s="179" t="e">
        <f t="shared" si="39"/>
        <v>#N/A</v>
      </c>
      <c r="AD123" s="147" t="e">
        <f t="shared" si="40"/>
        <v>#N/A</v>
      </c>
      <c r="AE123" s="157" t="e">
        <f t="shared" si="41"/>
        <v>#N/A</v>
      </c>
      <c r="AF123" s="179" t="e">
        <f t="shared" si="42"/>
        <v>#N/A</v>
      </c>
      <c r="AG123" s="147" t="e">
        <f t="shared" si="43"/>
        <v>#N/A</v>
      </c>
      <c r="AH123" s="157" t="e">
        <f t="shared" si="44"/>
        <v>#N/A</v>
      </c>
      <c r="AI123" s="179" t="e">
        <f t="shared" si="49"/>
        <v>#N/A</v>
      </c>
      <c r="AJ123" s="147" t="e">
        <f t="shared" si="46"/>
        <v>#N/A</v>
      </c>
      <c r="AK123" s="157" t="e">
        <f t="shared" si="47"/>
        <v>#N/A</v>
      </c>
    </row>
    <row r="124" spans="1:37" ht="14.25" hidden="1" customHeight="1" x14ac:dyDescent="0.3">
      <c r="A124" s="168" t="s">
        <v>288</v>
      </c>
      <c r="B124" s="168" t="s">
        <v>207</v>
      </c>
      <c r="C124" s="168" t="s">
        <v>923</v>
      </c>
      <c r="D124" s="168" t="s">
        <v>917</v>
      </c>
      <c r="E124" s="169">
        <v>2</v>
      </c>
      <c r="F124" s="170" t="e">
        <f>IF(A124="","",VLOOKUP(A124,Cotizador!$A$5:$J$43,2,FALSE))</f>
        <v>#N/A</v>
      </c>
      <c r="G124" s="171" t="e">
        <f>IF(A124="","",VLOOKUP(A124,Cotizador!$A$5:$J$43,3,FALSE))</f>
        <v>#N/A</v>
      </c>
      <c r="H124" s="147">
        <f>IF(OR(A124="",D124=""),"",IF(D124="Sin estampar",0,IF(D124="Pecho",VLOOKUP(A124,Cotizador!$A$5:$J$43,4,FALSE),IF(D124="Espalda",VLOOKUP(A124,Cotizador!$A$5:$J$43,5,FALSE),VLOOKUP(A124,Cotizador!$A$5:$J$43,4,FALSE)+VLOOKUP(A124,Cotizador!$A$5:$J$43,5,FALSE)))))</f>
        <v>0</v>
      </c>
      <c r="I124" s="147" t="e">
        <f>IF(A124="","",VLOOKUP(A124,Cotizador!$A$5:$J$43,6,FALSE))</f>
        <v>#N/A</v>
      </c>
      <c r="J124" s="147" t="e">
        <f>IF(A124="","",VLOOKUP(A124,Cotizador!$A$5:$J$43,7,FALSE))</f>
        <v>#N/A</v>
      </c>
      <c r="K124" s="172" t="e">
        <f t="shared" si="29"/>
        <v>#N/A</v>
      </c>
      <c r="L124" s="147" t="e">
        <f>IF(A124="","",IF(D124="Sin estampar",VLOOKUP(A124,Cotizador!$A$5:$J$43,8,FALSE),IF(D124="Pecho",VLOOKUP(A124,Cotizador!$A$5:$J$43,10,FALSE),VLOOKUP(A124,Cotizador!$A$5:$J$43,9,FALSE))))</f>
        <v>#N/A</v>
      </c>
      <c r="M124" s="173" t="e">
        <f t="shared" si="30"/>
        <v>#N/A</v>
      </c>
      <c r="N124" s="147" t="e">
        <f t="shared" si="31"/>
        <v>#N/A</v>
      </c>
      <c r="O124" s="157"/>
      <c r="P124" s="157" t="e">
        <f t="shared" si="32"/>
        <v>#N/A</v>
      </c>
      <c r="Q124" s="174" t="str">
        <f t="shared" si="33"/>
        <v>Chompa Capucha L Verde Botella</v>
      </c>
      <c r="R124" s="180" t="e">
        <f ca="1"/>
        <v>#NAME?</v>
      </c>
      <c r="S124" s="181"/>
      <c r="T124" s="176">
        <f t="shared" ca="1" si="34"/>
        <v>0</v>
      </c>
      <c r="V124" s="51" t="e">
        <f t="shared" si="35"/>
        <v>#N/A</v>
      </c>
      <c r="Y124" s="147" t="e">
        <f t="shared" si="36"/>
        <v>#N/A</v>
      </c>
      <c r="Z124" s="177" t="e">
        <f t="shared" si="37"/>
        <v>#N/A</v>
      </c>
      <c r="AA124" s="178"/>
      <c r="AB124" s="178" t="e">
        <f t="shared" si="38"/>
        <v>#N/A</v>
      </c>
      <c r="AC124" s="179" t="e">
        <f t="shared" si="39"/>
        <v>#N/A</v>
      </c>
      <c r="AD124" s="147" t="e">
        <f t="shared" si="40"/>
        <v>#N/A</v>
      </c>
      <c r="AE124" s="157" t="e">
        <f t="shared" si="41"/>
        <v>#N/A</v>
      </c>
      <c r="AF124" s="179" t="e">
        <f t="shared" si="42"/>
        <v>#N/A</v>
      </c>
      <c r="AG124" s="147" t="e">
        <f t="shared" si="43"/>
        <v>#N/A</v>
      </c>
      <c r="AH124" s="157" t="e">
        <f t="shared" si="44"/>
        <v>#N/A</v>
      </c>
      <c r="AI124" s="179" t="e">
        <f t="shared" si="49"/>
        <v>#N/A</v>
      </c>
      <c r="AJ124" s="147" t="e">
        <f t="shared" si="46"/>
        <v>#N/A</v>
      </c>
      <c r="AK124" s="157" t="e">
        <f t="shared" si="47"/>
        <v>#N/A</v>
      </c>
    </row>
    <row r="125" spans="1:37" ht="14.25" hidden="1" customHeight="1" x14ac:dyDescent="0.3">
      <c r="A125" s="168" t="s">
        <v>288</v>
      </c>
      <c r="B125" s="168" t="s">
        <v>200</v>
      </c>
      <c r="C125" s="168" t="s">
        <v>921</v>
      </c>
      <c r="D125" s="168" t="s">
        <v>917</v>
      </c>
      <c r="E125" s="169">
        <v>1</v>
      </c>
      <c r="F125" s="170" t="e">
        <f>IF(A125="","",VLOOKUP(A125,Cotizador!$A$5:$J$43,2,FALSE))</f>
        <v>#N/A</v>
      </c>
      <c r="G125" s="171" t="e">
        <f>IF(A125="","",VLOOKUP(A125,Cotizador!$A$5:$J$43,3,FALSE))</f>
        <v>#N/A</v>
      </c>
      <c r="H125" s="147">
        <f>IF(OR(A125="",D125=""),"",IF(D125="Sin estampar",0,IF(D125="Pecho",VLOOKUP(A125,Cotizador!$A$5:$J$43,4,FALSE),IF(D125="Espalda",VLOOKUP(A125,Cotizador!$A$5:$J$43,5,FALSE),VLOOKUP(A125,Cotizador!$A$5:$J$43,4,FALSE)+VLOOKUP(A125,Cotizador!$A$5:$J$43,5,FALSE)))))</f>
        <v>0</v>
      </c>
      <c r="I125" s="147" t="e">
        <f>IF(A125="","",VLOOKUP(A125,Cotizador!$A$5:$J$43,6,FALSE))</f>
        <v>#N/A</v>
      </c>
      <c r="J125" s="147" t="e">
        <f>IF(A125="","",VLOOKUP(A125,Cotizador!$A$5:$J$43,7,FALSE))</f>
        <v>#N/A</v>
      </c>
      <c r="K125" s="172" t="e">
        <f t="shared" si="29"/>
        <v>#N/A</v>
      </c>
      <c r="L125" s="147" t="e">
        <f>IF(A125="","",IF(D125="Sin estampar",VLOOKUP(A125,Cotizador!$A$5:$J$43,8,FALSE),IF(D125="Pecho",VLOOKUP(A125,Cotizador!$A$5:$J$43,10,FALSE),VLOOKUP(A125,Cotizador!$A$5:$J$43,9,FALSE))))</f>
        <v>#N/A</v>
      </c>
      <c r="M125" s="173" t="e">
        <f t="shared" si="30"/>
        <v>#N/A</v>
      </c>
      <c r="N125" s="147" t="e">
        <f t="shared" si="31"/>
        <v>#N/A</v>
      </c>
      <c r="O125" s="157"/>
      <c r="P125" s="157" t="e">
        <f t="shared" si="32"/>
        <v>#N/A</v>
      </c>
      <c r="Q125" s="174" t="str">
        <f t="shared" si="33"/>
        <v>Chompa Capucha S Plomo Plata</v>
      </c>
      <c r="R125" s="180" t="e">
        <f ca="1"/>
        <v>#NAME?</v>
      </c>
      <c r="S125" s="181"/>
      <c r="T125" s="176">
        <f t="shared" ca="1" si="34"/>
        <v>0</v>
      </c>
      <c r="V125" s="51" t="e">
        <f t="shared" si="35"/>
        <v>#N/A</v>
      </c>
      <c r="Y125" s="147" t="e">
        <f t="shared" si="36"/>
        <v>#N/A</v>
      </c>
      <c r="Z125" s="177" t="e">
        <f t="shared" si="37"/>
        <v>#N/A</v>
      </c>
      <c r="AA125" s="178"/>
      <c r="AB125" s="178" t="e">
        <f t="shared" si="38"/>
        <v>#N/A</v>
      </c>
      <c r="AC125" s="179" t="e">
        <f t="shared" si="39"/>
        <v>#N/A</v>
      </c>
      <c r="AD125" s="147" t="e">
        <f t="shared" si="40"/>
        <v>#N/A</v>
      </c>
      <c r="AE125" s="157" t="e">
        <f t="shared" si="41"/>
        <v>#N/A</v>
      </c>
      <c r="AF125" s="179" t="e">
        <f t="shared" si="42"/>
        <v>#N/A</v>
      </c>
      <c r="AG125" s="147" t="e">
        <f t="shared" si="43"/>
        <v>#N/A</v>
      </c>
      <c r="AH125" s="157" t="e">
        <f t="shared" si="44"/>
        <v>#N/A</v>
      </c>
      <c r="AI125" s="179" t="e">
        <f t="shared" si="49"/>
        <v>#N/A</v>
      </c>
      <c r="AJ125" s="147" t="e">
        <f t="shared" si="46"/>
        <v>#N/A</v>
      </c>
      <c r="AK125" s="157" t="e">
        <f t="shared" si="47"/>
        <v>#N/A</v>
      </c>
    </row>
    <row r="126" spans="1:37" ht="14.25" hidden="1" customHeight="1" x14ac:dyDescent="0.3">
      <c r="A126" s="168" t="s">
        <v>288</v>
      </c>
      <c r="B126" s="168" t="s">
        <v>204</v>
      </c>
      <c r="C126" s="168" t="s">
        <v>921</v>
      </c>
      <c r="D126" s="168" t="s">
        <v>917</v>
      </c>
      <c r="E126" s="169">
        <v>2</v>
      </c>
      <c r="F126" s="170" t="e">
        <f>IF(A126="","",VLOOKUP(A126,Cotizador!$A$5:$J$43,2,FALSE))</f>
        <v>#N/A</v>
      </c>
      <c r="G126" s="171" t="e">
        <f>IF(A126="","",VLOOKUP(A126,Cotizador!$A$5:$J$43,3,FALSE))</f>
        <v>#N/A</v>
      </c>
      <c r="H126" s="147">
        <f>IF(OR(A126="",D126=""),"",IF(D126="Sin estampar",0,IF(D126="Pecho",VLOOKUP(A126,Cotizador!$A$5:$J$43,4,FALSE),IF(D126="Espalda",VLOOKUP(A126,Cotizador!$A$5:$J$43,5,FALSE),VLOOKUP(A126,Cotizador!$A$5:$J$43,4,FALSE)+VLOOKUP(A126,Cotizador!$A$5:$J$43,5,FALSE)))))</f>
        <v>0</v>
      </c>
      <c r="I126" s="147" t="e">
        <f>IF(A126="","",VLOOKUP(A126,Cotizador!$A$5:$J$43,6,FALSE))</f>
        <v>#N/A</v>
      </c>
      <c r="J126" s="147" t="e">
        <f>IF(A126="","",VLOOKUP(A126,Cotizador!$A$5:$J$43,7,FALSE))</f>
        <v>#N/A</v>
      </c>
      <c r="K126" s="172" t="e">
        <f t="shared" si="29"/>
        <v>#N/A</v>
      </c>
      <c r="L126" s="147" t="e">
        <f>IF(A126="","",IF(D126="Sin estampar",VLOOKUP(A126,Cotizador!$A$5:$J$43,8,FALSE),IF(D126="Pecho",VLOOKUP(A126,Cotizador!$A$5:$J$43,10,FALSE),VLOOKUP(A126,Cotizador!$A$5:$J$43,9,FALSE))))</f>
        <v>#N/A</v>
      </c>
      <c r="M126" s="173" t="e">
        <f t="shared" si="30"/>
        <v>#N/A</v>
      </c>
      <c r="N126" s="147" t="e">
        <f t="shared" si="31"/>
        <v>#N/A</v>
      </c>
      <c r="O126" s="157"/>
      <c r="P126" s="157" t="e">
        <f t="shared" si="32"/>
        <v>#N/A</v>
      </c>
      <c r="Q126" s="174" t="str">
        <f t="shared" si="33"/>
        <v>Chompa Capucha M Plomo Plata</v>
      </c>
      <c r="R126" s="180" t="e">
        <f ca="1"/>
        <v>#NAME?</v>
      </c>
      <c r="S126" s="181"/>
      <c r="T126" s="176">
        <f t="shared" ca="1" si="34"/>
        <v>0</v>
      </c>
      <c r="V126" s="51" t="e">
        <f t="shared" si="35"/>
        <v>#N/A</v>
      </c>
      <c r="Y126" s="147" t="e">
        <f t="shared" si="36"/>
        <v>#N/A</v>
      </c>
      <c r="Z126" s="177" t="e">
        <f t="shared" si="37"/>
        <v>#N/A</v>
      </c>
      <c r="AA126" s="178"/>
      <c r="AB126" s="178" t="e">
        <f t="shared" si="38"/>
        <v>#N/A</v>
      </c>
      <c r="AC126" s="179" t="e">
        <f t="shared" si="39"/>
        <v>#N/A</v>
      </c>
      <c r="AD126" s="147" t="e">
        <f t="shared" si="40"/>
        <v>#N/A</v>
      </c>
      <c r="AE126" s="157" t="e">
        <f t="shared" si="41"/>
        <v>#N/A</v>
      </c>
      <c r="AF126" s="179" t="e">
        <f t="shared" si="42"/>
        <v>#N/A</v>
      </c>
      <c r="AG126" s="147" t="e">
        <f t="shared" si="43"/>
        <v>#N/A</v>
      </c>
      <c r="AH126" s="157" t="e">
        <f t="shared" si="44"/>
        <v>#N/A</v>
      </c>
      <c r="AI126" s="179" t="e">
        <f t="shared" si="49"/>
        <v>#N/A</v>
      </c>
      <c r="AJ126" s="147" t="e">
        <f t="shared" si="46"/>
        <v>#N/A</v>
      </c>
      <c r="AK126" s="157" t="e">
        <f t="shared" si="47"/>
        <v>#N/A</v>
      </c>
    </row>
    <row r="127" spans="1:37" ht="14.25" hidden="1" customHeight="1" x14ac:dyDescent="0.3">
      <c r="A127" s="168" t="s">
        <v>288</v>
      </c>
      <c r="B127" s="168" t="s">
        <v>207</v>
      </c>
      <c r="C127" s="168" t="s">
        <v>921</v>
      </c>
      <c r="D127" s="168" t="s">
        <v>917</v>
      </c>
      <c r="E127" s="169">
        <v>2</v>
      </c>
      <c r="F127" s="170" t="e">
        <f>IF(A127="","",VLOOKUP(A127,Cotizador!$A$5:$J$43,2,FALSE))</f>
        <v>#N/A</v>
      </c>
      <c r="G127" s="171" t="e">
        <f>IF(A127="","",VLOOKUP(A127,Cotizador!$A$5:$J$43,3,FALSE))</f>
        <v>#N/A</v>
      </c>
      <c r="H127" s="147">
        <f>IF(OR(A127="",D127=""),"",IF(D127="Sin estampar",0,IF(D127="Pecho",VLOOKUP(A127,Cotizador!$A$5:$J$43,4,FALSE),IF(D127="Espalda",VLOOKUP(A127,Cotizador!$A$5:$J$43,5,FALSE),VLOOKUP(A127,Cotizador!$A$5:$J$43,4,FALSE)+VLOOKUP(A127,Cotizador!$A$5:$J$43,5,FALSE)))))</f>
        <v>0</v>
      </c>
      <c r="I127" s="147" t="e">
        <f>IF(A127="","",VLOOKUP(A127,Cotizador!$A$5:$J$43,6,FALSE))</f>
        <v>#N/A</v>
      </c>
      <c r="J127" s="147" t="e">
        <f>IF(A127="","",VLOOKUP(A127,Cotizador!$A$5:$J$43,7,FALSE))</f>
        <v>#N/A</v>
      </c>
      <c r="K127" s="172" t="e">
        <f t="shared" si="29"/>
        <v>#N/A</v>
      </c>
      <c r="L127" s="147" t="e">
        <f>IF(A127="","",IF(D127="Sin estampar",VLOOKUP(A127,Cotizador!$A$5:$J$43,8,FALSE),IF(D127="Pecho",VLOOKUP(A127,Cotizador!$A$5:$J$43,10,FALSE),VLOOKUP(A127,Cotizador!$A$5:$J$43,9,FALSE))))</f>
        <v>#N/A</v>
      </c>
      <c r="M127" s="173" t="e">
        <f t="shared" si="30"/>
        <v>#N/A</v>
      </c>
      <c r="N127" s="147" t="e">
        <f t="shared" si="31"/>
        <v>#N/A</v>
      </c>
      <c r="O127" s="157"/>
      <c r="P127" s="157" t="e">
        <f t="shared" si="32"/>
        <v>#N/A</v>
      </c>
      <c r="Q127" s="174" t="str">
        <f t="shared" si="33"/>
        <v>Chompa Capucha L Plomo Plata</v>
      </c>
      <c r="R127" s="180"/>
      <c r="S127" s="181"/>
      <c r="T127" s="176">
        <f t="shared" si="34"/>
        <v>0</v>
      </c>
      <c r="V127" s="51" t="e">
        <f t="shared" si="35"/>
        <v>#N/A</v>
      </c>
      <c r="Y127" s="147" t="e">
        <f t="shared" si="36"/>
        <v>#N/A</v>
      </c>
      <c r="Z127" s="177" t="e">
        <f t="shared" si="37"/>
        <v>#N/A</v>
      </c>
      <c r="AA127" s="178"/>
      <c r="AB127" s="178" t="e">
        <f t="shared" si="38"/>
        <v>#N/A</v>
      </c>
      <c r="AC127" s="179" t="e">
        <f t="shared" si="39"/>
        <v>#N/A</v>
      </c>
      <c r="AD127" s="147" t="e">
        <f t="shared" si="40"/>
        <v>#N/A</v>
      </c>
      <c r="AE127" s="157" t="e">
        <f t="shared" si="41"/>
        <v>#N/A</v>
      </c>
      <c r="AF127" s="179" t="e">
        <f t="shared" si="42"/>
        <v>#N/A</v>
      </c>
      <c r="AG127" s="147" t="e">
        <f t="shared" si="43"/>
        <v>#N/A</v>
      </c>
      <c r="AH127" s="157" t="e">
        <f t="shared" si="44"/>
        <v>#N/A</v>
      </c>
      <c r="AI127" s="179" t="e">
        <f t="shared" si="49"/>
        <v>#N/A</v>
      </c>
      <c r="AJ127" s="147" t="e">
        <f t="shared" si="46"/>
        <v>#N/A</v>
      </c>
      <c r="AK127" s="157" t="e">
        <f t="shared" si="47"/>
        <v>#N/A</v>
      </c>
    </row>
    <row r="128" spans="1:37" ht="14.25" hidden="1" customHeight="1" x14ac:dyDescent="0.3">
      <c r="A128" s="168" t="s">
        <v>288</v>
      </c>
      <c r="B128" s="168" t="s">
        <v>200</v>
      </c>
      <c r="C128" s="168" t="s">
        <v>201</v>
      </c>
      <c r="D128" s="168" t="s">
        <v>922</v>
      </c>
      <c r="E128" s="169">
        <v>1</v>
      </c>
      <c r="F128" s="170" t="e">
        <f>IF(A128="","",VLOOKUP(A128,Cotizador!$A$5:$J$43,2,FALSE))</f>
        <v>#N/A</v>
      </c>
      <c r="G128" s="171" t="e">
        <f>IF(A128="","",VLOOKUP(A128,Cotizador!$A$5:$J$43,3,FALSE))</f>
        <v>#N/A</v>
      </c>
      <c r="H128" s="147" t="e">
        <f>IF(OR(A128="",D128=""),"",IF(D128="Sin estampar",0,IF(D128="Pecho",VLOOKUP(A128,Cotizador!$A$5:$J$43,4,FALSE),IF(D128="Espalda",VLOOKUP(A128,Cotizador!$A$5:$J$43,5,FALSE),VLOOKUP(A128,Cotizador!$A$5:$J$43,4,FALSE)+VLOOKUP(A128,Cotizador!$A$5:$J$43,5,FALSE)))))</f>
        <v>#N/A</v>
      </c>
      <c r="I128" s="147" t="e">
        <f>IF(A128="","",VLOOKUP(A128,Cotizador!$A$5:$J$43,6,FALSE))</f>
        <v>#N/A</v>
      </c>
      <c r="J128" s="147" t="e">
        <f>IF(A128="","",VLOOKUP(A128,Cotizador!$A$5:$J$43,7,FALSE))</f>
        <v>#N/A</v>
      </c>
      <c r="K128" s="172" t="e">
        <f t="shared" si="29"/>
        <v>#N/A</v>
      </c>
      <c r="L128" s="147" t="e">
        <f>IF(A128="","",IF(D128="Sin estampar",VLOOKUP(A128,Cotizador!$A$5:$J$43,8,FALSE),IF(D128="Pecho",VLOOKUP(A128,Cotizador!$A$5:$J$43,10,FALSE),VLOOKUP(A128,Cotizador!$A$5:$J$43,9,FALSE))))</f>
        <v>#N/A</v>
      </c>
      <c r="M128" s="173" t="e">
        <f t="shared" si="30"/>
        <v>#N/A</v>
      </c>
      <c r="N128" s="147" t="e">
        <f t="shared" si="31"/>
        <v>#N/A</v>
      </c>
      <c r="O128" s="157"/>
      <c r="P128" s="157" t="e">
        <f t="shared" si="32"/>
        <v>#N/A</v>
      </c>
      <c r="Q128" s="174" t="str">
        <f t="shared" si="33"/>
        <v>Chompa Capucha S Negro</v>
      </c>
      <c r="R128" s="147"/>
      <c r="S128" s="185"/>
      <c r="T128" s="186">
        <f t="shared" si="34"/>
        <v>0</v>
      </c>
      <c r="V128" s="51" t="e">
        <f t="shared" si="35"/>
        <v>#N/A</v>
      </c>
      <c r="Y128" s="147" t="e">
        <f t="shared" si="36"/>
        <v>#N/A</v>
      </c>
      <c r="Z128" s="177" t="e">
        <f t="shared" si="37"/>
        <v>#N/A</v>
      </c>
      <c r="AA128" s="178"/>
      <c r="AB128" s="178" t="e">
        <f t="shared" si="38"/>
        <v>#N/A</v>
      </c>
      <c r="AC128" s="179" t="e">
        <f t="shared" si="39"/>
        <v>#N/A</v>
      </c>
      <c r="AD128" s="147" t="e">
        <f t="shared" si="40"/>
        <v>#N/A</v>
      </c>
      <c r="AE128" s="157" t="e">
        <f t="shared" si="41"/>
        <v>#N/A</v>
      </c>
      <c r="AF128" s="179" t="e">
        <f t="shared" si="42"/>
        <v>#N/A</v>
      </c>
      <c r="AG128" s="147" t="e">
        <f t="shared" si="43"/>
        <v>#N/A</v>
      </c>
      <c r="AH128" s="157" t="e">
        <f t="shared" si="44"/>
        <v>#N/A</v>
      </c>
      <c r="AI128" s="179" t="e">
        <f t="shared" si="49"/>
        <v>#N/A</v>
      </c>
      <c r="AJ128" s="147" t="e">
        <f t="shared" si="46"/>
        <v>#N/A</v>
      </c>
      <c r="AK128" s="157" t="e">
        <f t="shared" si="47"/>
        <v>#N/A</v>
      </c>
    </row>
    <row r="129" spans="1:37" ht="14.25" hidden="1" customHeight="1" x14ac:dyDescent="0.3">
      <c r="A129" s="168" t="s">
        <v>288</v>
      </c>
      <c r="B129" s="168" t="s">
        <v>204</v>
      </c>
      <c r="C129" s="168" t="s">
        <v>201</v>
      </c>
      <c r="D129" s="168" t="s">
        <v>922</v>
      </c>
      <c r="E129" s="169">
        <v>2</v>
      </c>
      <c r="F129" s="170" t="e">
        <f>IF(A129="","",VLOOKUP(A129,Cotizador!$A$5:$J$43,2,FALSE))</f>
        <v>#N/A</v>
      </c>
      <c r="G129" s="171" t="e">
        <f>IF(A129="","",VLOOKUP(A129,Cotizador!$A$5:$J$43,3,FALSE))</f>
        <v>#N/A</v>
      </c>
      <c r="H129" s="147" t="e">
        <f>IF(OR(A129="",D129=""),"",IF(D129="Sin estampar",0,IF(D129="Pecho",VLOOKUP(A129,Cotizador!$A$5:$J$43,4,FALSE),IF(D129="Espalda",VLOOKUP(A129,Cotizador!$A$5:$J$43,5,FALSE),VLOOKUP(A129,Cotizador!$A$5:$J$43,4,FALSE)+VLOOKUP(A129,Cotizador!$A$5:$J$43,5,FALSE)))))</f>
        <v>#N/A</v>
      </c>
      <c r="I129" s="147" t="e">
        <f>IF(A129="","",VLOOKUP(A129,Cotizador!$A$5:$J$43,6,FALSE))</f>
        <v>#N/A</v>
      </c>
      <c r="J129" s="147" t="e">
        <f>IF(A129="","",VLOOKUP(A129,Cotizador!$A$5:$J$43,7,FALSE))</f>
        <v>#N/A</v>
      </c>
      <c r="K129" s="172" t="e">
        <f t="shared" si="29"/>
        <v>#N/A</v>
      </c>
      <c r="L129" s="147" t="e">
        <f>IF(A129="","",IF(D129="Sin estampar",VLOOKUP(A129,Cotizador!$A$5:$J$43,8,FALSE),IF(D129="Pecho",VLOOKUP(A129,Cotizador!$A$5:$J$43,10,FALSE),VLOOKUP(A129,Cotizador!$A$5:$J$43,9,FALSE))))</f>
        <v>#N/A</v>
      </c>
      <c r="M129" s="173" t="e">
        <f t="shared" si="30"/>
        <v>#N/A</v>
      </c>
      <c r="N129" s="147" t="e">
        <f t="shared" si="31"/>
        <v>#N/A</v>
      </c>
      <c r="O129" s="157"/>
      <c r="P129" s="157" t="e">
        <f t="shared" si="32"/>
        <v>#N/A</v>
      </c>
      <c r="Q129" s="174" t="str">
        <f t="shared" si="33"/>
        <v>Chompa Capucha M Negro</v>
      </c>
      <c r="R129" s="147"/>
      <c r="S129" s="185"/>
      <c r="T129" s="186">
        <f t="shared" si="34"/>
        <v>0</v>
      </c>
      <c r="V129" s="51" t="e">
        <f t="shared" si="35"/>
        <v>#N/A</v>
      </c>
      <c r="Y129" s="147" t="e">
        <f t="shared" si="36"/>
        <v>#N/A</v>
      </c>
      <c r="Z129" s="177" t="e">
        <f t="shared" si="37"/>
        <v>#N/A</v>
      </c>
      <c r="AA129" s="178"/>
      <c r="AB129" s="178" t="e">
        <f t="shared" si="38"/>
        <v>#N/A</v>
      </c>
      <c r="AC129" s="179" t="e">
        <f t="shared" si="39"/>
        <v>#N/A</v>
      </c>
      <c r="AD129" s="147" t="e">
        <f t="shared" si="40"/>
        <v>#N/A</v>
      </c>
      <c r="AE129" s="157" t="e">
        <f t="shared" si="41"/>
        <v>#N/A</v>
      </c>
      <c r="AF129" s="179" t="e">
        <f t="shared" si="42"/>
        <v>#N/A</v>
      </c>
      <c r="AG129" s="147" t="e">
        <f t="shared" si="43"/>
        <v>#N/A</v>
      </c>
      <c r="AH129" s="157" t="e">
        <f t="shared" si="44"/>
        <v>#N/A</v>
      </c>
      <c r="AI129" s="179" t="e">
        <f t="shared" si="49"/>
        <v>#N/A</v>
      </c>
      <c r="AJ129" s="147" t="e">
        <f t="shared" si="46"/>
        <v>#N/A</v>
      </c>
      <c r="AK129" s="157" t="e">
        <f t="shared" si="47"/>
        <v>#N/A</v>
      </c>
    </row>
    <row r="130" spans="1:37" ht="14.25" hidden="1" customHeight="1" x14ac:dyDescent="0.3">
      <c r="A130" s="168" t="s">
        <v>288</v>
      </c>
      <c r="B130" s="168" t="s">
        <v>207</v>
      </c>
      <c r="C130" s="168" t="s">
        <v>201</v>
      </c>
      <c r="D130" s="168" t="s">
        <v>922</v>
      </c>
      <c r="E130" s="169">
        <v>2</v>
      </c>
      <c r="F130" s="170" t="e">
        <f>IF(A130="","",VLOOKUP(A130,Cotizador!$A$5:$J$43,2,FALSE))</f>
        <v>#N/A</v>
      </c>
      <c r="G130" s="171" t="e">
        <f>IF(A130="","",VLOOKUP(A130,Cotizador!$A$5:$J$43,3,FALSE))</f>
        <v>#N/A</v>
      </c>
      <c r="H130" s="147" t="e">
        <f>IF(OR(A130="",D130=""),"",IF(D130="Sin estampar",0,IF(D130="Pecho",VLOOKUP(A130,Cotizador!$A$5:$J$43,4,FALSE),IF(D130="Espalda",VLOOKUP(A130,Cotizador!$A$5:$J$43,5,FALSE),VLOOKUP(A130,Cotizador!$A$5:$J$43,4,FALSE)+VLOOKUP(A130,Cotizador!$A$5:$J$43,5,FALSE)))))</f>
        <v>#N/A</v>
      </c>
      <c r="I130" s="147" t="e">
        <f>IF(A130="","",VLOOKUP(A130,Cotizador!$A$5:$J$43,6,FALSE))</f>
        <v>#N/A</v>
      </c>
      <c r="J130" s="147" t="e">
        <f>IF(A130="","",VLOOKUP(A130,Cotizador!$A$5:$J$43,7,FALSE))</f>
        <v>#N/A</v>
      </c>
      <c r="K130" s="172" t="e">
        <f t="shared" si="29"/>
        <v>#N/A</v>
      </c>
      <c r="L130" s="147" t="e">
        <f>IF(A130="","",IF(D130="Sin estampar",VLOOKUP(A130,Cotizador!$A$5:$J$43,8,FALSE),IF(D130="Pecho",VLOOKUP(A130,Cotizador!$A$5:$J$43,10,FALSE),VLOOKUP(A130,Cotizador!$A$5:$J$43,9,FALSE))))</f>
        <v>#N/A</v>
      </c>
      <c r="M130" s="173" t="e">
        <f t="shared" si="30"/>
        <v>#N/A</v>
      </c>
      <c r="N130" s="147" t="e">
        <f t="shared" si="31"/>
        <v>#N/A</v>
      </c>
      <c r="O130" s="157"/>
      <c r="P130" s="157" t="e">
        <f t="shared" si="32"/>
        <v>#N/A</v>
      </c>
      <c r="Q130" s="174" t="str">
        <f t="shared" si="33"/>
        <v>Chompa Capucha L Negro</v>
      </c>
      <c r="R130" s="147"/>
      <c r="S130" s="185"/>
      <c r="T130" s="186">
        <f t="shared" si="34"/>
        <v>0</v>
      </c>
      <c r="V130" s="51" t="e">
        <f t="shared" si="35"/>
        <v>#N/A</v>
      </c>
      <c r="Y130" s="147" t="e">
        <f t="shared" si="36"/>
        <v>#N/A</v>
      </c>
      <c r="Z130" s="177" t="e">
        <f t="shared" si="37"/>
        <v>#N/A</v>
      </c>
      <c r="AA130" s="178"/>
      <c r="AB130" s="178" t="e">
        <f t="shared" si="38"/>
        <v>#N/A</v>
      </c>
      <c r="AC130" s="179" t="e">
        <f t="shared" si="39"/>
        <v>#N/A</v>
      </c>
      <c r="AD130" s="147" t="e">
        <f t="shared" si="40"/>
        <v>#N/A</v>
      </c>
      <c r="AE130" s="157" t="e">
        <f t="shared" si="41"/>
        <v>#N/A</v>
      </c>
      <c r="AF130" s="179" t="e">
        <f t="shared" si="42"/>
        <v>#N/A</v>
      </c>
      <c r="AG130" s="147" t="e">
        <f t="shared" si="43"/>
        <v>#N/A</v>
      </c>
      <c r="AH130" s="157" t="e">
        <f t="shared" si="44"/>
        <v>#N/A</v>
      </c>
      <c r="AI130" s="179" t="e">
        <f t="shared" si="49"/>
        <v>#N/A</v>
      </c>
      <c r="AJ130" s="147" t="e">
        <f t="shared" si="46"/>
        <v>#N/A</v>
      </c>
      <c r="AK130" s="157" t="e">
        <f t="shared" si="47"/>
        <v>#N/A</v>
      </c>
    </row>
    <row r="131" spans="1:37" ht="14.25" hidden="1" customHeight="1" x14ac:dyDescent="0.3">
      <c r="A131" s="168" t="s">
        <v>288</v>
      </c>
      <c r="B131" s="168" t="s">
        <v>200</v>
      </c>
      <c r="C131" s="168" t="s">
        <v>919</v>
      </c>
      <c r="D131" s="168" t="s">
        <v>922</v>
      </c>
      <c r="E131" s="169">
        <v>1</v>
      </c>
      <c r="F131" s="170" t="e">
        <f>IF(A131="","",VLOOKUP(A131,Cotizador!$A$5:$J$43,2,FALSE))</f>
        <v>#N/A</v>
      </c>
      <c r="G131" s="171" t="e">
        <f>IF(A131="","",VLOOKUP(A131,Cotizador!$A$5:$J$43,3,FALSE))</f>
        <v>#N/A</v>
      </c>
      <c r="H131" s="147" t="e">
        <f>IF(OR(A131="",D131=""),"",IF(D131="Sin estampar",0,IF(D131="Pecho",VLOOKUP(A131,Cotizador!$A$5:$J$43,4,FALSE),IF(D131="Espalda",VLOOKUP(A131,Cotizador!$A$5:$J$43,5,FALSE),VLOOKUP(A131,Cotizador!$A$5:$J$43,4,FALSE)+VLOOKUP(A131,Cotizador!$A$5:$J$43,5,FALSE)))))</f>
        <v>#N/A</v>
      </c>
      <c r="I131" s="147" t="e">
        <f>IF(A131="","",VLOOKUP(A131,Cotizador!$A$5:$J$43,6,FALSE))</f>
        <v>#N/A</v>
      </c>
      <c r="J131" s="147" t="e">
        <f>IF(A131="","",VLOOKUP(A131,Cotizador!$A$5:$J$43,7,FALSE))</f>
        <v>#N/A</v>
      </c>
      <c r="K131" s="172" t="e">
        <f t="shared" si="29"/>
        <v>#N/A</v>
      </c>
      <c r="L131" s="147" t="e">
        <f>IF(A131="","",IF(D131="Sin estampar",VLOOKUP(A131,Cotizador!$A$5:$J$43,8,FALSE),IF(D131="Pecho",VLOOKUP(A131,Cotizador!$A$5:$J$43,10,FALSE),VLOOKUP(A131,Cotizador!$A$5:$J$43,9,FALSE))))</f>
        <v>#N/A</v>
      </c>
      <c r="M131" s="173" t="e">
        <f t="shared" si="30"/>
        <v>#N/A</v>
      </c>
      <c r="N131" s="147" t="e">
        <f t="shared" si="31"/>
        <v>#N/A</v>
      </c>
      <c r="O131" s="157"/>
      <c r="P131" s="157" t="e">
        <f t="shared" si="32"/>
        <v>#N/A</v>
      </c>
      <c r="Q131" s="174" t="str">
        <f t="shared" si="33"/>
        <v>Chompa Capucha S Perla</v>
      </c>
      <c r="R131" s="147"/>
      <c r="S131" s="185"/>
      <c r="T131" s="186">
        <f t="shared" si="34"/>
        <v>0</v>
      </c>
      <c r="V131" s="51" t="e">
        <f t="shared" si="35"/>
        <v>#N/A</v>
      </c>
      <c r="Y131" s="147" t="e">
        <f t="shared" si="36"/>
        <v>#N/A</v>
      </c>
      <c r="Z131" s="177" t="e">
        <f t="shared" si="37"/>
        <v>#N/A</v>
      </c>
      <c r="AA131" s="178"/>
      <c r="AB131" s="178" t="e">
        <f t="shared" si="38"/>
        <v>#N/A</v>
      </c>
      <c r="AC131" s="179" t="e">
        <f t="shared" si="39"/>
        <v>#N/A</v>
      </c>
      <c r="AD131" s="147" t="e">
        <f t="shared" si="40"/>
        <v>#N/A</v>
      </c>
      <c r="AE131" s="157" t="e">
        <f t="shared" si="41"/>
        <v>#N/A</v>
      </c>
      <c r="AF131" s="179" t="e">
        <f t="shared" si="42"/>
        <v>#N/A</v>
      </c>
      <c r="AG131" s="147" t="e">
        <f t="shared" si="43"/>
        <v>#N/A</v>
      </c>
      <c r="AH131" s="157" t="e">
        <f t="shared" si="44"/>
        <v>#N/A</v>
      </c>
      <c r="AI131" s="179" t="e">
        <f t="shared" si="49"/>
        <v>#N/A</v>
      </c>
      <c r="AJ131" s="147" t="e">
        <f t="shared" si="46"/>
        <v>#N/A</v>
      </c>
      <c r="AK131" s="157" t="e">
        <f t="shared" si="47"/>
        <v>#N/A</v>
      </c>
    </row>
    <row r="132" spans="1:37" ht="14.25" hidden="1" customHeight="1" x14ac:dyDescent="0.3">
      <c r="A132" s="168" t="s">
        <v>288</v>
      </c>
      <c r="B132" s="168" t="s">
        <v>204</v>
      </c>
      <c r="C132" s="168" t="s">
        <v>919</v>
      </c>
      <c r="D132" s="168" t="s">
        <v>922</v>
      </c>
      <c r="E132" s="169">
        <v>2</v>
      </c>
      <c r="F132" s="170" t="e">
        <f>IF(A132="","",VLOOKUP(A132,Cotizador!$A$5:$J$43,2,FALSE))</f>
        <v>#N/A</v>
      </c>
      <c r="G132" s="171" t="e">
        <f>IF(A132="","",VLOOKUP(A132,Cotizador!$A$5:$J$43,3,FALSE))</f>
        <v>#N/A</v>
      </c>
      <c r="H132" s="147" t="e">
        <f>IF(OR(A132="",D132=""),"",IF(D132="Sin estampar",0,IF(D132="Pecho",VLOOKUP(A132,Cotizador!$A$5:$J$43,4,FALSE),IF(D132="Espalda",VLOOKUP(A132,Cotizador!$A$5:$J$43,5,FALSE),VLOOKUP(A132,Cotizador!$A$5:$J$43,4,FALSE)+VLOOKUP(A132,Cotizador!$A$5:$J$43,5,FALSE)))))</f>
        <v>#N/A</v>
      </c>
      <c r="I132" s="147" t="e">
        <f>IF(A132="","",VLOOKUP(A132,Cotizador!$A$5:$J$43,6,FALSE))</f>
        <v>#N/A</v>
      </c>
      <c r="J132" s="147" t="e">
        <f>IF(A132="","",VLOOKUP(A132,Cotizador!$A$5:$J$43,7,FALSE))</f>
        <v>#N/A</v>
      </c>
      <c r="K132" s="172" t="e">
        <f t="shared" si="29"/>
        <v>#N/A</v>
      </c>
      <c r="L132" s="147" t="e">
        <f>IF(A132="","",IF(D132="Sin estampar",VLOOKUP(A132,Cotizador!$A$5:$J$43,8,FALSE),IF(D132="Pecho",VLOOKUP(A132,Cotizador!$A$5:$J$43,10,FALSE),VLOOKUP(A132,Cotizador!$A$5:$J$43,9,FALSE))))</f>
        <v>#N/A</v>
      </c>
      <c r="M132" s="173" t="e">
        <f t="shared" si="30"/>
        <v>#N/A</v>
      </c>
      <c r="N132" s="147" t="e">
        <f t="shared" si="31"/>
        <v>#N/A</v>
      </c>
      <c r="O132" s="157"/>
      <c r="P132" s="157" t="e">
        <f t="shared" si="32"/>
        <v>#N/A</v>
      </c>
      <c r="Q132" s="174" t="str">
        <f t="shared" si="33"/>
        <v>Chompa Capucha M Perla</v>
      </c>
      <c r="R132" s="147"/>
      <c r="S132" s="185"/>
      <c r="T132" s="186">
        <f t="shared" si="34"/>
        <v>0</v>
      </c>
      <c r="V132" s="51" t="e">
        <f t="shared" si="35"/>
        <v>#N/A</v>
      </c>
      <c r="Y132" s="147" t="e">
        <f t="shared" si="36"/>
        <v>#N/A</v>
      </c>
      <c r="Z132" s="177" t="e">
        <f t="shared" si="37"/>
        <v>#N/A</v>
      </c>
      <c r="AA132" s="178"/>
      <c r="AB132" s="178" t="e">
        <f t="shared" si="38"/>
        <v>#N/A</v>
      </c>
      <c r="AC132" s="179" t="e">
        <f t="shared" si="39"/>
        <v>#N/A</v>
      </c>
      <c r="AD132" s="147" t="e">
        <f t="shared" si="40"/>
        <v>#N/A</v>
      </c>
      <c r="AE132" s="157" t="e">
        <f t="shared" si="41"/>
        <v>#N/A</v>
      </c>
      <c r="AF132" s="179" t="e">
        <f t="shared" si="42"/>
        <v>#N/A</v>
      </c>
      <c r="AG132" s="147" t="e">
        <f t="shared" si="43"/>
        <v>#N/A</v>
      </c>
      <c r="AH132" s="157" t="e">
        <f t="shared" si="44"/>
        <v>#N/A</v>
      </c>
      <c r="AI132" s="179" t="e">
        <f t="shared" si="49"/>
        <v>#N/A</v>
      </c>
      <c r="AJ132" s="147" t="e">
        <f t="shared" si="46"/>
        <v>#N/A</v>
      </c>
      <c r="AK132" s="157" t="e">
        <f t="shared" si="47"/>
        <v>#N/A</v>
      </c>
    </row>
    <row r="133" spans="1:37" ht="14.25" hidden="1" customHeight="1" x14ac:dyDescent="0.3">
      <c r="A133" s="168" t="s">
        <v>288</v>
      </c>
      <c r="B133" s="168" t="s">
        <v>207</v>
      </c>
      <c r="C133" s="168" t="s">
        <v>919</v>
      </c>
      <c r="D133" s="168" t="s">
        <v>922</v>
      </c>
      <c r="E133" s="169">
        <v>2</v>
      </c>
      <c r="F133" s="170" t="e">
        <f>IF(A133="","",VLOOKUP(A133,Cotizador!$A$5:$J$43,2,FALSE))</f>
        <v>#N/A</v>
      </c>
      <c r="G133" s="171" t="e">
        <f>IF(A133="","",VLOOKUP(A133,Cotizador!$A$5:$J$43,3,FALSE))</f>
        <v>#N/A</v>
      </c>
      <c r="H133" s="147" t="e">
        <f>IF(OR(A133="",D133=""),"",IF(D133="Sin estampar",0,IF(D133="Pecho",VLOOKUP(A133,Cotizador!$A$5:$J$43,4,FALSE),IF(D133="Espalda",VLOOKUP(A133,Cotizador!$A$5:$J$43,5,FALSE),VLOOKUP(A133,Cotizador!$A$5:$J$43,4,FALSE)+VLOOKUP(A133,Cotizador!$A$5:$J$43,5,FALSE)))))</f>
        <v>#N/A</v>
      </c>
      <c r="I133" s="147" t="e">
        <f>IF(A133="","",VLOOKUP(A133,Cotizador!$A$5:$J$43,6,FALSE))</f>
        <v>#N/A</v>
      </c>
      <c r="J133" s="147" t="e">
        <f>IF(A133="","",VLOOKUP(A133,Cotizador!$A$5:$J$43,7,FALSE))</f>
        <v>#N/A</v>
      </c>
      <c r="K133" s="172" t="e">
        <f t="shared" si="29"/>
        <v>#N/A</v>
      </c>
      <c r="L133" s="147" t="e">
        <f>IF(A133="","",IF(D133="Sin estampar",VLOOKUP(A133,Cotizador!$A$5:$J$43,8,FALSE),IF(D133="Pecho",VLOOKUP(A133,Cotizador!$A$5:$J$43,10,FALSE),VLOOKUP(A133,Cotizador!$A$5:$J$43,9,FALSE))))</f>
        <v>#N/A</v>
      </c>
      <c r="M133" s="173" t="e">
        <f t="shared" si="30"/>
        <v>#N/A</v>
      </c>
      <c r="N133" s="147" t="e">
        <f t="shared" si="31"/>
        <v>#N/A</v>
      </c>
      <c r="O133" s="157"/>
      <c r="P133" s="157" t="e">
        <f t="shared" si="32"/>
        <v>#N/A</v>
      </c>
      <c r="Q133" s="174" t="str">
        <f t="shared" si="33"/>
        <v>Chompa Capucha L Perla</v>
      </c>
      <c r="R133" s="147"/>
      <c r="S133" s="185"/>
      <c r="T133" s="186">
        <f t="shared" si="34"/>
        <v>0</v>
      </c>
      <c r="V133" s="51" t="e">
        <f t="shared" si="35"/>
        <v>#N/A</v>
      </c>
      <c r="Y133" s="147" t="e">
        <f t="shared" si="36"/>
        <v>#N/A</v>
      </c>
      <c r="Z133" s="177" t="e">
        <f t="shared" si="37"/>
        <v>#N/A</v>
      </c>
      <c r="AA133" s="178"/>
      <c r="AB133" s="178" t="e">
        <f t="shared" si="38"/>
        <v>#N/A</v>
      </c>
      <c r="AC133" s="179" t="e">
        <f t="shared" si="39"/>
        <v>#N/A</v>
      </c>
      <c r="AD133" s="147" t="e">
        <f t="shared" si="40"/>
        <v>#N/A</v>
      </c>
      <c r="AE133" s="157" t="e">
        <f t="shared" si="41"/>
        <v>#N/A</v>
      </c>
      <c r="AF133" s="179" t="e">
        <f t="shared" si="42"/>
        <v>#N/A</v>
      </c>
      <c r="AG133" s="147" t="e">
        <f t="shared" si="43"/>
        <v>#N/A</v>
      </c>
      <c r="AH133" s="157" t="e">
        <f t="shared" si="44"/>
        <v>#N/A</v>
      </c>
      <c r="AI133" s="179" t="e">
        <f t="shared" si="49"/>
        <v>#N/A</v>
      </c>
      <c r="AJ133" s="147" t="e">
        <f t="shared" si="46"/>
        <v>#N/A</v>
      </c>
      <c r="AK133" s="157" t="e">
        <f t="shared" si="47"/>
        <v>#N/A</v>
      </c>
    </row>
    <row r="134" spans="1:37" ht="14.25" hidden="1" customHeight="1" x14ac:dyDescent="0.3">
      <c r="A134" s="168" t="s">
        <v>288</v>
      </c>
      <c r="B134" s="168" t="s">
        <v>200</v>
      </c>
      <c r="C134" s="168" t="s">
        <v>923</v>
      </c>
      <c r="D134" s="168" t="s">
        <v>922</v>
      </c>
      <c r="E134" s="169">
        <v>1</v>
      </c>
      <c r="F134" s="170" t="e">
        <f>IF(A134="","",VLOOKUP(A134,Cotizador!$A$5:$J$43,2,FALSE))</f>
        <v>#N/A</v>
      </c>
      <c r="G134" s="171" t="e">
        <f>IF(A134="","",VLOOKUP(A134,Cotizador!$A$5:$J$43,3,FALSE))</f>
        <v>#N/A</v>
      </c>
      <c r="H134" s="147" t="e">
        <f>IF(OR(A134="",D134=""),"",IF(D134="Sin estampar",0,IF(D134="Pecho",VLOOKUP(A134,Cotizador!$A$5:$J$43,4,FALSE),IF(D134="Espalda",VLOOKUP(A134,Cotizador!$A$5:$J$43,5,FALSE),VLOOKUP(A134,Cotizador!$A$5:$J$43,4,FALSE)+VLOOKUP(A134,Cotizador!$A$5:$J$43,5,FALSE)))))</f>
        <v>#N/A</v>
      </c>
      <c r="I134" s="147" t="e">
        <f>IF(A134="","",VLOOKUP(A134,Cotizador!$A$5:$J$43,6,FALSE))</f>
        <v>#N/A</v>
      </c>
      <c r="J134" s="147" t="e">
        <f>IF(A134="","",VLOOKUP(A134,Cotizador!$A$5:$J$43,7,FALSE))</f>
        <v>#N/A</v>
      </c>
      <c r="K134" s="172" t="e">
        <f t="shared" si="29"/>
        <v>#N/A</v>
      </c>
      <c r="L134" s="147" t="e">
        <f>IF(A134="","",IF(D134="Sin estampar",VLOOKUP(A134,Cotizador!$A$5:$J$43,8,FALSE),IF(D134="Pecho",VLOOKUP(A134,Cotizador!$A$5:$J$43,10,FALSE),VLOOKUP(A134,Cotizador!$A$5:$J$43,9,FALSE))))</f>
        <v>#N/A</v>
      </c>
      <c r="M134" s="173" t="e">
        <f t="shared" si="30"/>
        <v>#N/A</v>
      </c>
      <c r="N134" s="147" t="e">
        <f t="shared" si="31"/>
        <v>#N/A</v>
      </c>
      <c r="O134" s="157"/>
      <c r="P134" s="157" t="e">
        <f t="shared" si="32"/>
        <v>#N/A</v>
      </c>
      <c r="Q134" s="174" t="str">
        <f t="shared" si="33"/>
        <v>Chompa Capucha S Verde Botella</v>
      </c>
      <c r="R134" s="147"/>
      <c r="S134" s="185"/>
      <c r="T134" s="186">
        <f t="shared" si="34"/>
        <v>0</v>
      </c>
      <c r="V134" s="51" t="e">
        <f t="shared" si="35"/>
        <v>#N/A</v>
      </c>
      <c r="Y134" s="147" t="e">
        <f t="shared" si="36"/>
        <v>#N/A</v>
      </c>
      <c r="Z134" s="177" t="e">
        <f t="shared" si="37"/>
        <v>#N/A</v>
      </c>
      <c r="AA134" s="178"/>
      <c r="AB134" s="178" t="e">
        <f t="shared" si="38"/>
        <v>#N/A</v>
      </c>
      <c r="AC134" s="179" t="e">
        <f t="shared" si="39"/>
        <v>#N/A</v>
      </c>
      <c r="AD134" s="147" t="e">
        <f t="shared" si="40"/>
        <v>#N/A</v>
      </c>
      <c r="AE134" s="157" t="e">
        <f t="shared" si="41"/>
        <v>#N/A</v>
      </c>
      <c r="AF134" s="179" t="e">
        <f t="shared" si="42"/>
        <v>#N/A</v>
      </c>
      <c r="AG134" s="147" t="e">
        <f t="shared" si="43"/>
        <v>#N/A</v>
      </c>
      <c r="AH134" s="157" t="e">
        <f t="shared" si="44"/>
        <v>#N/A</v>
      </c>
      <c r="AI134" s="179" t="e">
        <f t="shared" si="49"/>
        <v>#N/A</v>
      </c>
      <c r="AJ134" s="147" t="e">
        <f t="shared" si="46"/>
        <v>#N/A</v>
      </c>
      <c r="AK134" s="157" t="e">
        <f t="shared" si="47"/>
        <v>#N/A</v>
      </c>
    </row>
    <row r="135" spans="1:37" ht="14.25" hidden="1" customHeight="1" x14ac:dyDescent="0.3">
      <c r="A135" s="168" t="s">
        <v>288</v>
      </c>
      <c r="B135" s="168" t="s">
        <v>204</v>
      </c>
      <c r="C135" s="168" t="s">
        <v>923</v>
      </c>
      <c r="D135" s="168" t="s">
        <v>922</v>
      </c>
      <c r="E135" s="169">
        <v>2</v>
      </c>
      <c r="F135" s="170" t="e">
        <f>IF(A135="","",VLOOKUP(A135,Cotizador!$A$5:$J$43,2,FALSE))</f>
        <v>#N/A</v>
      </c>
      <c r="G135" s="171" t="e">
        <f>IF(A135="","",VLOOKUP(A135,Cotizador!$A$5:$J$43,3,FALSE))</f>
        <v>#N/A</v>
      </c>
      <c r="H135" s="147" t="e">
        <f>IF(OR(A135="",D135=""),"",IF(D135="Sin estampar",0,IF(D135="Pecho",VLOOKUP(A135,Cotizador!$A$5:$J$43,4,FALSE),IF(D135="Espalda",VLOOKUP(A135,Cotizador!$A$5:$J$43,5,FALSE),VLOOKUP(A135,Cotizador!$A$5:$J$43,4,FALSE)+VLOOKUP(A135,Cotizador!$A$5:$J$43,5,FALSE)))))</f>
        <v>#N/A</v>
      </c>
      <c r="I135" s="147" t="e">
        <f>IF(A135="","",VLOOKUP(A135,Cotizador!$A$5:$J$43,6,FALSE))</f>
        <v>#N/A</v>
      </c>
      <c r="J135" s="147" t="e">
        <f>IF(A135="","",VLOOKUP(A135,Cotizador!$A$5:$J$43,7,FALSE))</f>
        <v>#N/A</v>
      </c>
      <c r="K135" s="172" t="e">
        <f t="shared" si="29"/>
        <v>#N/A</v>
      </c>
      <c r="L135" s="147" t="e">
        <f>IF(A135="","",IF(D135="Sin estampar",VLOOKUP(A135,Cotizador!$A$5:$J$43,8,FALSE),IF(D135="Pecho",VLOOKUP(A135,Cotizador!$A$5:$J$43,10,FALSE),VLOOKUP(A135,Cotizador!$A$5:$J$43,9,FALSE))))</f>
        <v>#N/A</v>
      </c>
      <c r="M135" s="173" t="e">
        <f t="shared" si="30"/>
        <v>#N/A</v>
      </c>
      <c r="N135" s="147" t="e">
        <f t="shared" si="31"/>
        <v>#N/A</v>
      </c>
      <c r="O135" s="157"/>
      <c r="P135" s="157" t="e">
        <f t="shared" si="32"/>
        <v>#N/A</v>
      </c>
      <c r="Q135" s="174" t="str">
        <f t="shared" si="33"/>
        <v>Chompa Capucha M Verde Botella</v>
      </c>
      <c r="R135" s="147"/>
      <c r="S135" s="185"/>
      <c r="T135" s="186">
        <f t="shared" si="34"/>
        <v>0</v>
      </c>
      <c r="V135" s="51" t="e">
        <f t="shared" si="35"/>
        <v>#N/A</v>
      </c>
      <c r="Y135" s="147" t="e">
        <f t="shared" si="36"/>
        <v>#N/A</v>
      </c>
      <c r="Z135" s="177" t="e">
        <f t="shared" si="37"/>
        <v>#N/A</v>
      </c>
      <c r="AA135" s="178"/>
      <c r="AB135" s="178" t="e">
        <f t="shared" si="38"/>
        <v>#N/A</v>
      </c>
      <c r="AC135" s="179" t="e">
        <f t="shared" si="39"/>
        <v>#N/A</v>
      </c>
      <c r="AD135" s="147" t="e">
        <f t="shared" si="40"/>
        <v>#N/A</v>
      </c>
      <c r="AE135" s="157" t="e">
        <f t="shared" si="41"/>
        <v>#N/A</v>
      </c>
      <c r="AF135" s="179" t="e">
        <f t="shared" si="42"/>
        <v>#N/A</v>
      </c>
      <c r="AG135" s="147" t="e">
        <f t="shared" si="43"/>
        <v>#N/A</v>
      </c>
      <c r="AH135" s="157" t="e">
        <f t="shared" si="44"/>
        <v>#N/A</v>
      </c>
      <c r="AI135" s="179" t="e">
        <f t="shared" si="49"/>
        <v>#N/A</v>
      </c>
      <c r="AJ135" s="147" t="e">
        <f t="shared" si="46"/>
        <v>#N/A</v>
      </c>
      <c r="AK135" s="157" t="e">
        <f t="shared" si="47"/>
        <v>#N/A</v>
      </c>
    </row>
    <row r="136" spans="1:37" ht="14.25" hidden="1" customHeight="1" x14ac:dyDescent="0.3">
      <c r="A136" s="168" t="s">
        <v>288</v>
      </c>
      <c r="B136" s="168" t="s">
        <v>207</v>
      </c>
      <c r="C136" s="168" t="s">
        <v>923</v>
      </c>
      <c r="D136" s="168" t="s">
        <v>922</v>
      </c>
      <c r="E136" s="169">
        <v>2</v>
      </c>
      <c r="F136" s="170" t="e">
        <f>IF(A136="","",VLOOKUP(A136,Cotizador!$A$5:$J$43,2,FALSE))</f>
        <v>#N/A</v>
      </c>
      <c r="G136" s="171" t="e">
        <f>IF(A136="","",VLOOKUP(A136,Cotizador!$A$5:$J$43,3,FALSE))</f>
        <v>#N/A</v>
      </c>
      <c r="H136" s="147" t="e">
        <f>IF(OR(A136="",D136=""),"",IF(D136="Sin estampar",0,IF(D136="Pecho",VLOOKUP(A136,Cotizador!$A$5:$J$43,4,FALSE),IF(D136="Espalda",VLOOKUP(A136,Cotizador!$A$5:$J$43,5,FALSE),VLOOKUP(A136,Cotizador!$A$5:$J$43,4,FALSE)+VLOOKUP(A136,Cotizador!$A$5:$J$43,5,FALSE)))))</f>
        <v>#N/A</v>
      </c>
      <c r="I136" s="147" t="e">
        <f>IF(A136="","",VLOOKUP(A136,Cotizador!$A$5:$J$43,6,FALSE))</f>
        <v>#N/A</v>
      </c>
      <c r="J136" s="147" t="e">
        <f>IF(A136="","",VLOOKUP(A136,Cotizador!$A$5:$J$43,7,FALSE))</f>
        <v>#N/A</v>
      </c>
      <c r="K136" s="172" t="e">
        <f t="shared" si="29"/>
        <v>#N/A</v>
      </c>
      <c r="L136" s="147" t="e">
        <f>IF(A136="","",IF(D136="Sin estampar",VLOOKUP(A136,Cotizador!$A$5:$J$43,8,FALSE),IF(D136="Pecho",VLOOKUP(A136,Cotizador!$A$5:$J$43,10,FALSE),VLOOKUP(A136,Cotizador!$A$5:$J$43,9,FALSE))))</f>
        <v>#N/A</v>
      </c>
      <c r="M136" s="173" t="e">
        <f t="shared" si="30"/>
        <v>#N/A</v>
      </c>
      <c r="N136" s="147" t="e">
        <f t="shared" si="31"/>
        <v>#N/A</v>
      </c>
      <c r="O136" s="157"/>
      <c r="P136" s="157" t="e">
        <f t="shared" si="32"/>
        <v>#N/A</v>
      </c>
      <c r="Q136" s="174" t="str">
        <f t="shared" si="33"/>
        <v>Chompa Capucha L Verde Botella</v>
      </c>
      <c r="R136" s="147"/>
      <c r="S136" s="185"/>
      <c r="T136" s="186">
        <f t="shared" si="34"/>
        <v>0</v>
      </c>
      <c r="V136" s="51" t="e">
        <f t="shared" si="35"/>
        <v>#N/A</v>
      </c>
      <c r="Y136" s="147" t="e">
        <f t="shared" si="36"/>
        <v>#N/A</v>
      </c>
      <c r="Z136" s="177" t="e">
        <f t="shared" si="37"/>
        <v>#N/A</v>
      </c>
      <c r="AA136" s="178"/>
      <c r="AB136" s="178" t="e">
        <f t="shared" si="38"/>
        <v>#N/A</v>
      </c>
      <c r="AC136" s="179" t="e">
        <f t="shared" si="39"/>
        <v>#N/A</v>
      </c>
      <c r="AD136" s="147" t="e">
        <f t="shared" si="40"/>
        <v>#N/A</v>
      </c>
      <c r="AE136" s="157" t="e">
        <f t="shared" si="41"/>
        <v>#N/A</v>
      </c>
      <c r="AF136" s="179" t="e">
        <f t="shared" si="42"/>
        <v>#N/A</v>
      </c>
      <c r="AG136" s="147" t="e">
        <f t="shared" si="43"/>
        <v>#N/A</v>
      </c>
      <c r="AH136" s="157" t="e">
        <f t="shared" si="44"/>
        <v>#N/A</v>
      </c>
      <c r="AI136" s="179" t="e">
        <f t="shared" si="49"/>
        <v>#N/A</v>
      </c>
      <c r="AJ136" s="147" t="e">
        <f t="shared" si="46"/>
        <v>#N/A</v>
      </c>
      <c r="AK136" s="157" t="e">
        <f t="shared" si="47"/>
        <v>#N/A</v>
      </c>
    </row>
    <row r="137" spans="1:37" ht="14.25" hidden="1" customHeight="1" x14ac:dyDescent="0.3">
      <c r="A137" s="168" t="s">
        <v>288</v>
      </c>
      <c r="B137" s="168" t="s">
        <v>200</v>
      </c>
      <c r="C137" s="168" t="s">
        <v>921</v>
      </c>
      <c r="D137" s="168" t="s">
        <v>922</v>
      </c>
      <c r="E137" s="169">
        <v>1</v>
      </c>
      <c r="F137" s="170" t="e">
        <f>IF(A137="","",VLOOKUP(A137,Cotizador!$A$5:$J$43,2,FALSE))</f>
        <v>#N/A</v>
      </c>
      <c r="G137" s="171" t="e">
        <f>IF(A137="","",VLOOKUP(A137,Cotizador!$A$5:$J$43,3,FALSE))</f>
        <v>#N/A</v>
      </c>
      <c r="H137" s="147" t="e">
        <f>IF(OR(A137="",D137=""),"",IF(D137="Sin estampar",0,IF(D137="Pecho",VLOOKUP(A137,Cotizador!$A$5:$J$43,4,FALSE),IF(D137="Espalda",VLOOKUP(A137,Cotizador!$A$5:$J$43,5,FALSE),VLOOKUP(A137,Cotizador!$A$5:$J$43,4,FALSE)+VLOOKUP(A137,Cotizador!$A$5:$J$43,5,FALSE)))))</f>
        <v>#N/A</v>
      </c>
      <c r="I137" s="147" t="e">
        <f>IF(A137="","",VLOOKUP(A137,Cotizador!$A$5:$J$43,6,FALSE))</f>
        <v>#N/A</v>
      </c>
      <c r="J137" s="147" t="e">
        <f>IF(A137="","",VLOOKUP(A137,Cotizador!$A$5:$J$43,7,FALSE))</f>
        <v>#N/A</v>
      </c>
      <c r="K137" s="172" t="e">
        <f t="shared" si="29"/>
        <v>#N/A</v>
      </c>
      <c r="L137" s="147" t="e">
        <f>IF(A137="","",IF(D137="Sin estampar",VLOOKUP(A137,Cotizador!$A$5:$J$43,8,FALSE),IF(D137="Pecho",VLOOKUP(A137,Cotizador!$A$5:$J$43,10,FALSE),VLOOKUP(A137,Cotizador!$A$5:$J$43,9,FALSE))))</f>
        <v>#N/A</v>
      </c>
      <c r="M137" s="173" t="e">
        <f t="shared" si="30"/>
        <v>#N/A</v>
      </c>
      <c r="N137" s="147" t="e">
        <f t="shared" si="31"/>
        <v>#N/A</v>
      </c>
      <c r="O137" s="157"/>
      <c r="P137" s="157" t="e">
        <f t="shared" si="32"/>
        <v>#N/A</v>
      </c>
      <c r="Q137" s="174" t="str">
        <f t="shared" si="33"/>
        <v>Chompa Capucha S Plomo Plata</v>
      </c>
      <c r="R137" s="147"/>
      <c r="S137" s="185"/>
      <c r="T137" s="186">
        <f t="shared" si="34"/>
        <v>0</v>
      </c>
      <c r="V137" s="51" t="e">
        <f t="shared" si="35"/>
        <v>#N/A</v>
      </c>
      <c r="Y137" s="147" t="e">
        <f t="shared" si="36"/>
        <v>#N/A</v>
      </c>
      <c r="Z137" s="177" t="e">
        <f t="shared" si="37"/>
        <v>#N/A</v>
      </c>
      <c r="AA137" s="178"/>
      <c r="AB137" s="178" t="e">
        <f t="shared" si="38"/>
        <v>#N/A</v>
      </c>
      <c r="AC137" s="179" t="e">
        <f t="shared" si="39"/>
        <v>#N/A</v>
      </c>
      <c r="AD137" s="147" t="e">
        <f t="shared" si="40"/>
        <v>#N/A</v>
      </c>
      <c r="AE137" s="157" t="e">
        <f t="shared" si="41"/>
        <v>#N/A</v>
      </c>
      <c r="AF137" s="179" t="e">
        <f t="shared" si="42"/>
        <v>#N/A</v>
      </c>
      <c r="AG137" s="147" t="e">
        <f t="shared" si="43"/>
        <v>#N/A</v>
      </c>
      <c r="AH137" s="157" t="e">
        <f t="shared" si="44"/>
        <v>#N/A</v>
      </c>
      <c r="AI137" s="179" t="e">
        <f t="shared" si="49"/>
        <v>#N/A</v>
      </c>
      <c r="AJ137" s="147" t="e">
        <f t="shared" si="46"/>
        <v>#N/A</v>
      </c>
      <c r="AK137" s="157" t="e">
        <f t="shared" si="47"/>
        <v>#N/A</v>
      </c>
    </row>
    <row r="138" spans="1:37" ht="14.25" hidden="1" customHeight="1" x14ac:dyDescent="0.3">
      <c r="A138" s="168" t="s">
        <v>288</v>
      </c>
      <c r="B138" s="168" t="s">
        <v>204</v>
      </c>
      <c r="C138" s="168" t="s">
        <v>921</v>
      </c>
      <c r="D138" s="168" t="s">
        <v>922</v>
      </c>
      <c r="E138" s="169">
        <v>2</v>
      </c>
      <c r="F138" s="170" t="e">
        <f>IF(A138="","",VLOOKUP(A138,Cotizador!$A$5:$J$43,2,FALSE))</f>
        <v>#N/A</v>
      </c>
      <c r="G138" s="171" t="e">
        <f>IF(A138="","",VLOOKUP(A138,Cotizador!$A$5:$J$43,3,FALSE))</f>
        <v>#N/A</v>
      </c>
      <c r="H138" s="147" t="e">
        <f>IF(OR(A138="",D138=""),"",IF(D138="Sin estampar",0,IF(D138="Pecho",VLOOKUP(A138,Cotizador!$A$5:$J$43,4,FALSE),IF(D138="Espalda",VLOOKUP(A138,Cotizador!$A$5:$J$43,5,FALSE),VLOOKUP(A138,Cotizador!$A$5:$J$43,4,FALSE)+VLOOKUP(A138,Cotizador!$A$5:$J$43,5,FALSE)))))</f>
        <v>#N/A</v>
      </c>
      <c r="I138" s="147" t="e">
        <f>IF(A138="","",VLOOKUP(A138,Cotizador!$A$5:$J$43,6,FALSE))</f>
        <v>#N/A</v>
      </c>
      <c r="J138" s="147" t="e">
        <f>IF(A138="","",VLOOKUP(A138,Cotizador!$A$5:$J$43,7,FALSE))</f>
        <v>#N/A</v>
      </c>
      <c r="K138" s="172" t="e">
        <f t="shared" si="29"/>
        <v>#N/A</v>
      </c>
      <c r="L138" s="147" t="e">
        <f>IF(A138="","",IF(D138="Sin estampar",VLOOKUP(A138,Cotizador!$A$5:$J$43,8,FALSE),IF(D138="Pecho",VLOOKUP(A138,Cotizador!$A$5:$J$43,10,FALSE),VLOOKUP(A138,Cotizador!$A$5:$J$43,9,FALSE))))</f>
        <v>#N/A</v>
      </c>
      <c r="M138" s="173" t="e">
        <f t="shared" si="30"/>
        <v>#N/A</v>
      </c>
      <c r="N138" s="147" t="e">
        <f t="shared" si="31"/>
        <v>#N/A</v>
      </c>
      <c r="O138" s="157"/>
      <c r="P138" s="157" t="e">
        <f t="shared" si="32"/>
        <v>#N/A</v>
      </c>
      <c r="Q138" s="174" t="str">
        <f t="shared" si="33"/>
        <v>Chompa Capucha M Plomo Plata</v>
      </c>
      <c r="R138" s="147"/>
      <c r="S138" s="185"/>
      <c r="T138" s="186">
        <f t="shared" si="34"/>
        <v>0</v>
      </c>
      <c r="V138" s="51" t="e">
        <f t="shared" si="35"/>
        <v>#N/A</v>
      </c>
      <c r="Y138" s="147" t="e">
        <f t="shared" si="36"/>
        <v>#N/A</v>
      </c>
      <c r="Z138" s="177" t="e">
        <f t="shared" si="37"/>
        <v>#N/A</v>
      </c>
      <c r="AA138" s="178"/>
      <c r="AB138" s="178" t="e">
        <f t="shared" si="38"/>
        <v>#N/A</v>
      </c>
      <c r="AC138" s="179" t="e">
        <f t="shared" si="39"/>
        <v>#N/A</v>
      </c>
      <c r="AD138" s="147" t="e">
        <f t="shared" si="40"/>
        <v>#N/A</v>
      </c>
      <c r="AE138" s="157" t="e">
        <f t="shared" si="41"/>
        <v>#N/A</v>
      </c>
      <c r="AF138" s="179" t="e">
        <f t="shared" si="42"/>
        <v>#N/A</v>
      </c>
      <c r="AG138" s="147" t="e">
        <f t="shared" si="43"/>
        <v>#N/A</v>
      </c>
      <c r="AH138" s="157" t="e">
        <f t="shared" si="44"/>
        <v>#N/A</v>
      </c>
      <c r="AI138" s="179" t="e">
        <f t="shared" si="49"/>
        <v>#N/A</v>
      </c>
      <c r="AJ138" s="147" t="e">
        <f t="shared" si="46"/>
        <v>#N/A</v>
      </c>
      <c r="AK138" s="157" t="e">
        <f t="shared" si="47"/>
        <v>#N/A</v>
      </c>
    </row>
    <row r="139" spans="1:37" ht="14.25" hidden="1" customHeight="1" x14ac:dyDescent="0.3">
      <c r="A139" s="168" t="s">
        <v>288</v>
      </c>
      <c r="B139" s="168" t="s">
        <v>207</v>
      </c>
      <c r="C139" s="168" t="s">
        <v>921</v>
      </c>
      <c r="D139" s="168" t="s">
        <v>922</v>
      </c>
      <c r="E139" s="169">
        <v>2</v>
      </c>
      <c r="F139" s="170" t="e">
        <f>IF(A139="","",VLOOKUP(A139,Cotizador!$A$5:$J$43,2,FALSE))</f>
        <v>#N/A</v>
      </c>
      <c r="G139" s="171" t="e">
        <f>IF(A139="","",VLOOKUP(A139,Cotizador!$A$5:$J$43,3,FALSE))</f>
        <v>#N/A</v>
      </c>
      <c r="H139" s="147" t="e">
        <f>IF(OR(A139="",D139=""),"",IF(D139="Sin estampar",0,IF(D139="Pecho",VLOOKUP(A139,Cotizador!$A$5:$J$43,4,FALSE),IF(D139="Espalda",VLOOKUP(A139,Cotizador!$A$5:$J$43,5,FALSE),VLOOKUP(A139,Cotizador!$A$5:$J$43,4,FALSE)+VLOOKUP(A139,Cotizador!$A$5:$J$43,5,FALSE)))))</f>
        <v>#N/A</v>
      </c>
      <c r="I139" s="147" t="e">
        <f>IF(A139="","",VLOOKUP(A139,Cotizador!$A$5:$J$43,6,FALSE))</f>
        <v>#N/A</v>
      </c>
      <c r="J139" s="147" t="e">
        <f>IF(A139="","",VLOOKUP(A139,Cotizador!$A$5:$J$43,7,FALSE))</f>
        <v>#N/A</v>
      </c>
      <c r="K139" s="172" t="e">
        <f t="shared" si="29"/>
        <v>#N/A</v>
      </c>
      <c r="L139" s="147" t="e">
        <f>IF(A139="","",IF(D139="Sin estampar",VLOOKUP(A139,Cotizador!$A$5:$J$43,8,FALSE),IF(D139="Pecho",VLOOKUP(A139,Cotizador!$A$5:$J$43,10,FALSE),VLOOKUP(A139,Cotizador!$A$5:$J$43,9,FALSE))))</f>
        <v>#N/A</v>
      </c>
      <c r="M139" s="173" t="e">
        <f t="shared" si="30"/>
        <v>#N/A</v>
      </c>
      <c r="N139" s="147" t="e">
        <f t="shared" si="31"/>
        <v>#N/A</v>
      </c>
      <c r="O139" s="157"/>
      <c r="P139" s="157" t="e">
        <f t="shared" si="32"/>
        <v>#N/A</v>
      </c>
      <c r="Q139" s="174" t="str">
        <f t="shared" si="33"/>
        <v>Chompa Capucha L Plomo Plata</v>
      </c>
      <c r="R139" s="147"/>
      <c r="S139" s="185"/>
      <c r="T139" s="186">
        <f t="shared" si="34"/>
        <v>0</v>
      </c>
      <c r="V139" s="51" t="e">
        <f t="shared" si="35"/>
        <v>#N/A</v>
      </c>
      <c r="Y139" s="147" t="e">
        <f t="shared" si="36"/>
        <v>#N/A</v>
      </c>
      <c r="Z139" s="177" t="e">
        <f t="shared" si="37"/>
        <v>#N/A</v>
      </c>
      <c r="AA139" s="178"/>
      <c r="AB139" s="178" t="e">
        <f t="shared" si="38"/>
        <v>#N/A</v>
      </c>
      <c r="AC139" s="179" t="e">
        <f t="shared" si="39"/>
        <v>#N/A</v>
      </c>
      <c r="AD139" s="147" t="e">
        <f t="shared" si="40"/>
        <v>#N/A</v>
      </c>
      <c r="AE139" s="157" t="e">
        <f t="shared" si="41"/>
        <v>#N/A</v>
      </c>
      <c r="AF139" s="179" t="e">
        <f t="shared" si="42"/>
        <v>#N/A</v>
      </c>
      <c r="AG139" s="147" t="e">
        <f t="shared" si="43"/>
        <v>#N/A</v>
      </c>
      <c r="AH139" s="157" t="e">
        <f t="shared" si="44"/>
        <v>#N/A</v>
      </c>
      <c r="AI139" s="179" t="e">
        <f t="shared" si="49"/>
        <v>#N/A</v>
      </c>
      <c r="AJ139" s="147" t="e">
        <f t="shared" si="46"/>
        <v>#N/A</v>
      </c>
      <c r="AK139" s="157" t="e">
        <f t="shared" si="47"/>
        <v>#N/A</v>
      </c>
    </row>
    <row r="140" spans="1:37" ht="14.25" hidden="1" customHeight="1" x14ac:dyDescent="0.3">
      <c r="A140" s="168" t="s">
        <v>313</v>
      </c>
      <c r="B140" s="168" t="s">
        <v>204</v>
      </c>
      <c r="C140" s="168" t="s">
        <v>201</v>
      </c>
      <c r="D140" s="168" t="s">
        <v>917</v>
      </c>
      <c r="E140" s="169">
        <v>2</v>
      </c>
      <c r="F140" s="170" t="e">
        <f>IF(A140="","",VLOOKUP(A140,Cotizador!$A$5:$J$43,2,FALSE))</f>
        <v>#N/A</v>
      </c>
      <c r="G140" s="171" t="e">
        <f>IF(A140="","",VLOOKUP(A140,Cotizador!$A$5:$J$43,3,FALSE))</f>
        <v>#N/A</v>
      </c>
      <c r="H140" s="147">
        <f>IF(OR(A140="",D140=""),"",IF(D140="Sin estampar",0,IF(D140="Pecho",VLOOKUP(A140,Cotizador!$A$5:$J$43,4,FALSE),IF(D140="Espalda",VLOOKUP(A140,Cotizador!$A$5:$J$43,5,FALSE),VLOOKUP(A140,Cotizador!$A$5:$J$43,4,FALSE)+VLOOKUP(A140,Cotizador!$A$5:$J$43,5,FALSE)))))</f>
        <v>0</v>
      </c>
      <c r="I140" s="147" t="e">
        <f>IF(A140="","",VLOOKUP(A140,Cotizador!$A$5:$J$43,6,FALSE))</f>
        <v>#N/A</v>
      </c>
      <c r="J140" s="147" t="e">
        <f>IF(A140="","",VLOOKUP(A140,Cotizador!$A$5:$J$43,7,FALSE))</f>
        <v>#N/A</v>
      </c>
      <c r="K140" s="172" t="e">
        <f t="shared" si="29"/>
        <v>#N/A</v>
      </c>
      <c r="L140" s="147" t="e">
        <f>IF(A140="","",IF(D140="Sin estampar",VLOOKUP(A140,Cotizador!$A$5:$J$43,8,FALSE),IF(D140="Pecho",VLOOKUP(A140,Cotizador!$A$5:$J$43,10,FALSE),VLOOKUP(A140,Cotizador!$A$5:$J$43,9,FALSE))))</f>
        <v>#N/A</v>
      </c>
      <c r="M140" s="173" t="e">
        <f t="shared" si="30"/>
        <v>#N/A</v>
      </c>
      <c r="N140" s="147" t="e">
        <f t="shared" si="31"/>
        <v>#N/A</v>
      </c>
      <c r="O140" s="157"/>
      <c r="P140" s="157" t="e">
        <f t="shared" si="32"/>
        <v>#N/A</v>
      </c>
      <c r="Q140" s="174" t="str">
        <f t="shared" si="33"/>
        <v>Buzo Cuello Redondo Oversized M Negro</v>
      </c>
      <c r="R140" s="147"/>
      <c r="S140" s="185"/>
      <c r="T140" s="186">
        <f t="shared" si="34"/>
        <v>0</v>
      </c>
      <c r="V140" s="51" t="e">
        <f t="shared" si="35"/>
        <v>#N/A</v>
      </c>
      <c r="Y140" s="147" t="e">
        <f t="shared" si="36"/>
        <v>#N/A</v>
      </c>
      <c r="Z140" s="177" t="e">
        <f t="shared" si="37"/>
        <v>#N/A</v>
      </c>
      <c r="AA140" s="178"/>
      <c r="AB140" s="178" t="e">
        <f t="shared" si="38"/>
        <v>#N/A</v>
      </c>
      <c r="AC140" s="179" t="e">
        <f t="shared" si="39"/>
        <v>#N/A</v>
      </c>
      <c r="AD140" s="147" t="e">
        <f t="shared" si="40"/>
        <v>#N/A</v>
      </c>
      <c r="AE140" s="157" t="e">
        <f t="shared" si="41"/>
        <v>#N/A</v>
      </c>
      <c r="AF140" s="179" t="e">
        <f t="shared" si="42"/>
        <v>#N/A</v>
      </c>
      <c r="AG140" s="147" t="e">
        <f t="shared" si="43"/>
        <v>#N/A</v>
      </c>
      <c r="AH140" s="157" t="e">
        <f t="shared" si="44"/>
        <v>#N/A</v>
      </c>
      <c r="AI140" s="179" t="e">
        <f t="shared" si="49"/>
        <v>#N/A</v>
      </c>
      <c r="AJ140" s="147" t="e">
        <f t="shared" si="46"/>
        <v>#N/A</v>
      </c>
      <c r="AK140" s="157" t="e">
        <f t="shared" si="47"/>
        <v>#N/A</v>
      </c>
    </row>
    <row r="141" spans="1:37" ht="14.25" hidden="1" customHeight="1" x14ac:dyDescent="0.3">
      <c r="A141" s="168" t="s">
        <v>313</v>
      </c>
      <c r="B141" s="168" t="s">
        <v>207</v>
      </c>
      <c r="C141" s="168" t="s">
        <v>201</v>
      </c>
      <c r="D141" s="168" t="s">
        <v>917</v>
      </c>
      <c r="E141" s="169">
        <v>2</v>
      </c>
      <c r="F141" s="170" t="e">
        <f>IF(A141="","",VLOOKUP(A141,Cotizador!$A$5:$J$43,2,FALSE))</f>
        <v>#N/A</v>
      </c>
      <c r="G141" s="171" t="e">
        <f>IF(A141="","",VLOOKUP(A141,Cotizador!$A$5:$J$43,3,FALSE))</f>
        <v>#N/A</v>
      </c>
      <c r="H141" s="147">
        <f>IF(OR(A141="",D141=""),"",IF(D141="Sin estampar",0,IF(D141="Pecho",VLOOKUP(A141,Cotizador!$A$5:$J$43,4,FALSE),IF(D141="Espalda",VLOOKUP(A141,Cotizador!$A$5:$J$43,5,FALSE),VLOOKUP(A141,Cotizador!$A$5:$J$43,4,FALSE)+VLOOKUP(A141,Cotizador!$A$5:$J$43,5,FALSE)))))</f>
        <v>0</v>
      </c>
      <c r="I141" s="147" t="e">
        <f>IF(A141="","",VLOOKUP(A141,Cotizador!$A$5:$J$43,6,FALSE))</f>
        <v>#N/A</v>
      </c>
      <c r="J141" s="147" t="e">
        <f>IF(A141="","",VLOOKUP(A141,Cotizador!$A$5:$J$43,7,FALSE))</f>
        <v>#N/A</v>
      </c>
      <c r="K141" s="172" t="e">
        <f t="shared" si="29"/>
        <v>#N/A</v>
      </c>
      <c r="L141" s="147" t="e">
        <f>IF(A141="","",IF(D141="Sin estampar",VLOOKUP(A141,Cotizador!$A$5:$J$43,8,FALSE),IF(D141="Pecho",VLOOKUP(A141,Cotizador!$A$5:$J$43,10,FALSE),VLOOKUP(A141,Cotizador!$A$5:$J$43,9,FALSE))))</f>
        <v>#N/A</v>
      </c>
      <c r="M141" s="173" t="e">
        <f t="shared" si="30"/>
        <v>#N/A</v>
      </c>
      <c r="N141" s="147" t="e">
        <f t="shared" si="31"/>
        <v>#N/A</v>
      </c>
      <c r="O141" s="157"/>
      <c r="P141" s="157" t="e">
        <f t="shared" si="32"/>
        <v>#N/A</v>
      </c>
      <c r="Q141" s="174" t="str">
        <f t="shared" si="33"/>
        <v>Buzo Cuello Redondo Oversized L Negro</v>
      </c>
      <c r="R141" s="147"/>
      <c r="S141" s="185"/>
      <c r="T141" s="186">
        <f t="shared" si="34"/>
        <v>0</v>
      </c>
      <c r="V141" s="51" t="e">
        <f t="shared" si="35"/>
        <v>#N/A</v>
      </c>
      <c r="Y141" s="147" t="e">
        <f t="shared" si="36"/>
        <v>#N/A</v>
      </c>
      <c r="Z141" s="177" t="e">
        <f t="shared" si="37"/>
        <v>#N/A</v>
      </c>
      <c r="AA141" s="178"/>
      <c r="AB141" s="178" t="e">
        <f t="shared" si="38"/>
        <v>#N/A</v>
      </c>
      <c r="AC141" s="179" t="e">
        <f t="shared" si="39"/>
        <v>#N/A</v>
      </c>
      <c r="AD141" s="147" t="e">
        <f t="shared" si="40"/>
        <v>#N/A</v>
      </c>
      <c r="AE141" s="157" t="e">
        <f t="shared" si="41"/>
        <v>#N/A</v>
      </c>
      <c r="AF141" s="179" t="e">
        <f t="shared" si="42"/>
        <v>#N/A</v>
      </c>
      <c r="AG141" s="147" t="e">
        <f t="shared" si="43"/>
        <v>#N/A</v>
      </c>
      <c r="AH141" s="157" t="e">
        <f t="shared" si="44"/>
        <v>#N/A</v>
      </c>
      <c r="AI141" s="179" t="e">
        <f t="shared" si="49"/>
        <v>#N/A</v>
      </c>
      <c r="AJ141" s="147" t="e">
        <f t="shared" si="46"/>
        <v>#N/A</v>
      </c>
      <c r="AK141" s="157" t="e">
        <f t="shared" si="47"/>
        <v>#N/A</v>
      </c>
    </row>
    <row r="142" spans="1:37" ht="14.25" hidden="1" customHeight="1" x14ac:dyDescent="0.3">
      <c r="A142" s="168" t="s">
        <v>313</v>
      </c>
      <c r="B142" s="168" t="s">
        <v>210</v>
      </c>
      <c r="C142" s="168" t="s">
        <v>201</v>
      </c>
      <c r="D142" s="168" t="s">
        <v>917</v>
      </c>
      <c r="E142" s="169">
        <v>2</v>
      </c>
      <c r="F142" s="170" t="e">
        <f>IF(A142="","",VLOOKUP(A142,Cotizador!$A$5:$J$43,2,FALSE))</f>
        <v>#N/A</v>
      </c>
      <c r="G142" s="171" t="e">
        <f>IF(A142="","",VLOOKUP(A142,Cotizador!$A$5:$J$43,3,FALSE))</f>
        <v>#N/A</v>
      </c>
      <c r="H142" s="147">
        <f>IF(OR(A142="",D142=""),"",IF(D142="Sin estampar",0,IF(D142="Pecho",VLOOKUP(A142,Cotizador!$A$5:$J$43,4,FALSE),IF(D142="Espalda",VLOOKUP(A142,Cotizador!$A$5:$J$43,5,FALSE),VLOOKUP(A142,Cotizador!$A$5:$J$43,4,FALSE)+VLOOKUP(A142,Cotizador!$A$5:$J$43,5,FALSE)))))</f>
        <v>0</v>
      </c>
      <c r="I142" s="147" t="e">
        <f>IF(A142="","",VLOOKUP(A142,Cotizador!$A$5:$J$43,6,FALSE))</f>
        <v>#N/A</v>
      </c>
      <c r="J142" s="147" t="e">
        <f>IF(A142="","",VLOOKUP(A142,Cotizador!$A$5:$J$43,7,FALSE))</f>
        <v>#N/A</v>
      </c>
      <c r="K142" s="172" t="e">
        <f t="shared" si="29"/>
        <v>#N/A</v>
      </c>
      <c r="L142" s="147" t="e">
        <f>IF(A142="","",IF(D142="Sin estampar",VLOOKUP(A142,Cotizador!$A$5:$J$43,8,FALSE),IF(D142="Pecho",VLOOKUP(A142,Cotizador!$A$5:$J$43,10,FALSE),VLOOKUP(A142,Cotizador!$A$5:$J$43,9,FALSE))))</f>
        <v>#N/A</v>
      </c>
      <c r="M142" s="173" t="e">
        <f t="shared" si="30"/>
        <v>#N/A</v>
      </c>
      <c r="N142" s="147" t="e">
        <f t="shared" si="31"/>
        <v>#N/A</v>
      </c>
      <c r="O142" s="157"/>
      <c r="P142" s="157" t="e">
        <f t="shared" si="32"/>
        <v>#N/A</v>
      </c>
      <c r="Q142" s="174" t="str">
        <f t="shared" si="33"/>
        <v>Buzo Cuello Redondo Oversized XL Negro</v>
      </c>
      <c r="R142" s="147"/>
      <c r="S142" s="185"/>
      <c r="T142" s="186">
        <f t="shared" si="34"/>
        <v>0</v>
      </c>
      <c r="V142" s="51" t="e">
        <f t="shared" si="35"/>
        <v>#N/A</v>
      </c>
      <c r="Y142" s="147" t="e">
        <f t="shared" si="36"/>
        <v>#N/A</v>
      </c>
      <c r="Z142" s="177" t="e">
        <f t="shared" si="37"/>
        <v>#N/A</v>
      </c>
      <c r="AA142" s="178"/>
      <c r="AB142" s="178" t="e">
        <f t="shared" si="38"/>
        <v>#N/A</v>
      </c>
      <c r="AC142" s="179" t="e">
        <f t="shared" si="39"/>
        <v>#N/A</v>
      </c>
      <c r="AD142" s="147" t="e">
        <f t="shared" si="40"/>
        <v>#N/A</v>
      </c>
      <c r="AE142" s="157" t="e">
        <f t="shared" si="41"/>
        <v>#N/A</v>
      </c>
      <c r="AF142" s="179" t="e">
        <f t="shared" si="42"/>
        <v>#N/A</v>
      </c>
      <c r="AG142" s="147" t="e">
        <f t="shared" si="43"/>
        <v>#N/A</v>
      </c>
      <c r="AH142" s="157" t="e">
        <f t="shared" si="44"/>
        <v>#N/A</v>
      </c>
      <c r="AI142" s="179" t="e">
        <f t="shared" si="49"/>
        <v>#N/A</v>
      </c>
      <c r="AJ142" s="147" t="e">
        <f t="shared" si="46"/>
        <v>#N/A</v>
      </c>
      <c r="AK142" s="157" t="e">
        <f t="shared" si="47"/>
        <v>#N/A</v>
      </c>
    </row>
    <row r="143" spans="1:37" ht="14.25" hidden="1" customHeight="1" x14ac:dyDescent="0.3">
      <c r="A143" s="168" t="s">
        <v>313</v>
      </c>
      <c r="B143" s="168" t="s">
        <v>204</v>
      </c>
      <c r="C143" s="168" t="s">
        <v>920</v>
      </c>
      <c r="D143" s="168" t="s">
        <v>917</v>
      </c>
      <c r="E143" s="169">
        <v>2</v>
      </c>
      <c r="F143" s="170" t="e">
        <f>IF(A143="","",VLOOKUP(A143,Cotizador!$A$5:$J$43,2,FALSE))</f>
        <v>#N/A</v>
      </c>
      <c r="G143" s="171" t="e">
        <f>IF(A143="","",VLOOKUP(A143,Cotizador!$A$5:$J$43,3,FALSE))</f>
        <v>#N/A</v>
      </c>
      <c r="H143" s="147">
        <f>IF(OR(A143="",D143=""),"",IF(D143="Sin estampar",0,IF(D143="Pecho",VLOOKUP(A143,Cotizador!$A$5:$J$43,4,FALSE),IF(D143="Espalda",VLOOKUP(A143,Cotizador!$A$5:$J$43,5,FALSE),VLOOKUP(A143,Cotizador!$A$5:$J$43,4,FALSE)+VLOOKUP(A143,Cotizador!$A$5:$J$43,5,FALSE)))))</f>
        <v>0</v>
      </c>
      <c r="I143" s="147" t="e">
        <f>IF(A143="","",VLOOKUP(A143,Cotizador!$A$5:$J$43,6,FALSE))</f>
        <v>#N/A</v>
      </c>
      <c r="J143" s="147" t="e">
        <f>IF(A143="","",VLOOKUP(A143,Cotizador!$A$5:$J$43,7,FALSE))</f>
        <v>#N/A</v>
      </c>
      <c r="K143" s="172" t="e">
        <f t="shared" si="29"/>
        <v>#N/A</v>
      </c>
      <c r="L143" s="147" t="e">
        <f>IF(A143="","",IF(D143="Sin estampar",VLOOKUP(A143,Cotizador!$A$5:$J$43,8,FALSE),IF(D143="Pecho",VLOOKUP(A143,Cotizador!$A$5:$J$43,10,FALSE),VLOOKUP(A143,Cotizador!$A$5:$J$43,9,FALSE))))</f>
        <v>#N/A</v>
      </c>
      <c r="M143" s="173" t="e">
        <f t="shared" si="30"/>
        <v>#N/A</v>
      </c>
      <c r="N143" s="147" t="e">
        <f t="shared" si="31"/>
        <v>#N/A</v>
      </c>
      <c r="O143" s="157"/>
      <c r="P143" s="157" t="e">
        <f t="shared" si="32"/>
        <v>#N/A</v>
      </c>
      <c r="Q143" s="174" t="str">
        <f t="shared" si="33"/>
        <v>Buzo Cuello Redondo Oversized M Beige</v>
      </c>
      <c r="R143" s="147"/>
      <c r="S143" s="185"/>
      <c r="T143" s="186">
        <f t="shared" si="34"/>
        <v>0</v>
      </c>
      <c r="V143" s="51" t="e">
        <f t="shared" si="35"/>
        <v>#N/A</v>
      </c>
      <c r="Y143" s="147" t="e">
        <f t="shared" si="36"/>
        <v>#N/A</v>
      </c>
      <c r="Z143" s="177" t="e">
        <f t="shared" si="37"/>
        <v>#N/A</v>
      </c>
      <c r="AA143" s="178"/>
      <c r="AB143" s="178" t="e">
        <f t="shared" si="38"/>
        <v>#N/A</v>
      </c>
      <c r="AC143" s="179" t="e">
        <f t="shared" si="39"/>
        <v>#N/A</v>
      </c>
      <c r="AD143" s="147" t="e">
        <f t="shared" si="40"/>
        <v>#N/A</v>
      </c>
      <c r="AE143" s="157" t="e">
        <f t="shared" si="41"/>
        <v>#N/A</v>
      </c>
      <c r="AF143" s="179" t="e">
        <f t="shared" si="42"/>
        <v>#N/A</v>
      </c>
      <c r="AG143" s="147" t="e">
        <f t="shared" si="43"/>
        <v>#N/A</v>
      </c>
      <c r="AH143" s="157" t="e">
        <f t="shared" si="44"/>
        <v>#N/A</v>
      </c>
      <c r="AI143" s="179" t="e">
        <f t="shared" si="49"/>
        <v>#N/A</v>
      </c>
      <c r="AJ143" s="147" t="e">
        <f t="shared" si="46"/>
        <v>#N/A</v>
      </c>
      <c r="AK143" s="157" t="e">
        <f t="shared" si="47"/>
        <v>#N/A</v>
      </c>
    </row>
    <row r="144" spans="1:37" ht="14.25" hidden="1" customHeight="1" x14ac:dyDescent="0.3">
      <c r="A144" s="168" t="s">
        <v>313</v>
      </c>
      <c r="B144" s="168" t="s">
        <v>207</v>
      </c>
      <c r="C144" s="168" t="s">
        <v>920</v>
      </c>
      <c r="D144" s="168" t="s">
        <v>917</v>
      </c>
      <c r="E144" s="169">
        <v>2</v>
      </c>
      <c r="F144" s="170" t="e">
        <f>IF(A144="","",VLOOKUP(A144,Cotizador!$A$5:$J$43,2,FALSE))</f>
        <v>#N/A</v>
      </c>
      <c r="G144" s="171" t="e">
        <f>IF(A144="","",VLOOKUP(A144,Cotizador!$A$5:$J$43,3,FALSE))</f>
        <v>#N/A</v>
      </c>
      <c r="H144" s="147">
        <f>IF(OR(A144="",D144=""),"",IF(D144="Sin estampar",0,IF(D144="Pecho",VLOOKUP(A144,Cotizador!$A$5:$J$43,4,FALSE),IF(D144="Espalda",VLOOKUP(A144,Cotizador!$A$5:$J$43,5,FALSE),VLOOKUP(A144,Cotizador!$A$5:$J$43,4,FALSE)+VLOOKUP(A144,Cotizador!$A$5:$J$43,5,FALSE)))))</f>
        <v>0</v>
      </c>
      <c r="I144" s="147" t="e">
        <f>IF(A144="","",VLOOKUP(A144,Cotizador!$A$5:$J$43,6,FALSE))</f>
        <v>#N/A</v>
      </c>
      <c r="J144" s="147" t="e">
        <f>IF(A144="","",VLOOKUP(A144,Cotizador!$A$5:$J$43,7,FALSE))</f>
        <v>#N/A</v>
      </c>
      <c r="K144" s="172" t="e">
        <f t="shared" si="29"/>
        <v>#N/A</v>
      </c>
      <c r="L144" s="147" t="e">
        <f>IF(A144="","",IF(D144="Sin estampar",VLOOKUP(A144,Cotizador!$A$5:$J$43,8,FALSE),IF(D144="Pecho",VLOOKUP(A144,Cotizador!$A$5:$J$43,10,FALSE),VLOOKUP(A144,Cotizador!$A$5:$J$43,9,FALSE))))</f>
        <v>#N/A</v>
      </c>
      <c r="M144" s="173" t="e">
        <f t="shared" si="30"/>
        <v>#N/A</v>
      </c>
      <c r="N144" s="147" t="e">
        <f t="shared" si="31"/>
        <v>#N/A</v>
      </c>
      <c r="O144" s="157"/>
      <c r="P144" s="157" t="e">
        <f t="shared" si="32"/>
        <v>#N/A</v>
      </c>
      <c r="Q144" s="174" t="str">
        <f t="shared" si="33"/>
        <v>Buzo Cuello Redondo Oversized L Beige</v>
      </c>
      <c r="R144" s="147"/>
      <c r="S144" s="185"/>
      <c r="T144" s="186">
        <f t="shared" si="34"/>
        <v>0</v>
      </c>
      <c r="V144" s="51" t="e">
        <f t="shared" si="35"/>
        <v>#N/A</v>
      </c>
      <c r="Y144" s="147" t="e">
        <f t="shared" si="36"/>
        <v>#N/A</v>
      </c>
      <c r="Z144" s="177" t="e">
        <f t="shared" si="37"/>
        <v>#N/A</v>
      </c>
      <c r="AA144" s="178"/>
      <c r="AB144" s="178" t="e">
        <f t="shared" si="38"/>
        <v>#N/A</v>
      </c>
      <c r="AC144" s="179" t="e">
        <f t="shared" si="39"/>
        <v>#N/A</v>
      </c>
      <c r="AD144" s="147" t="e">
        <f t="shared" si="40"/>
        <v>#N/A</v>
      </c>
      <c r="AE144" s="157" t="e">
        <f t="shared" si="41"/>
        <v>#N/A</v>
      </c>
      <c r="AF144" s="179" t="e">
        <f t="shared" si="42"/>
        <v>#N/A</v>
      </c>
      <c r="AG144" s="147" t="e">
        <f t="shared" si="43"/>
        <v>#N/A</v>
      </c>
      <c r="AH144" s="157" t="e">
        <f t="shared" si="44"/>
        <v>#N/A</v>
      </c>
      <c r="AI144" s="179" t="e">
        <f t="shared" si="49"/>
        <v>#N/A</v>
      </c>
      <c r="AJ144" s="147" t="e">
        <f t="shared" si="46"/>
        <v>#N/A</v>
      </c>
      <c r="AK144" s="157" t="e">
        <f t="shared" si="47"/>
        <v>#N/A</v>
      </c>
    </row>
    <row r="145" spans="1:37" ht="14.25" hidden="1" customHeight="1" x14ac:dyDescent="0.3">
      <c r="A145" s="168" t="s">
        <v>313</v>
      </c>
      <c r="B145" s="168" t="s">
        <v>210</v>
      </c>
      <c r="C145" s="168" t="s">
        <v>920</v>
      </c>
      <c r="D145" s="168" t="s">
        <v>917</v>
      </c>
      <c r="E145" s="169">
        <v>2</v>
      </c>
      <c r="F145" s="170" t="e">
        <f>IF(A145="","",VLOOKUP(A145,Cotizador!$A$5:$J$43,2,FALSE))</f>
        <v>#N/A</v>
      </c>
      <c r="G145" s="171" t="e">
        <f>IF(A145="","",VLOOKUP(A145,Cotizador!$A$5:$J$43,3,FALSE))</f>
        <v>#N/A</v>
      </c>
      <c r="H145" s="147">
        <f>IF(OR(A145="",D145=""),"",IF(D145="Sin estampar",0,IF(D145="Pecho",VLOOKUP(A145,Cotizador!$A$5:$J$43,4,FALSE),IF(D145="Espalda",VLOOKUP(A145,Cotizador!$A$5:$J$43,5,FALSE),VLOOKUP(A145,Cotizador!$A$5:$J$43,4,FALSE)+VLOOKUP(A145,Cotizador!$A$5:$J$43,5,FALSE)))))</f>
        <v>0</v>
      </c>
      <c r="I145" s="147" t="e">
        <f>IF(A145="","",VLOOKUP(A145,Cotizador!$A$5:$J$43,6,FALSE))</f>
        <v>#N/A</v>
      </c>
      <c r="J145" s="147" t="e">
        <f>IF(A145="","",VLOOKUP(A145,Cotizador!$A$5:$J$43,7,FALSE))</f>
        <v>#N/A</v>
      </c>
      <c r="K145" s="172" t="e">
        <f t="shared" si="29"/>
        <v>#N/A</v>
      </c>
      <c r="L145" s="147" t="e">
        <f>IF(A145="","",IF(D145="Sin estampar",VLOOKUP(A145,Cotizador!$A$5:$J$43,8,FALSE),IF(D145="Pecho",VLOOKUP(A145,Cotizador!$A$5:$J$43,10,FALSE),VLOOKUP(A145,Cotizador!$A$5:$J$43,9,FALSE))))</f>
        <v>#N/A</v>
      </c>
      <c r="M145" s="173" t="e">
        <f t="shared" si="30"/>
        <v>#N/A</v>
      </c>
      <c r="N145" s="147" t="e">
        <f t="shared" si="31"/>
        <v>#N/A</v>
      </c>
      <c r="O145" s="157"/>
      <c r="P145" s="157" t="e">
        <f t="shared" si="32"/>
        <v>#N/A</v>
      </c>
      <c r="Q145" s="174" t="str">
        <f t="shared" si="33"/>
        <v>Buzo Cuello Redondo Oversized XL Beige</v>
      </c>
      <c r="R145" s="147"/>
      <c r="S145" s="185"/>
      <c r="T145" s="186">
        <f t="shared" si="34"/>
        <v>0</v>
      </c>
      <c r="V145" s="51" t="e">
        <f t="shared" si="35"/>
        <v>#N/A</v>
      </c>
      <c r="Y145" s="147" t="e">
        <f t="shared" si="36"/>
        <v>#N/A</v>
      </c>
      <c r="Z145" s="177" t="e">
        <f t="shared" si="37"/>
        <v>#N/A</v>
      </c>
      <c r="AA145" s="178"/>
      <c r="AB145" s="178" t="e">
        <f t="shared" si="38"/>
        <v>#N/A</v>
      </c>
      <c r="AC145" s="179" t="e">
        <f t="shared" si="39"/>
        <v>#N/A</v>
      </c>
      <c r="AD145" s="147" t="e">
        <f t="shared" si="40"/>
        <v>#N/A</v>
      </c>
      <c r="AE145" s="157" t="e">
        <f t="shared" si="41"/>
        <v>#N/A</v>
      </c>
      <c r="AF145" s="179" t="e">
        <f t="shared" si="42"/>
        <v>#N/A</v>
      </c>
      <c r="AG145" s="147" t="e">
        <f t="shared" si="43"/>
        <v>#N/A</v>
      </c>
      <c r="AH145" s="157" t="e">
        <f t="shared" si="44"/>
        <v>#N/A</v>
      </c>
      <c r="AI145" s="179" t="e">
        <f t="shared" si="49"/>
        <v>#N/A</v>
      </c>
      <c r="AJ145" s="147" t="e">
        <f t="shared" si="46"/>
        <v>#N/A</v>
      </c>
      <c r="AK145" s="157" t="e">
        <f t="shared" si="47"/>
        <v>#N/A</v>
      </c>
    </row>
    <row r="146" spans="1:37" ht="14.25" hidden="1" customHeight="1" x14ac:dyDescent="0.3">
      <c r="A146" s="168" t="s">
        <v>313</v>
      </c>
      <c r="B146" s="168" t="s">
        <v>207</v>
      </c>
      <c r="C146" s="168" t="s">
        <v>201</v>
      </c>
      <c r="D146" s="168" t="s">
        <v>922</v>
      </c>
      <c r="E146" s="169">
        <v>2</v>
      </c>
      <c r="F146" s="170" t="e">
        <f>IF(A146="","",VLOOKUP(A146,Cotizador!$A$5:$J$43,2,FALSE))</f>
        <v>#N/A</v>
      </c>
      <c r="G146" s="171" t="e">
        <f>IF(A146="","",VLOOKUP(A146,Cotizador!$A$5:$J$43,3,FALSE))</f>
        <v>#N/A</v>
      </c>
      <c r="H146" s="147" t="e">
        <f>IF(OR(A146="",D146=""),"",IF(D146="Sin estampar",0,IF(D146="Pecho",VLOOKUP(A146,Cotizador!$A$5:$J$43,4,FALSE),IF(D146="Espalda",VLOOKUP(A146,Cotizador!$A$5:$J$43,5,FALSE),VLOOKUP(A146,Cotizador!$A$5:$J$43,4,FALSE)+VLOOKUP(A146,Cotizador!$A$5:$J$43,5,FALSE)))))</f>
        <v>#N/A</v>
      </c>
      <c r="I146" s="147" t="e">
        <f>IF(A146="","",VLOOKUP(A146,Cotizador!$A$5:$J$43,6,FALSE))</f>
        <v>#N/A</v>
      </c>
      <c r="J146" s="147" t="e">
        <f>IF(A146="","",VLOOKUP(A146,Cotizador!$A$5:$J$43,7,FALSE))</f>
        <v>#N/A</v>
      </c>
      <c r="K146" s="172" t="e">
        <f t="shared" si="29"/>
        <v>#N/A</v>
      </c>
      <c r="L146" s="147" t="e">
        <f>IF(A146="","",IF(D146="Sin estampar",VLOOKUP(A146,Cotizador!$A$5:$J$43,8,FALSE),IF(D146="Pecho",VLOOKUP(A146,Cotizador!$A$5:$J$43,10,FALSE),VLOOKUP(A146,Cotizador!$A$5:$J$43,9,FALSE))))</f>
        <v>#N/A</v>
      </c>
      <c r="M146" s="173" t="e">
        <f t="shared" si="30"/>
        <v>#N/A</v>
      </c>
      <c r="N146" s="147" t="e">
        <f t="shared" si="31"/>
        <v>#N/A</v>
      </c>
      <c r="O146" s="157"/>
      <c r="P146" s="157" t="e">
        <f t="shared" si="32"/>
        <v>#N/A</v>
      </c>
      <c r="Q146" s="174" t="str">
        <f t="shared" si="33"/>
        <v>Buzo Cuello Redondo Oversized L Negro</v>
      </c>
      <c r="R146" s="147"/>
      <c r="S146" s="185"/>
      <c r="T146" s="186">
        <f t="shared" si="34"/>
        <v>0</v>
      </c>
      <c r="V146" s="51" t="e">
        <f t="shared" si="35"/>
        <v>#N/A</v>
      </c>
      <c r="Y146" s="147" t="e">
        <f t="shared" si="36"/>
        <v>#N/A</v>
      </c>
      <c r="Z146" s="177" t="e">
        <f t="shared" si="37"/>
        <v>#N/A</v>
      </c>
      <c r="AA146" s="178"/>
      <c r="AB146" s="178" t="e">
        <f t="shared" si="38"/>
        <v>#N/A</v>
      </c>
      <c r="AC146" s="179" t="e">
        <f t="shared" si="39"/>
        <v>#N/A</v>
      </c>
      <c r="AD146" s="147" t="e">
        <f t="shared" si="40"/>
        <v>#N/A</v>
      </c>
      <c r="AE146" s="157" t="e">
        <f t="shared" si="41"/>
        <v>#N/A</v>
      </c>
      <c r="AF146" s="179" t="e">
        <f t="shared" si="42"/>
        <v>#N/A</v>
      </c>
      <c r="AG146" s="147" t="e">
        <f t="shared" si="43"/>
        <v>#N/A</v>
      </c>
      <c r="AH146" s="157" t="e">
        <f t="shared" si="44"/>
        <v>#N/A</v>
      </c>
      <c r="AI146" s="179" t="e">
        <f t="shared" si="49"/>
        <v>#N/A</v>
      </c>
      <c r="AJ146" s="147" t="e">
        <f t="shared" si="46"/>
        <v>#N/A</v>
      </c>
      <c r="AK146" s="157" t="e">
        <f t="shared" si="47"/>
        <v>#N/A</v>
      </c>
    </row>
    <row r="147" spans="1:37" ht="14.25" hidden="1" customHeight="1" x14ac:dyDescent="0.3">
      <c r="A147" s="168" t="s">
        <v>313</v>
      </c>
      <c r="B147" s="168" t="s">
        <v>210</v>
      </c>
      <c r="C147" s="168" t="s">
        <v>201</v>
      </c>
      <c r="D147" s="168" t="s">
        <v>922</v>
      </c>
      <c r="E147" s="169">
        <v>2</v>
      </c>
      <c r="F147" s="170" t="e">
        <f>IF(A147="","",VLOOKUP(A147,Cotizador!$A$5:$J$43,2,FALSE))</f>
        <v>#N/A</v>
      </c>
      <c r="G147" s="171" t="e">
        <f>IF(A147="","",VLOOKUP(A147,Cotizador!$A$5:$J$43,3,FALSE))</f>
        <v>#N/A</v>
      </c>
      <c r="H147" s="147" t="e">
        <f>IF(OR(A147="",D147=""),"",IF(D147="Sin estampar",0,IF(D147="Pecho",VLOOKUP(A147,Cotizador!$A$5:$J$43,4,FALSE),IF(D147="Espalda",VLOOKUP(A147,Cotizador!$A$5:$J$43,5,FALSE),VLOOKUP(A147,Cotizador!$A$5:$J$43,4,FALSE)+VLOOKUP(A147,Cotizador!$A$5:$J$43,5,FALSE)))))</f>
        <v>#N/A</v>
      </c>
      <c r="I147" s="147" t="e">
        <f>IF(A147="","",VLOOKUP(A147,Cotizador!$A$5:$J$43,6,FALSE))</f>
        <v>#N/A</v>
      </c>
      <c r="J147" s="147" t="e">
        <f>IF(A147="","",VLOOKUP(A147,Cotizador!$A$5:$J$43,7,FALSE))</f>
        <v>#N/A</v>
      </c>
      <c r="K147" s="172" t="e">
        <f t="shared" si="29"/>
        <v>#N/A</v>
      </c>
      <c r="L147" s="147" t="e">
        <f>IF(A147="","",IF(D147="Sin estampar",VLOOKUP(A147,Cotizador!$A$5:$J$43,8,FALSE),IF(D147="Pecho",VLOOKUP(A147,Cotizador!$A$5:$J$43,10,FALSE),VLOOKUP(A147,Cotizador!$A$5:$J$43,9,FALSE))))</f>
        <v>#N/A</v>
      </c>
      <c r="M147" s="173" t="e">
        <f t="shared" si="30"/>
        <v>#N/A</v>
      </c>
      <c r="N147" s="147" t="e">
        <f t="shared" si="31"/>
        <v>#N/A</v>
      </c>
      <c r="O147" s="157"/>
      <c r="P147" s="157" t="e">
        <f t="shared" si="32"/>
        <v>#N/A</v>
      </c>
      <c r="Q147" s="174" t="str">
        <f t="shared" si="33"/>
        <v>Buzo Cuello Redondo Oversized XL Negro</v>
      </c>
      <c r="R147" s="147"/>
      <c r="S147" s="185"/>
      <c r="T147" s="186">
        <f t="shared" si="34"/>
        <v>0</v>
      </c>
      <c r="V147" s="51" t="e">
        <f t="shared" si="35"/>
        <v>#N/A</v>
      </c>
      <c r="Y147" s="147" t="e">
        <f t="shared" si="36"/>
        <v>#N/A</v>
      </c>
      <c r="Z147" s="177" t="e">
        <f t="shared" si="37"/>
        <v>#N/A</v>
      </c>
      <c r="AA147" s="178"/>
      <c r="AB147" s="178" t="e">
        <f t="shared" si="38"/>
        <v>#N/A</v>
      </c>
      <c r="AC147" s="179" t="e">
        <f t="shared" si="39"/>
        <v>#N/A</v>
      </c>
      <c r="AD147" s="147" t="e">
        <f t="shared" si="40"/>
        <v>#N/A</v>
      </c>
      <c r="AE147" s="157" t="e">
        <f t="shared" si="41"/>
        <v>#N/A</v>
      </c>
      <c r="AF147" s="179" t="e">
        <f t="shared" si="42"/>
        <v>#N/A</v>
      </c>
      <c r="AG147" s="147" t="e">
        <f t="shared" si="43"/>
        <v>#N/A</v>
      </c>
      <c r="AH147" s="157" t="e">
        <f t="shared" si="44"/>
        <v>#N/A</v>
      </c>
      <c r="AI147" s="179" t="e">
        <f t="shared" si="49"/>
        <v>#N/A</v>
      </c>
      <c r="AJ147" s="147" t="e">
        <f t="shared" si="46"/>
        <v>#N/A</v>
      </c>
      <c r="AK147" s="157" t="e">
        <f t="shared" si="47"/>
        <v>#N/A</v>
      </c>
    </row>
    <row r="148" spans="1:37" ht="14.25" hidden="1" customHeight="1" x14ac:dyDescent="0.3">
      <c r="A148" s="168" t="s">
        <v>313</v>
      </c>
      <c r="B148" s="168" t="s">
        <v>928</v>
      </c>
      <c r="C148" s="168" t="s">
        <v>201</v>
      </c>
      <c r="D148" s="168" t="s">
        <v>922</v>
      </c>
      <c r="E148" s="169">
        <v>2</v>
      </c>
      <c r="F148" s="170" t="e">
        <f>IF(A148="","",VLOOKUP(A148,Cotizador!$A$5:$J$43,2,FALSE))</f>
        <v>#N/A</v>
      </c>
      <c r="G148" s="171" t="e">
        <f>IF(A148="","",VLOOKUP(A148,Cotizador!$A$5:$J$43,3,FALSE))</f>
        <v>#N/A</v>
      </c>
      <c r="H148" s="147" t="e">
        <f>IF(OR(A148="",D148=""),"",IF(D148="Sin estampar",0,IF(D148="Pecho",VLOOKUP(A148,Cotizador!$A$5:$J$43,4,FALSE),IF(D148="Espalda",VLOOKUP(A148,Cotizador!$A$5:$J$43,5,FALSE),VLOOKUP(A148,Cotizador!$A$5:$J$43,4,FALSE)+VLOOKUP(A148,Cotizador!$A$5:$J$43,5,FALSE)))))</f>
        <v>#N/A</v>
      </c>
      <c r="I148" s="147" t="e">
        <f>IF(A148="","",VLOOKUP(A148,Cotizador!$A$5:$J$43,6,FALSE))</f>
        <v>#N/A</v>
      </c>
      <c r="J148" s="147" t="e">
        <f>IF(A148="","",VLOOKUP(A148,Cotizador!$A$5:$J$43,7,FALSE))</f>
        <v>#N/A</v>
      </c>
      <c r="K148" s="172" t="e">
        <f t="shared" si="29"/>
        <v>#N/A</v>
      </c>
      <c r="L148" s="147" t="e">
        <f>IF(A148="","",IF(D148="Sin estampar",VLOOKUP(A148,Cotizador!$A$5:$J$43,8,FALSE),IF(D148="Pecho",VLOOKUP(A148,Cotizador!$A$5:$J$43,10,FALSE),VLOOKUP(A148,Cotizador!$A$5:$J$43,9,FALSE))))</f>
        <v>#N/A</v>
      </c>
      <c r="M148" s="173" t="e">
        <f t="shared" si="30"/>
        <v>#N/A</v>
      </c>
      <c r="N148" s="147" t="e">
        <f t="shared" si="31"/>
        <v>#N/A</v>
      </c>
      <c r="O148" s="157"/>
      <c r="P148" s="157" t="e">
        <f t="shared" si="32"/>
        <v>#N/A</v>
      </c>
      <c r="Q148" s="174" t="str">
        <f t="shared" si="33"/>
        <v>Buzo Cuello Redondo Oversized 2XL Negro</v>
      </c>
      <c r="R148" s="147"/>
      <c r="S148" s="185"/>
      <c r="T148" s="186">
        <f t="shared" si="34"/>
        <v>0</v>
      </c>
      <c r="V148" s="51" t="e">
        <f t="shared" si="35"/>
        <v>#N/A</v>
      </c>
      <c r="Y148" s="147" t="e">
        <f t="shared" si="36"/>
        <v>#N/A</v>
      </c>
      <c r="Z148" s="177" t="e">
        <f t="shared" si="37"/>
        <v>#N/A</v>
      </c>
      <c r="AA148" s="178"/>
      <c r="AB148" s="178" t="e">
        <f t="shared" si="38"/>
        <v>#N/A</v>
      </c>
      <c r="AC148" s="179" t="e">
        <f t="shared" si="39"/>
        <v>#N/A</v>
      </c>
      <c r="AD148" s="147" t="e">
        <f t="shared" si="40"/>
        <v>#N/A</v>
      </c>
      <c r="AE148" s="157" t="e">
        <f t="shared" si="41"/>
        <v>#N/A</v>
      </c>
      <c r="AF148" s="179" t="e">
        <f t="shared" si="42"/>
        <v>#N/A</v>
      </c>
      <c r="AG148" s="147" t="e">
        <f t="shared" si="43"/>
        <v>#N/A</v>
      </c>
      <c r="AH148" s="157" t="e">
        <f t="shared" si="44"/>
        <v>#N/A</v>
      </c>
      <c r="AI148" s="179" t="e">
        <f t="shared" si="49"/>
        <v>#N/A</v>
      </c>
      <c r="AJ148" s="147" t="e">
        <f t="shared" si="46"/>
        <v>#N/A</v>
      </c>
      <c r="AK148" s="157" t="e">
        <f t="shared" si="47"/>
        <v>#N/A</v>
      </c>
    </row>
    <row r="149" spans="1:37" ht="14.25" hidden="1" customHeight="1" x14ac:dyDescent="0.3">
      <c r="A149" s="168" t="s">
        <v>313</v>
      </c>
      <c r="B149" s="168" t="s">
        <v>207</v>
      </c>
      <c r="C149" s="168" t="s">
        <v>920</v>
      </c>
      <c r="D149" s="168" t="s">
        <v>922</v>
      </c>
      <c r="E149" s="169">
        <v>2</v>
      </c>
      <c r="F149" s="170" t="e">
        <f>IF(A149="","",VLOOKUP(A149,Cotizador!$A$5:$J$43,2,FALSE))</f>
        <v>#N/A</v>
      </c>
      <c r="G149" s="171" t="e">
        <f>IF(A149="","",VLOOKUP(A149,Cotizador!$A$5:$J$43,3,FALSE))</f>
        <v>#N/A</v>
      </c>
      <c r="H149" s="147" t="e">
        <f>IF(OR(A149="",D149=""),"",IF(D149="Sin estampar",0,IF(D149="Pecho",VLOOKUP(A149,Cotizador!$A$5:$J$43,4,FALSE),IF(D149="Espalda",VLOOKUP(A149,Cotizador!$A$5:$J$43,5,FALSE),VLOOKUP(A149,Cotizador!$A$5:$J$43,4,FALSE)+VLOOKUP(A149,Cotizador!$A$5:$J$43,5,FALSE)))))</f>
        <v>#N/A</v>
      </c>
      <c r="I149" s="147" t="e">
        <f>IF(A149="","",VLOOKUP(A149,Cotizador!$A$5:$J$43,6,FALSE))</f>
        <v>#N/A</v>
      </c>
      <c r="J149" s="147" t="e">
        <f>IF(A149="","",VLOOKUP(A149,Cotizador!$A$5:$J$43,7,FALSE))</f>
        <v>#N/A</v>
      </c>
      <c r="K149" s="172" t="e">
        <f t="shared" si="29"/>
        <v>#N/A</v>
      </c>
      <c r="L149" s="147" t="e">
        <f>IF(A149="","",IF(D149="Sin estampar",VLOOKUP(A149,Cotizador!$A$5:$J$43,8,FALSE),IF(D149="Pecho",VLOOKUP(A149,Cotizador!$A$5:$J$43,10,FALSE),VLOOKUP(A149,Cotizador!$A$5:$J$43,9,FALSE))))</f>
        <v>#N/A</v>
      </c>
      <c r="M149" s="173" t="e">
        <f t="shared" si="30"/>
        <v>#N/A</v>
      </c>
      <c r="N149" s="147" t="e">
        <f t="shared" si="31"/>
        <v>#N/A</v>
      </c>
      <c r="O149" s="157"/>
      <c r="P149" s="157" t="e">
        <f t="shared" si="32"/>
        <v>#N/A</v>
      </c>
      <c r="Q149" s="174" t="str">
        <f t="shared" si="33"/>
        <v>Buzo Cuello Redondo Oversized L Beige</v>
      </c>
      <c r="R149" s="147"/>
      <c r="S149" s="185"/>
      <c r="T149" s="186">
        <f t="shared" si="34"/>
        <v>0</v>
      </c>
      <c r="V149" s="51" t="e">
        <f t="shared" si="35"/>
        <v>#N/A</v>
      </c>
      <c r="Y149" s="147" t="e">
        <f t="shared" si="36"/>
        <v>#N/A</v>
      </c>
      <c r="Z149" s="177" t="e">
        <f t="shared" si="37"/>
        <v>#N/A</v>
      </c>
      <c r="AA149" s="178"/>
      <c r="AB149" s="178" t="e">
        <f t="shared" si="38"/>
        <v>#N/A</v>
      </c>
      <c r="AC149" s="179" t="e">
        <f t="shared" si="39"/>
        <v>#N/A</v>
      </c>
      <c r="AD149" s="147" t="e">
        <f t="shared" si="40"/>
        <v>#N/A</v>
      </c>
      <c r="AE149" s="157" t="e">
        <f t="shared" si="41"/>
        <v>#N/A</v>
      </c>
      <c r="AF149" s="179" t="e">
        <f t="shared" si="42"/>
        <v>#N/A</v>
      </c>
      <c r="AG149" s="147" t="e">
        <f t="shared" si="43"/>
        <v>#N/A</v>
      </c>
      <c r="AH149" s="157" t="e">
        <f t="shared" si="44"/>
        <v>#N/A</v>
      </c>
      <c r="AI149" s="179" t="e">
        <f t="shared" si="49"/>
        <v>#N/A</v>
      </c>
      <c r="AJ149" s="147" t="e">
        <f t="shared" si="46"/>
        <v>#N/A</v>
      </c>
      <c r="AK149" s="157" t="e">
        <f t="shared" si="47"/>
        <v>#N/A</v>
      </c>
    </row>
    <row r="150" spans="1:37" ht="14.25" hidden="1" customHeight="1" x14ac:dyDescent="0.3">
      <c r="A150" s="168" t="s">
        <v>313</v>
      </c>
      <c r="B150" s="168" t="s">
        <v>210</v>
      </c>
      <c r="C150" s="168" t="s">
        <v>920</v>
      </c>
      <c r="D150" s="168" t="s">
        <v>922</v>
      </c>
      <c r="E150" s="169">
        <v>2</v>
      </c>
      <c r="F150" s="170" t="e">
        <f>IF(A150="","",VLOOKUP(A150,Cotizador!$A$5:$J$43,2,FALSE))</f>
        <v>#N/A</v>
      </c>
      <c r="G150" s="171" t="e">
        <f>IF(A150="","",VLOOKUP(A150,Cotizador!$A$5:$J$43,3,FALSE))</f>
        <v>#N/A</v>
      </c>
      <c r="H150" s="147" t="e">
        <f>IF(OR(A150="",D150=""),"",IF(D150="Sin estampar",0,IF(D150="Pecho",VLOOKUP(A150,Cotizador!$A$5:$J$43,4,FALSE),IF(D150="Espalda",VLOOKUP(A150,Cotizador!$A$5:$J$43,5,FALSE),VLOOKUP(A150,Cotizador!$A$5:$J$43,4,FALSE)+VLOOKUP(A150,Cotizador!$A$5:$J$43,5,FALSE)))))</f>
        <v>#N/A</v>
      </c>
      <c r="I150" s="147" t="e">
        <f>IF(A150="","",VLOOKUP(A150,Cotizador!$A$5:$J$43,6,FALSE))</f>
        <v>#N/A</v>
      </c>
      <c r="J150" s="147" t="e">
        <f>IF(A150="","",VLOOKUP(A150,Cotizador!$A$5:$J$43,7,FALSE))</f>
        <v>#N/A</v>
      </c>
      <c r="K150" s="172" t="e">
        <f t="shared" si="29"/>
        <v>#N/A</v>
      </c>
      <c r="L150" s="147" t="e">
        <f>IF(A150="","",IF(D150="Sin estampar",VLOOKUP(A150,Cotizador!$A$5:$J$43,8,FALSE),IF(D150="Pecho",VLOOKUP(A150,Cotizador!$A$5:$J$43,10,FALSE),VLOOKUP(A150,Cotizador!$A$5:$J$43,9,FALSE))))</f>
        <v>#N/A</v>
      </c>
      <c r="M150" s="173" t="e">
        <f t="shared" si="30"/>
        <v>#N/A</v>
      </c>
      <c r="N150" s="147" t="e">
        <f t="shared" si="31"/>
        <v>#N/A</v>
      </c>
      <c r="O150" s="157"/>
      <c r="P150" s="157" t="e">
        <f t="shared" si="32"/>
        <v>#N/A</v>
      </c>
      <c r="Q150" s="174" t="str">
        <f t="shared" si="33"/>
        <v>Buzo Cuello Redondo Oversized XL Beige</v>
      </c>
      <c r="R150" s="147"/>
      <c r="S150" s="185"/>
      <c r="T150" s="186">
        <f t="shared" si="34"/>
        <v>0</v>
      </c>
      <c r="V150" s="51" t="e">
        <f t="shared" si="35"/>
        <v>#N/A</v>
      </c>
      <c r="Y150" s="147" t="e">
        <f t="shared" si="36"/>
        <v>#N/A</v>
      </c>
      <c r="Z150" s="177" t="e">
        <f t="shared" si="37"/>
        <v>#N/A</v>
      </c>
      <c r="AA150" s="178"/>
      <c r="AB150" s="178" t="e">
        <f t="shared" si="38"/>
        <v>#N/A</v>
      </c>
      <c r="AC150" s="179" t="e">
        <f t="shared" si="39"/>
        <v>#N/A</v>
      </c>
      <c r="AD150" s="147" t="e">
        <f t="shared" si="40"/>
        <v>#N/A</v>
      </c>
      <c r="AE150" s="157" t="e">
        <f t="shared" si="41"/>
        <v>#N/A</v>
      </c>
      <c r="AF150" s="179" t="e">
        <f t="shared" si="42"/>
        <v>#N/A</v>
      </c>
      <c r="AG150" s="147" t="e">
        <f t="shared" si="43"/>
        <v>#N/A</v>
      </c>
      <c r="AH150" s="157" t="e">
        <f t="shared" si="44"/>
        <v>#N/A</v>
      </c>
      <c r="AI150" s="179" t="e">
        <f t="shared" si="49"/>
        <v>#N/A</v>
      </c>
      <c r="AJ150" s="147" t="e">
        <f t="shared" si="46"/>
        <v>#N/A</v>
      </c>
      <c r="AK150" s="157" t="e">
        <f t="shared" si="47"/>
        <v>#N/A</v>
      </c>
    </row>
    <row r="151" spans="1:37" ht="14.25" hidden="1" customHeight="1" x14ac:dyDescent="0.3">
      <c r="A151" s="168" t="s">
        <v>313</v>
      </c>
      <c r="B151" s="168" t="s">
        <v>928</v>
      </c>
      <c r="C151" s="168" t="s">
        <v>920</v>
      </c>
      <c r="D151" s="168" t="s">
        <v>922</v>
      </c>
      <c r="E151" s="169">
        <v>2</v>
      </c>
      <c r="F151" s="170" t="e">
        <f>IF(A151="","",VLOOKUP(A151,Cotizador!$A$5:$J$43,2,FALSE))</f>
        <v>#N/A</v>
      </c>
      <c r="G151" s="171" t="e">
        <f>IF(A151="","",VLOOKUP(A151,Cotizador!$A$5:$J$43,3,FALSE))</f>
        <v>#N/A</v>
      </c>
      <c r="H151" s="147" t="e">
        <f>IF(OR(A151="",D151=""),"",IF(D151="Sin estampar",0,IF(D151="Pecho",VLOOKUP(A151,Cotizador!$A$5:$J$43,4,FALSE),IF(D151="Espalda",VLOOKUP(A151,Cotizador!$A$5:$J$43,5,FALSE),VLOOKUP(A151,Cotizador!$A$5:$J$43,4,FALSE)+VLOOKUP(A151,Cotizador!$A$5:$J$43,5,FALSE)))))</f>
        <v>#N/A</v>
      </c>
      <c r="I151" s="147" t="e">
        <f>IF(A151="","",VLOOKUP(A151,Cotizador!$A$5:$J$43,6,FALSE))</f>
        <v>#N/A</v>
      </c>
      <c r="J151" s="147" t="e">
        <f>IF(A151="","",VLOOKUP(A151,Cotizador!$A$5:$J$43,7,FALSE))</f>
        <v>#N/A</v>
      </c>
      <c r="K151" s="172" t="e">
        <f t="shared" si="29"/>
        <v>#N/A</v>
      </c>
      <c r="L151" s="147" t="e">
        <f>IF(A151="","",IF(D151="Sin estampar",VLOOKUP(A151,Cotizador!$A$5:$J$43,8,FALSE),IF(D151="Pecho",VLOOKUP(A151,Cotizador!$A$5:$J$43,10,FALSE),VLOOKUP(A151,Cotizador!$A$5:$J$43,9,FALSE))))</f>
        <v>#N/A</v>
      </c>
      <c r="M151" s="173" t="e">
        <f t="shared" si="30"/>
        <v>#N/A</v>
      </c>
      <c r="N151" s="147" t="e">
        <f t="shared" si="31"/>
        <v>#N/A</v>
      </c>
      <c r="O151" s="157"/>
      <c r="P151" s="157" t="e">
        <f t="shared" si="32"/>
        <v>#N/A</v>
      </c>
      <c r="Q151" s="174" t="str">
        <f t="shared" si="33"/>
        <v>Buzo Cuello Redondo Oversized 2XL Beige</v>
      </c>
      <c r="R151" s="147"/>
      <c r="S151" s="185"/>
      <c r="T151" s="186">
        <f t="shared" si="34"/>
        <v>0</v>
      </c>
      <c r="V151" s="51" t="e">
        <f t="shared" si="35"/>
        <v>#N/A</v>
      </c>
      <c r="Y151" s="147" t="e">
        <f t="shared" si="36"/>
        <v>#N/A</v>
      </c>
      <c r="Z151" s="177" t="e">
        <f t="shared" si="37"/>
        <v>#N/A</v>
      </c>
      <c r="AA151" s="178"/>
      <c r="AB151" s="178" t="e">
        <f t="shared" si="38"/>
        <v>#N/A</v>
      </c>
      <c r="AC151" s="179" t="e">
        <f t="shared" si="39"/>
        <v>#N/A</v>
      </c>
      <c r="AD151" s="147" t="e">
        <f t="shared" si="40"/>
        <v>#N/A</v>
      </c>
      <c r="AE151" s="157" t="e">
        <f t="shared" si="41"/>
        <v>#N/A</v>
      </c>
      <c r="AF151" s="179" t="e">
        <f t="shared" si="42"/>
        <v>#N/A</v>
      </c>
      <c r="AG151" s="147" t="e">
        <f t="shared" si="43"/>
        <v>#N/A</v>
      </c>
      <c r="AH151" s="157" t="e">
        <f t="shared" si="44"/>
        <v>#N/A</v>
      </c>
      <c r="AI151" s="179" t="e">
        <f t="shared" si="49"/>
        <v>#N/A</v>
      </c>
      <c r="AJ151" s="147" t="e">
        <f t="shared" si="46"/>
        <v>#N/A</v>
      </c>
      <c r="AK151" s="157" t="e">
        <f t="shared" si="47"/>
        <v>#N/A</v>
      </c>
    </row>
    <row r="152" spans="1:37" ht="14.25" hidden="1" customHeight="1" x14ac:dyDescent="0.3">
      <c r="A152" s="168" t="s">
        <v>901</v>
      </c>
      <c r="B152" s="168" t="s">
        <v>204</v>
      </c>
      <c r="C152" s="168" t="s">
        <v>201</v>
      </c>
      <c r="D152" s="168" t="s">
        <v>917</v>
      </c>
      <c r="E152" s="169">
        <v>4</v>
      </c>
      <c r="F152" s="170" t="str">
        <f>IF(A152="","",VLOOKUP(A152,Cotizador!$A$5:$J$43,2,FALSE))</f>
        <v>AUREN</v>
      </c>
      <c r="G152" s="171">
        <f>IF(A152="","",VLOOKUP(A152,Cotizador!$A$5:$J$43,3,FALSE))</f>
        <v>55000</v>
      </c>
      <c r="H152" s="147">
        <f>IF(OR(A152="",D152=""),"",IF(D152="Sin estampar",0,IF(D152="Pecho",VLOOKUP(A152,Cotizador!$A$5:$J$43,4,FALSE),IF(D152="Espalda",VLOOKUP(A152,Cotizador!$A$5:$J$43,5,FALSE),VLOOKUP(A152,Cotizador!$A$5:$J$43,4,FALSE)+VLOOKUP(A152,Cotizador!$A$5:$J$43,5,FALSE)))))</f>
        <v>0</v>
      </c>
      <c r="I152" s="147">
        <f>IF(A152="","",VLOOKUP(A152,Cotizador!$A$5:$J$43,6,FALSE))</f>
        <v>0</v>
      </c>
      <c r="J152" s="147">
        <f>IF(A152="","",VLOOKUP(A152,Cotizador!$A$5:$J$43,7,FALSE))</f>
        <v>1200</v>
      </c>
      <c r="K152" s="172">
        <f t="shared" si="29"/>
        <v>224800</v>
      </c>
      <c r="L152" s="147">
        <f>IF(A152="","",IF(D152="Sin estampar",VLOOKUP(A152,Cotizador!$A$5:$J$43,8,FALSE),IF(D152="Pecho",VLOOKUP(A152,Cotizador!$A$5:$J$43,10,FALSE),VLOOKUP(A152,Cotizador!$A$5:$J$43,9,FALSE))))</f>
        <v>1000</v>
      </c>
      <c r="M152" s="173">
        <f t="shared" si="30"/>
        <v>4000</v>
      </c>
      <c r="N152" s="147">
        <f t="shared" si="31"/>
        <v>56200</v>
      </c>
      <c r="O152" s="157"/>
      <c r="P152" s="157">
        <f t="shared" si="32"/>
        <v>-55.2</v>
      </c>
      <c r="Q152" s="174" t="str">
        <f t="shared" si="33"/>
        <v>Jogger Largo M Negro</v>
      </c>
      <c r="R152" s="147"/>
      <c r="S152" s="185"/>
      <c r="T152" s="186">
        <f t="shared" si="34"/>
        <v>0</v>
      </c>
      <c r="V152" s="51">
        <f t="shared" si="35"/>
        <v>220000</v>
      </c>
      <c r="Y152" s="147">
        <f t="shared" si="36"/>
        <v>56200</v>
      </c>
      <c r="Z152" s="177">
        <f t="shared" si="37"/>
        <v>1000</v>
      </c>
      <c r="AA152" s="178"/>
      <c r="AB152" s="178">
        <f t="shared" si="38"/>
        <v>-55.2</v>
      </c>
      <c r="AC152" s="179">
        <f t="shared" si="39"/>
        <v>1000</v>
      </c>
      <c r="AD152" s="147">
        <f t="shared" si="40"/>
        <v>3000</v>
      </c>
      <c r="AE152" s="157">
        <f t="shared" si="41"/>
        <v>-55.2</v>
      </c>
      <c r="AF152" s="179">
        <f t="shared" si="42"/>
        <v>1000</v>
      </c>
      <c r="AG152" s="147">
        <f t="shared" si="43"/>
        <v>6000</v>
      </c>
      <c r="AH152" s="157">
        <f t="shared" si="44"/>
        <v>-55.2</v>
      </c>
      <c r="AI152" s="179">
        <f t="shared" si="49"/>
        <v>1000</v>
      </c>
      <c r="AJ152" s="147">
        <f t="shared" si="46"/>
        <v>12000</v>
      </c>
      <c r="AK152" s="157">
        <f t="shared" si="47"/>
        <v>-55.2</v>
      </c>
    </row>
    <row r="153" spans="1:37" ht="14.25" hidden="1" customHeight="1" x14ac:dyDescent="0.3">
      <c r="A153" s="168" t="s">
        <v>901</v>
      </c>
      <c r="B153" s="168" t="s">
        <v>207</v>
      </c>
      <c r="C153" s="168" t="s">
        <v>201</v>
      </c>
      <c r="D153" s="168" t="s">
        <v>917</v>
      </c>
      <c r="E153" s="169">
        <v>4</v>
      </c>
      <c r="F153" s="170" t="str">
        <f>IF(A153="","",VLOOKUP(A153,Cotizador!$A$5:$J$43,2,FALSE))</f>
        <v>AUREN</v>
      </c>
      <c r="G153" s="171">
        <f>IF(A153="","",VLOOKUP(A153,Cotizador!$A$5:$J$43,3,FALSE))</f>
        <v>55000</v>
      </c>
      <c r="H153" s="147">
        <f>IF(OR(A153="",D153=""),"",IF(D153="Sin estampar",0,IF(D153="Pecho",VLOOKUP(A153,Cotizador!$A$5:$J$43,4,FALSE),IF(D153="Espalda",VLOOKUP(A153,Cotizador!$A$5:$J$43,5,FALSE),VLOOKUP(A153,Cotizador!$A$5:$J$43,4,FALSE)+VLOOKUP(A153,Cotizador!$A$5:$J$43,5,FALSE)))))</f>
        <v>0</v>
      </c>
      <c r="I153" s="147">
        <f>IF(A153="","",VLOOKUP(A153,Cotizador!$A$5:$J$43,6,FALSE))</f>
        <v>0</v>
      </c>
      <c r="J153" s="147">
        <f>IF(A153="","",VLOOKUP(A153,Cotizador!$A$5:$J$43,7,FALSE))</f>
        <v>1200</v>
      </c>
      <c r="K153" s="172">
        <f t="shared" si="29"/>
        <v>224800</v>
      </c>
      <c r="L153" s="147">
        <f>IF(A153="","",IF(D153="Sin estampar",VLOOKUP(A153,Cotizador!$A$5:$J$43,8,FALSE),IF(D153="Pecho",VLOOKUP(A153,Cotizador!$A$5:$J$43,10,FALSE),VLOOKUP(A153,Cotizador!$A$5:$J$43,9,FALSE))))</f>
        <v>1000</v>
      </c>
      <c r="M153" s="173">
        <f t="shared" si="30"/>
        <v>4000</v>
      </c>
      <c r="N153" s="147">
        <f t="shared" si="31"/>
        <v>56200</v>
      </c>
      <c r="O153" s="157"/>
      <c r="P153" s="157">
        <f t="shared" si="32"/>
        <v>-55.2</v>
      </c>
      <c r="Q153" s="174" t="str">
        <f t="shared" si="33"/>
        <v>Jogger Largo L Negro</v>
      </c>
      <c r="R153" s="147"/>
      <c r="S153" s="185"/>
      <c r="T153" s="186">
        <f t="shared" si="34"/>
        <v>0</v>
      </c>
      <c r="V153" s="51">
        <f t="shared" si="35"/>
        <v>220000</v>
      </c>
      <c r="Y153" s="147">
        <f t="shared" si="36"/>
        <v>56200</v>
      </c>
      <c r="Z153" s="177">
        <f t="shared" si="37"/>
        <v>1000</v>
      </c>
      <c r="AA153" s="178"/>
      <c r="AB153" s="178">
        <f t="shared" si="38"/>
        <v>-55.2</v>
      </c>
      <c r="AC153" s="179">
        <f t="shared" si="39"/>
        <v>1000</v>
      </c>
      <c r="AD153" s="147">
        <f t="shared" si="40"/>
        <v>3000</v>
      </c>
      <c r="AE153" s="157">
        <f t="shared" si="41"/>
        <v>-55.2</v>
      </c>
      <c r="AF153" s="179">
        <f t="shared" si="42"/>
        <v>1000</v>
      </c>
      <c r="AG153" s="147">
        <f t="shared" si="43"/>
        <v>6000</v>
      </c>
      <c r="AH153" s="157">
        <f t="shared" si="44"/>
        <v>-55.2</v>
      </c>
      <c r="AI153" s="179">
        <f t="shared" si="49"/>
        <v>1000</v>
      </c>
      <c r="AJ153" s="147">
        <f t="shared" si="46"/>
        <v>12000</v>
      </c>
      <c r="AK153" s="157">
        <f t="shared" si="47"/>
        <v>-55.2</v>
      </c>
    </row>
    <row r="154" spans="1:37" ht="14.25" hidden="1" customHeight="1" x14ac:dyDescent="0.3">
      <c r="A154" s="168" t="s">
        <v>901</v>
      </c>
      <c r="B154" s="168" t="s">
        <v>210</v>
      </c>
      <c r="C154" s="168" t="s">
        <v>201</v>
      </c>
      <c r="D154" s="168" t="s">
        <v>917</v>
      </c>
      <c r="E154" s="169">
        <v>4</v>
      </c>
      <c r="F154" s="170" t="str">
        <f>IF(A154="","",VLOOKUP(A154,Cotizador!$A$5:$J$43,2,FALSE))</f>
        <v>AUREN</v>
      </c>
      <c r="G154" s="171">
        <f>IF(A154="","",VLOOKUP(A154,Cotizador!$A$5:$J$43,3,FALSE))</f>
        <v>55000</v>
      </c>
      <c r="H154" s="147">
        <f>IF(OR(A154="",D154=""),"",IF(D154="Sin estampar",0,IF(D154="Pecho",VLOOKUP(A154,Cotizador!$A$5:$J$43,4,FALSE),IF(D154="Espalda",VLOOKUP(A154,Cotizador!$A$5:$J$43,5,FALSE),VLOOKUP(A154,Cotizador!$A$5:$J$43,4,FALSE)+VLOOKUP(A154,Cotizador!$A$5:$J$43,5,FALSE)))))</f>
        <v>0</v>
      </c>
      <c r="I154" s="147">
        <f>IF(A154="","",VLOOKUP(A154,Cotizador!$A$5:$J$43,6,FALSE))</f>
        <v>0</v>
      </c>
      <c r="J154" s="147">
        <f>IF(A154="","",VLOOKUP(A154,Cotizador!$A$5:$J$43,7,FALSE))</f>
        <v>1200</v>
      </c>
      <c r="K154" s="172">
        <f t="shared" si="29"/>
        <v>224800</v>
      </c>
      <c r="L154" s="147">
        <f>IF(A154="","",IF(D154="Sin estampar",VLOOKUP(A154,Cotizador!$A$5:$J$43,8,FALSE),IF(D154="Pecho",VLOOKUP(A154,Cotizador!$A$5:$J$43,10,FALSE),VLOOKUP(A154,Cotizador!$A$5:$J$43,9,FALSE))))</f>
        <v>1000</v>
      </c>
      <c r="M154" s="173">
        <f t="shared" si="30"/>
        <v>4000</v>
      </c>
      <c r="N154" s="147">
        <f t="shared" si="31"/>
        <v>56200</v>
      </c>
      <c r="O154" s="157"/>
      <c r="P154" s="157">
        <f t="shared" si="32"/>
        <v>-55.2</v>
      </c>
      <c r="Q154" s="174" t="str">
        <f t="shared" si="33"/>
        <v>Jogger Largo XL Negro</v>
      </c>
      <c r="R154" s="147"/>
      <c r="S154" s="185"/>
      <c r="T154" s="186">
        <f t="shared" si="34"/>
        <v>0</v>
      </c>
      <c r="V154" s="51">
        <f t="shared" si="35"/>
        <v>220000</v>
      </c>
      <c r="Y154" s="147">
        <f t="shared" si="36"/>
        <v>56200</v>
      </c>
      <c r="Z154" s="177">
        <f t="shared" si="37"/>
        <v>1000</v>
      </c>
      <c r="AA154" s="178"/>
      <c r="AB154" s="178">
        <f t="shared" si="38"/>
        <v>-55.2</v>
      </c>
      <c r="AC154" s="179">
        <f t="shared" si="39"/>
        <v>1000</v>
      </c>
      <c r="AD154" s="147">
        <f t="shared" si="40"/>
        <v>3000</v>
      </c>
      <c r="AE154" s="157">
        <f t="shared" si="41"/>
        <v>-55.2</v>
      </c>
      <c r="AF154" s="179">
        <f t="shared" si="42"/>
        <v>1000</v>
      </c>
      <c r="AG154" s="147">
        <f t="shared" si="43"/>
        <v>6000</v>
      </c>
      <c r="AH154" s="157">
        <f t="shared" si="44"/>
        <v>-55.2</v>
      </c>
      <c r="AI154" s="179">
        <f t="shared" si="49"/>
        <v>1000</v>
      </c>
      <c r="AJ154" s="147">
        <f t="shared" si="46"/>
        <v>12000</v>
      </c>
      <c r="AK154" s="157">
        <f t="shared" si="47"/>
        <v>-55.2</v>
      </c>
    </row>
    <row r="155" spans="1:37" ht="14.25" hidden="1" customHeight="1" x14ac:dyDescent="0.3">
      <c r="A155" s="168" t="s">
        <v>901</v>
      </c>
      <c r="B155" s="168" t="s">
        <v>204</v>
      </c>
      <c r="C155" s="168" t="s">
        <v>920</v>
      </c>
      <c r="D155" s="168" t="s">
        <v>917</v>
      </c>
      <c r="E155" s="169">
        <v>4</v>
      </c>
      <c r="F155" s="170" t="str">
        <f>IF(A155="","",VLOOKUP(A155,Cotizador!$A$5:$J$43,2,FALSE))</f>
        <v>AUREN</v>
      </c>
      <c r="G155" s="171">
        <f>IF(A155="","",VLOOKUP(A155,Cotizador!$A$5:$J$43,3,FALSE))</f>
        <v>55000</v>
      </c>
      <c r="H155" s="147">
        <f>IF(OR(A155="",D155=""),"",IF(D155="Sin estampar",0,IF(D155="Pecho",VLOOKUP(A155,Cotizador!$A$5:$J$43,4,FALSE),IF(D155="Espalda",VLOOKUP(A155,Cotizador!$A$5:$J$43,5,FALSE),VLOOKUP(A155,Cotizador!$A$5:$J$43,4,FALSE)+VLOOKUP(A155,Cotizador!$A$5:$J$43,5,FALSE)))))</f>
        <v>0</v>
      </c>
      <c r="I155" s="147">
        <f>IF(A155="","",VLOOKUP(A155,Cotizador!$A$5:$J$43,6,FALSE))</f>
        <v>0</v>
      </c>
      <c r="J155" s="147">
        <f>IF(A155="","",VLOOKUP(A155,Cotizador!$A$5:$J$43,7,FALSE))</f>
        <v>1200</v>
      </c>
      <c r="K155" s="172">
        <f t="shared" si="29"/>
        <v>224800</v>
      </c>
      <c r="L155" s="147">
        <f>IF(A155="","",IF(D155="Sin estampar",VLOOKUP(A155,Cotizador!$A$5:$J$43,8,FALSE),IF(D155="Pecho",VLOOKUP(A155,Cotizador!$A$5:$J$43,10,FALSE),VLOOKUP(A155,Cotizador!$A$5:$J$43,9,FALSE))))</f>
        <v>1000</v>
      </c>
      <c r="M155" s="173">
        <f t="shared" si="30"/>
        <v>4000</v>
      </c>
      <c r="N155" s="147">
        <f t="shared" si="31"/>
        <v>56200</v>
      </c>
      <c r="O155" s="157"/>
      <c r="P155" s="157">
        <f t="shared" si="32"/>
        <v>-55.2</v>
      </c>
      <c r="Q155" s="174" t="str">
        <f t="shared" si="33"/>
        <v>Jogger Largo M Beige</v>
      </c>
      <c r="R155" s="147"/>
      <c r="S155" s="185"/>
      <c r="T155" s="186">
        <f t="shared" si="34"/>
        <v>0</v>
      </c>
      <c r="V155" s="51">
        <f t="shared" si="35"/>
        <v>220000</v>
      </c>
      <c r="Y155" s="147">
        <f t="shared" si="36"/>
        <v>56200</v>
      </c>
      <c r="Z155" s="177">
        <f t="shared" si="37"/>
        <v>1000</v>
      </c>
      <c r="AA155" s="178"/>
      <c r="AB155" s="178">
        <f t="shared" si="38"/>
        <v>-55.2</v>
      </c>
      <c r="AC155" s="179">
        <f t="shared" si="39"/>
        <v>1000</v>
      </c>
      <c r="AD155" s="147">
        <f t="shared" si="40"/>
        <v>3000</v>
      </c>
      <c r="AE155" s="157">
        <f t="shared" si="41"/>
        <v>-55.2</v>
      </c>
      <c r="AF155" s="179">
        <f t="shared" si="42"/>
        <v>1000</v>
      </c>
      <c r="AG155" s="147">
        <f t="shared" si="43"/>
        <v>6000</v>
      </c>
      <c r="AH155" s="157">
        <f t="shared" si="44"/>
        <v>-55.2</v>
      </c>
      <c r="AI155" s="179">
        <f t="shared" si="49"/>
        <v>1000</v>
      </c>
      <c r="AJ155" s="147">
        <f t="shared" si="46"/>
        <v>12000</v>
      </c>
      <c r="AK155" s="157">
        <f t="shared" si="47"/>
        <v>-55.2</v>
      </c>
    </row>
    <row r="156" spans="1:37" ht="14.25" hidden="1" customHeight="1" x14ac:dyDescent="0.3">
      <c r="A156" s="168" t="s">
        <v>901</v>
      </c>
      <c r="B156" s="168" t="s">
        <v>207</v>
      </c>
      <c r="C156" s="168" t="s">
        <v>920</v>
      </c>
      <c r="D156" s="168" t="s">
        <v>917</v>
      </c>
      <c r="E156" s="169">
        <v>4</v>
      </c>
      <c r="F156" s="170" t="str">
        <f>IF(A156="","",VLOOKUP(A156,Cotizador!$A$5:$J$43,2,FALSE))</f>
        <v>AUREN</v>
      </c>
      <c r="G156" s="171">
        <f>IF(A156="","",VLOOKUP(A156,Cotizador!$A$5:$J$43,3,FALSE))</f>
        <v>55000</v>
      </c>
      <c r="H156" s="147">
        <f>IF(OR(A156="",D156=""),"",IF(D156="Sin estampar",0,IF(D156="Pecho",VLOOKUP(A156,Cotizador!$A$5:$J$43,4,FALSE),IF(D156="Espalda",VLOOKUP(A156,Cotizador!$A$5:$J$43,5,FALSE),VLOOKUP(A156,Cotizador!$A$5:$J$43,4,FALSE)+VLOOKUP(A156,Cotizador!$A$5:$J$43,5,FALSE)))))</f>
        <v>0</v>
      </c>
      <c r="I156" s="147">
        <f>IF(A156="","",VLOOKUP(A156,Cotizador!$A$5:$J$43,6,FALSE))</f>
        <v>0</v>
      </c>
      <c r="J156" s="147">
        <f>IF(A156="","",VLOOKUP(A156,Cotizador!$A$5:$J$43,7,FALSE))</f>
        <v>1200</v>
      </c>
      <c r="K156" s="172">
        <f t="shared" si="29"/>
        <v>224800</v>
      </c>
      <c r="L156" s="147">
        <f>IF(A156="","",IF(D156="Sin estampar",VLOOKUP(A156,Cotizador!$A$5:$J$43,8,FALSE),IF(D156="Pecho",VLOOKUP(A156,Cotizador!$A$5:$J$43,10,FALSE),VLOOKUP(A156,Cotizador!$A$5:$J$43,9,FALSE))))</f>
        <v>1000</v>
      </c>
      <c r="M156" s="173">
        <f t="shared" si="30"/>
        <v>4000</v>
      </c>
      <c r="N156" s="147">
        <f t="shared" si="31"/>
        <v>56200</v>
      </c>
      <c r="O156" s="157"/>
      <c r="P156" s="157">
        <f t="shared" si="32"/>
        <v>-55.2</v>
      </c>
      <c r="Q156" s="174" t="str">
        <f t="shared" si="33"/>
        <v>Jogger Largo L Beige</v>
      </c>
      <c r="R156" s="147"/>
      <c r="S156" s="185"/>
      <c r="T156" s="186">
        <f t="shared" si="34"/>
        <v>0</v>
      </c>
      <c r="V156" s="51">
        <f t="shared" si="35"/>
        <v>220000</v>
      </c>
      <c r="Y156" s="147">
        <f t="shared" si="36"/>
        <v>56200</v>
      </c>
      <c r="Z156" s="177">
        <f t="shared" si="37"/>
        <v>1000</v>
      </c>
      <c r="AA156" s="178"/>
      <c r="AB156" s="178">
        <f t="shared" si="38"/>
        <v>-55.2</v>
      </c>
      <c r="AC156" s="179">
        <f t="shared" si="39"/>
        <v>1000</v>
      </c>
      <c r="AD156" s="147">
        <f t="shared" si="40"/>
        <v>3000</v>
      </c>
      <c r="AE156" s="157">
        <f t="shared" si="41"/>
        <v>-55.2</v>
      </c>
      <c r="AF156" s="179">
        <f t="shared" si="42"/>
        <v>1000</v>
      </c>
      <c r="AG156" s="147">
        <f t="shared" si="43"/>
        <v>6000</v>
      </c>
      <c r="AH156" s="157">
        <f t="shared" si="44"/>
        <v>-55.2</v>
      </c>
      <c r="AI156" s="179">
        <f t="shared" si="49"/>
        <v>1000</v>
      </c>
      <c r="AJ156" s="147">
        <f t="shared" si="46"/>
        <v>12000</v>
      </c>
      <c r="AK156" s="157">
        <f t="shared" si="47"/>
        <v>-55.2</v>
      </c>
    </row>
    <row r="157" spans="1:37" ht="14.25" hidden="1" customHeight="1" x14ac:dyDescent="0.3">
      <c r="A157" s="168" t="s">
        <v>901</v>
      </c>
      <c r="B157" s="168" t="s">
        <v>210</v>
      </c>
      <c r="C157" s="168" t="s">
        <v>920</v>
      </c>
      <c r="D157" s="168" t="s">
        <v>917</v>
      </c>
      <c r="E157" s="169">
        <v>4</v>
      </c>
      <c r="F157" s="170" t="str">
        <f>IF(A157="","",VLOOKUP(A157,Cotizador!$A$5:$J$43,2,FALSE))</f>
        <v>AUREN</v>
      </c>
      <c r="G157" s="171">
        <f>IF(A157="","",VLOOKUP(A157,Cotizador!$A$5:$J$43,3,FALSE))</f>
        <v>55000</v>
      </c>
      <c r="H157" s="147">
        <f>IF(OR(A157="",D157=""),"",IF(D157="Sin estampar",0,IF(D157="Pecho",VLOOKUP(A157,Cotizador!$A$5:$J$43,4,FALSE),IF(D157="Espalda",VLOOKUP(A157,Cotizador!$A$5:$J$43,5,FALSE),VLOOKUP(A157,Cotizador!$A$5:$J$43,4,FALSE)+VLOOKUP(A157,Cotizador!$A$5:$J$43,5,FALSE)))))</f>
        <v>0</v>
      </c>
      <c r="I157" s="147">
        <f>IF(A157="","",VLOOKUP(A157,Cotizador!$A$5:$J$43,6,FALSE))</f>
        <v>0</v>
      </c>
      <c r="J157" s="147">
        <f>IF(A157="","",VLOOKUP(A157,Cotizador!$A$5:$J$43,7,FALSE))</f>
        <v>1200</v>
      </c>
      <c r="K157" s="172">
        <f t="shared" si="29"/>
        <v>224800</v>
      </c>
      <c r="L157" s="147">
        <f>IF(A157="","",IF(D157="Sin estampar",VLOOKUP(A157,Cotizador!$A$5:$J$43,8,FALSE),IF(D157="Pecho",VLOOKUP(A157,Cotizador!$A$5:$J$43,10,FALSE),VLOOKUP(A157,Cotizador!$A$5:$J$43,9,FALSE))))</f>
        <v>1000</v>
      </c>
      <c r="M157" s="173">
        <f t="shared" si="30"/>
        <v>4000</v>
      </c>
      <c r="N157" s="147">
        <f t="shared" si="31"/>
        <v>56200</v>
      </c>
      <c r="O157" s="157"/>
      <c r="P157" s="157">
        <f t="shared" si="32"/>
        <v>-55.2</v>
      </c>
      <c r="Q157" s="174" t="str">
        <f t="shared" si="33"/>
        <v>Jogger Largo XL Beige</v>
      </c>
      <c r="R157" s="147"/>
      <c r="S157" s="185"/>
      <c r="T157" s="186">
        <f t="shared" si="34"/>
        <v>0</v>
      </c>
      <c r="V157" s="51">
        <f t="shared" si="35"/>
        <v>220000</v>
      </c>
      <c r="Y157" s="147">
        <f t="shared" si="36"/>
        <v>56200</v>
      </c>
      <c r="Z157" s="177">
        <f t="shared" si="37"/>
        <v>1000</v>
      </c>
      <c r="AA157" s="178"/>
      <c r="AB157" s="178">
        <f t="shared" si="38"/>
        <v>-55.2</v>
      </c>
      <c r="AC157" s="179">
        <f t="shared" si="39"/>
        <v>1000</v>
      </c>
      <c r="AD157" s="147">
        <f t="shared" si="40"/>
        <v>3000</v>
      </c>
      <c r="AE157" s="157">
        <f t="shared" si="41"/>
        <v>-55.2</v>
      </c>
      <c r="AF157" s="179">
        <f t="shared" si="42"/>
        <v>1000</v>
      </c>
      <c r="AG157" s="147">
        <f t="shared" si="43"/>
        <v>6000</v>
      </c>
      <c r="AH157" s="157">
        <f t="shared" si="44"/>
        <v>-55.2</v>
      </c>
      <c r="AI157" s="179">
        <f t="shared" si="49"/>
        <v>1000</v>
      </c>
      <c r="AJ157" s="147">
        <f t="shared" si="46"/>
        <v>12000</v>
      </c>
      <c r="AK157" s="157">
        <f t="shared" si="47"/>
        <v>-55.2</v>
      </c>
    </row>
    <row r="158" spans="1:37" ht="14.25" hidden="1" customHeight="1" x14ac:dyDescent="0.3">
      <c r="A158" s="168" t="s">
        <v>353</v>
      </c>
      <c r="B158" s="168" t="s">
        <v>204</v>
      </c>
      <c r="C158" s="168" t="s">
        <v>201</v>
      </c>
      <c r="D158" s="168" t="s">
        <v>917</v>
      </c>
      <c r="E158" s="169">
        <v>4</v>
      </c>
      <c r="F158" s="170" t="str">
        <f>IF(A158="","",VLOOKUP(A158,Cotizador!$A$5:$J$43,2,FALSE))</f>
        <v>AUREN</v>
      </c>
      <c r="G158" s="171">
        <f>IF(A158="","",VLOOKUP(A158,Cotizador!$A$5:$J$43,3,FALSE))</f>
        <v>40000</v>
      </c>
      <c r="H158" s="147">
        <f>IF(OR(A158="",D158=""),"",IF(D158="Sin estampar",0,IF(D158="Pecho",VLOOKUP(A158,Cotizador!$A$5:$J$43,4,FALSE),IF(D158="Espalda",VLOOKUP(A158,Cotizador!$A$5:$J$43,5,FALSE),VLOOKUP(A158,Cotizador!$A$5:$J$43,4,FALSE)+VLOOKUP(A158,Cotizador!$A$5:$J$43,5,FALSE)))))</f>
        <v>0</v>
      </c>
      <c r="I158" s="147">
        <f>IF(A158="","",VLOOKUP(A158,Cotizador!$A$5:$J$43,6,FALSE))</f>
        <v>0</v>
      </c>
      <c r="J158" s="147">
        <f>IF(A158="","",VLOOKUP(A158,Cotizador!$A$5:$J$43,7,FALSE))</f>
        <v>1200</v>
      </c>
      <c r="K158" s="172">
        <f t="shared" si="29"/>
        <v>164800</v>
      </c>
      <c r="L158" s="147">
        <f>IF(A158="","",IF(D158="Sin estampar",VLOOKUP(A158,Cotizador!$A$5:$J$43,8,FALSE),IF(D158="Pecho",VLOOKUP(A158,Cotizador!$A$5:$J$43,10,FALSE),VLOOKUP(A158,Cotizador!$A$5:$J$43,9,FALSE))))</f>
        <v>1000</v>
      </c>
      <c r="M158" s="173">
        <f t="shared" si="30"/>
        <v>4000</v>
      </c>
      <c r="N158" s="147">
        <f t="shared" si="31"/>
        <v>41200</v>
      </c>
      <c r="O158" s="157"/>
      <c r="P158" s="157">
        <f t="shared" si="32"/>
        <v>-40.200000000000003</v>
      </c>
      <c r="Q158" s="174" t="str">
        <f t="shared" si="33"/>
        <v>Chaqueta Cortavientos M Negro</v>
      </c>
      <c r="R158" s="147"/>
      <c r="S158" s="185"/>
      <c r="T158" s="186">
        <f t="shared" si="34"/>
        <v>0</v>
      </c>
      <c r="V158" s="51">
        <f t="shared" si="35"/>
        <v>160000</v>
      </c>
      <c r="Y158" s="147">
        <f t="shared" si="36"/>
        <v>41200</v>
      </c>
      <c r="Z158" s="177">
        <f t="shared" si="37"/>
        <v>1000</v>
      </c>
      <c r="AA158" s="178"/>
      <c r="AB158" s="178">
        <f t="shared" si="38"/>
        <v>-40.200000000000003</v>
      </c>
      <c r="AC158" s="179">
        <f t="shared" si="39"/>
        <v>1000</v>
      </c>
      <c r="AD158" s="147">
        <f t="shared" si="40"/>
        <v>3000</v>
      </c>
      <c r="AE158" s="157">
        <f t="shared" si="41"/>
        <v>-40.200000000000003</v>
      </c>
      <c r="AF158" s="179">
        <f t="shared" si="42"/>
        <v>1000</v>
      </c>
      <c r="AG158" s="147">
        <f t="shared" si="43"/>
        <v>6000</v>
      </c>
      <c r="AH158" s="157">
        <f t="shared" si="44"/>
        <v>-40.200000000000003</v>
      </c>
      <c r="AI158" s="179">
        <f t="shared" si="49"/>
        <v>1000</v>
      </c>
      <c r="AJ158" s="147">
        <f t="shared" si="46"/>
        <v>12000</v>
      </c>
      <c r="AK158" s="157">
        <f t="shared" si="47"/>
        <v>-40.200000000000003</v>
      </c>
    </row>
    <row r="159" spans="1:37" ht="14.25" hidden="1" customHeight="1" x14ac:dyDescent="0.3">
      <c r="A159" s="168" t="s">
        <v>353</v>
      </c>
      <c r="B159" s="168" t="s">
        <v>207</v>
      </c>
      <c r="C159" s="168" t="s">
        <v>201</v>
      </c>
      <c r="D159" s="168" t="s">
        <v>917</v>
      </c>
      <c r="E159" s="169">
        <v>4</v>
      </c>
      <c r="F159" s="170" t="str">
        <f>IF(A159="","",VLOOKUP(A159,Cotizador!$A$5:$J$43,2,FALSE))</f>
        <v>AUREN</v>
      </c>
      <c r="G159" s="171">
        <f>IF(A159="","",VLOOKUP(A159,Cotizador!$A$5:$J$43,3,FALSE))</f>
        <v>40000</v>
      </c>
      <c r="H159" s="147">
        <f>IF(OR(A159="",D159=""),"",IF(D159="Sin estampar",0,IF(D159="Pecho",VLOOKUP(A159,Cotizador!$A$5:$J$43,4,FALSE),IF(D159="Espalda",VLOOKUP(A159,Cotizador!$A$5:$J$43,5,FALSE),VLOOKUP(A159,Cotizador!$A$5:$J$43,4,FALSE)+VLOOKUP(A159,Cotizador!$A$5:$J$43,5,FALSE)))))</f>
        <v>0</v>
      </c>
      <c r="I159" s="147">
        <f>IF(A159="","",VLOOKUP(A159,Cotizador!$A$5:$J$43,6,FALSE))</f>
        <v>0</v>
      </c>
      <c r="J159" s="147">
        <f>IF(A159="","",VLOOKUP(A159,Cotizador!$A$5:$J$43,7,FALSE))</f>
        <v>1200</v>
      </c>
      <c r="K159" s="172">
        <f t="shared" si="29"/>
        <v>164800</v>
      </c>
      <c r="L159" s="147">
        <f>IF(A159="","",IF(D159="Sin estampar",VLOOKUP(A159,Cotizador!$A$5:$J$43,8,FALSE),IF(D159="Pecho",VLOOKUP(A159,Cotizador!$A$5:$J$43,10,FALSE),VLOOKUP(A159,Cotizador!$A$5:$J$43,9,FALSE))))</f>
        <v>1000</v>
      </c>
      <c r="M159" s="173">
        <f t="shared" si="30"/>
        <v>4000</v>
      </c>
      <c r="N159" s="147">
        <f t="shared" si="31"/>
        <v>41200</v>
      </c>
      <c r="O159" s="157"/>
      <c r="P159" s="157">
        <f t="shared" si="32"/>
        <v>-40.200000000000003</v>
      </c>
      <c r="Q159" s="174" t="str">
        <f t="shared" si="33"/>
        <v>Chaqueta Cortavientos L Negro</v>
      </c>
      <c r="R159" s="147"/>
      <c r="S159" s="185"/>
      <c r="T159" s="186">
        <f t="shared" si="34"/>
        <v>0</v>
      </c>
      <c r="V159" s="51">
        <f t="shared" si="35"/>
        <v>160000</v>
      </c>
      <c r="Y159" s="147">
        <f t="shared" si="36"/>
        <v>41200</v>
      </c>
      <c r="Z159" s="177">
        <f t="shared" si="37"/>
        <v>1000</v>
      </c>
      <c r="AA159" s="178"/>
      <c r="AB159" s="178">
        <f t="shared" si="38"/>
        <v>-40.200000000000003</v>
      </c>
      <c r="AC159" s="179">
        <f t="shared" si="39"/>
        <v>1000</v>
      </c>
      <c r="AD159" s="147">
        <f t="shared" si="40"/>
        <v>3000</v>
      </c>
      <c r="AE159" s="157">
        <f t="shared" si="41"/>
        <v>-40.200000000000003</v>
      </c>
      <c r="AF159" s="179">
        <f t="shared" si="42"/>
        <v>1000</v>
      </c>
      <c r="AG159" s="147">
        <f t="shared" si="43"/>
        <v>6000</v>
      </c>
      <c r="AH159" s="157">
        <f t="shared" si="44"/>
        <v>-40.200000000000003</v>
      </c>
      <c r="AI159" s="179">
        <f t="shared" si="49"/>
        <v>1000</v>
      </c>
      <c r="AJ159" s="147">
        <f t="shared" si="46"/>
        <v>12000</v>
      </c>
      <c r="AK159" s="157">
        <f t="shared" si="47"/>
        <v>-40.200000000000003</v>
      </c>
    </row>
    <row r="160" spans="1:37" ht="14.25" hidden="1" customHeight="1" x14ac:dyDescent="0.3">
      <c r="A160" s="168" t="s">
        <v>353</v>
      </c>
      <c r="B160" s="168" t="s">
        <v>210</v>
      </c>
      <c r="C160" s="168" t="s">
        <v>201</v>
      </c>
      <c r="D160" s="168" t="s">
        <v>917</v>
      </c>
      <c r="E160" s="169">
        <v>4</v>
      </c>
      <c r="F160" s="170" t="str">
        <f>IF(A160="","",VLOOKUP(A160,Cotizador!$A$5:$J$43,2,FALSE))</f>
        <v>AUREN</v>
      </c>
      <c r="G160" s="171">
        <f>IF(A160="","",VLOOKUP(A160,Cotizador!$A$5:$J$43,3,FALSE))</f>
        <v>40000</v>
      </c>
      <c r="H160" s="147">
        <f>IF(OR(A160="",D160=""),"",IF(D160="Sin estampar",0,IF(D160="Pecho",VLOOKUP(A160,Cotizador!$A$5:$J$43,4,FALSE),IF(D160="Espalda",VLOOKUP(A160,Cotizador!$A$5:$J$43,5,FALSE),VLOOKUP(A160,Cotizador!$A$5:$J$43,4,FALSE)+VLOOKUP(A160,Cotizador!$A$5:$J$43,5,FALSE)))))</f>
        <v>0</v>
      </c>
      <c r="I160" s="147">
        <f>IF(A160="","",VLOOKUP(A160,Cotizador!$A$5:$J$43,6,FALSE))</f>
        <v>0</v>
      </c>
      <c r="J160" s="147">
        <f>IF(A160="","",VLOOKUP(A160,Cotizador!$A$5:$J$43,7,FALSE))</f>
        <v>1200</v>
      </c>
      <c r="K160" s="172">
        <f t="shared" si="29"/>
        <v>164800</v>
      </c>
      <c r="L160" s="147">
        <f>IF(A160="","",IF(D160="Sin estampar",VLOOKUP(A160,Cotizador!$A$5:$J$43,8,FALSE),IF(D160="Pecho",VLOOKUP(A160,Cotizador!$A$5:$J$43,10,FALSE),VLOOKUP(A160,Cotizador!$A$5:$J$43,9,FALSE))))</f>
        <v>1000</v>
      </c>
      <c r="M160" s="173">
        <f t="shared" si="30"/>
        <v>4000</v>
      </c>
      <c r="N160" s="147">
        <f t="shared" si="31"/>
        <v>41200</v>
      </c>
      <c r="O160" s="157"/>
      <c r="P160" s="157">
        <f t="shared" si="32"/>
        <v>-40.200000000000003</v>
      </c>
      <c r="Q160" s="174" t="str">
        <f t="shared" si="33"/>
        <v>Chaqueta Cortavientos XL Negro</v>
      </c>
      <c r="R160" s="147"/>
      <c r="S160" s="185"/>
      <c r="T160" s="186">
        <f t="shared" si="34"/>
        <v>0</v>
      </c>
      <c r="V160" s="51">
        <f t="shared" si="35"/>
        <v>160000</v>
      </c>
      <c r="Y160" s="147">
        <f t="shared" si="36"/>
        <v>41200</v>
      </c>
      <c r="Z160" s="177">
        <f t="shared" si="37"/>
        <v>1000</v>
      </c>
      <c r="AA160" s="178"/>
      <c r="AB160" s="178">
        <f t="shared" si="38"/>
        <v>-40.200000000000003</v>
      </c>
      <c r="AC160" s="179">
        <f t="shared" si="39"/>
        <v>1000</v>
      </c>
      <c r="AD160" s="147">
        <f t="shared" si="40"/>
        <v>3000</v>
      </c>
      <c r="AE160" s="157">
        <f t="shared" si="41"/>
        <v>-40.200000000000003</v>
      </c>
      <c r="AF160" s="179">
        <f t="shared" si="42"/>
        <v>1000</v>
      </c>
      <c r="AG160" s="147">
        <f t="shared" si="43"/>
        <v>6000</v>
      </c>
      <c r="AH160" s="157">
        <f t="shared" si="44"/>
        <v>-40.200000000000003</v>
      </c>
      <c r="AI160" s="179">
        <f t="shared" si="49"/>
        <v>1000</v>
      </c>
      <c r="AJ160" s="147">
        <f t="shared" si="46"/>
        <v>12000</v>
      </c>
      <c r="AK160" s="157">
        <f t="shared" si="47"/>
        <v>-40.200000000000003</v>
      </c>
    </row>
    <row r="161" spans="1:37" ht="14.25" hidden="1" customHeight="1" x14ac:dyDescent="0.3">
      <c r="A161" s="168" t="s">
        <v>353</v>
      </c>
      <c r="B161" s="168" t="s">
        <v>204</v>
      </c>
      <c r="C161" s="168" t="s">
        <v>920</v>
      </c>
      <c r="D161" s="168" t="s">
        <v>917</v>
      </c>
      <c r="E161" s="169">
        <v>4</v>
      </c>
      <c r="F161" s="170" t="str">
        <f>IF(A161="","",VLOOKUP(A161,Cotizador!$A$5:$J$43,2,FALSE))</f>
        <v>AUREN</v>
      </c>
      <c r="G161" s="171">
        <f>IF(A161="","",VLOOKUP(A161,Cotizador!$A$5:$J$43,3,FALSE))</f>
        <v>40000</v>
      </c>
      <c r="H161" s="147">
        <f>IF(OR(A161="",D161=""),"",IF(D161="Sin estampar",0,IF(D161="Pecho",VLOOKUP(A161,Cotizador!$A$5:$J$43,4,FALSE),IF(D161="Espalda",VLOOKUP(A161,Cotizador!$A$5:$J$43,5,FALSE),VLOOKUP(A161,Cotizador!$A$5:$J$43,4,FALSE)+VLOOKUP(A161,Cotizador!$A$5:$J$43,5,FALSE)))))</f>
        <v>0</v>
      </c>
      <c r="I161" s="147">
        <f>IF(A161="","",VLOOKUP(A161,Cotizador!$A$5:$J$43,6,FALSE))</f>
        <v>0</v>
      </c>
      <c r="J161" s="147">
        <f>IF(A161="","",VLOOKUP(A161,Cotizador!$A$5:$J$43,7,FALSE))</f>
        <v>1200</v>
      </c>
      <c r="K161" s="172">
        <f t="shared" si="29"/>
        <v>164800</v>
      </c>
      <c r="L161" s="147">
        <f>IF(A161="","",IF(D161="Sin estampar",VLOOKUP(A161,Cotizador!$A$5:$J$43,8,FALSE),IF(D161="Pecho",VLOOKUP(A161,Cotizador!$A$5:$J$43,10,FALSE),VLOOKUP(A161,Cotizador!$A$5:$J$43,9,FALSE))))</f>
        <v>1000</v>
      </c>
      <c r="M161" s="173">
        <f t="shared" si="30"/>
        <v>4000</v>
      </c>
      <c r="N161" s="147">
        <f t="shared" si="31"/>
        <v>41200</v>
      </c>
      <c r="O161" s="157"/>
      <c r="P161" s="157">
        <f t="shared" si="32"/>
        <v>-40.200000000000003</v>
      </c>
      <c r="Q161" s="174" t="str">
        <f t="shared" si="33"/>
        <v>Chaqueta Cortavientos M Beige</v>
      </c>
      <c r="R161" s="147"/>
      <c r="S161" s="185"/>
      <c r="T161" s="186">
        <f t="shared" si="34"/>
        <v>0</v>
      </c>
      <c r="V161" s="51">
        <f t="shared" si="35"/>
        <v>160000</v>
      </c>
      <c r="Y161" s="147">
        <f t="shared" si="36"/>
        <v>41200</v>
      </c>
      <c r="Z161" s="177">
        <f t="shared" si="37"/>
        <v>1000</v>
      </c>
      <c r="AA161" s="178"/>
      <c r="AB161" s="178">
        <f t="shared" si="38"/>
        <v>-40.200000000000003</v>
      </c>
      <c r="AC161" s="179">
        <f t="shared" si="39"/>
        <v>1000</v>
      </c>
      <c r="AD161" s="147">
        <f t="shared" si="40"/>
        <v>3000</v>
      </c>
      <c r="AE161" s="157">
        <f t="shared" si="41"/>
        <v>-40.200000000000003</v>
      </c>
      <c r="AF161" s="179">
        <f t="shared" si="42"/>
        <v>1000</v>
      </c>
      <c r="AG161" s="147">
        <f t="shared" si="43"/>
        <v>6000</v>
      </c>
      <c r="AH161" s="157">
        <f t="shared" si="44"/>
        <v>-40.200000000000003</v>
      </c>
      <c r="AI161" s="179">
        <f t="shared" si="49"/>
        <v>1000</v>
      </c>
      <c r="AJ161" s="147">
        <f t="shared" si="46"/>
        <v>12000</v>
      </c>
      <c r="AK161" s="157">
        <f t="shared" si="47"/>
        <v>-40.200000000000003</v>
      </c>
    </row>
    <row r="162" spans="1:37" ht="14.25" hidden="1" customHeight="1" x14ac:dyDescent="0.3">
      <c r="A162" s="168" t="s">
        <v>353</v>
      </c>
      <c r="B162" s="168" t="s">
        <v>207</v>
      </c>
      <c r="C162" s="168" t="s">
        <v>920</v>
      </c>
      <c r="D162" s="168" t="s">
        <v>917</v>
      </c>
      <c r="E162" s="169">
        <v>4</v>
      </c>
      <c r="F162" s="170" t="str">
        <f>IF(A162="","",VLOOKUP(A162,Cotizador!$A$5:$J$43,2,FALSE))</f>
        <v>AUREN</v>
      </c>
      <c r="G162" s="171">
        <f>IF(A162="","",VLOOKUP(A162,Cotizador!$A$5:$J$43,3,FALSE))</f>
        <v>40000</v>
      </c>
      <c r="H162" s="147">
        <f>IF(OR(A162="",D162=""),"",IF(D162="Sin estampar",0,IF(D162="Pecho",VLOOKUP(A162,Cotizador!$A$5:$J$43,4,FALSE),IF(D162="Espalda",VLOOKUP(A162,Cotizador!$A$5:$J$43,5,FALSE),VLOOKUP(A162,Cotizador!$A$5:$J$43,4,FALSE)+VLOOKUP(A162,Cotizador!$A$5:$J$43,5,FALSE)))))</f>
        <v>0</v>
      </c>
      <c r="I162" s="147">
        <f>IF(A162="","",VLOOKUP(A162,Cotizador!$A$5:$J$43,6,FALSE))</f>
        <v>0</v>
      </c>
      <c r="J162" s="147">
        <f>IF(A162="","",VLOOKUP(A162,Cotizador!$A$5:$J$43,7,FALSE))</f>
        <v>1200</v>
      </c>
      <c r="K162" s="172">
        <f t="shared" si="29"/>
        <v>164800</v>
      </c>
      <c r="L162" s="147">
        <f>IF(A162="","",IF(D162="Sin estampar",VLOOKUP(A162,Cotizador!$A$5:$J$43,8,FALSE),IF(D162="Pecho",VLOOKUP(A162,Cotizador!$A$5:$J$43,10,FALSE),VLOOKUP(A162,Cotizador!$A$5:$J$43,9,FALSE))))</f>
        <v>1000</v>
      </c>
      <c r="M162" s="173">
        <f t="shared" si="30"/>
        <v>4000</v>
      </c>
      <c r="N162" s="147">
        <f t="shared" si="31"/>
        <v>41200</v>
      </c>
      <c r="O162" s="157"/>
      <c r="P162" s="157">
        <f t="shared" si="32"/>
        <v>-40.200000000000003</v>
      </c>
      <c r="Q162" s="174" t="str">
        <f t="shared" si="33"/>
        <v>Chaqueta Cortavientos L Beige</v>
      </c>
      <c r="R162" s="147"/>
      <c r="S162" s="185"/>
      <c r="T162" s="186">
        <f t="shared" si="34"/>
        <v>0</v>
      </c>
      <c r="V162" s="51">
        <f t="shared" si="35"/>
        <v>160000</v>
      </c>
      <c r="Y162" s="147">
        <f t="shared" si="36"/>
        <v>41200</v>
      </c>
      <c r="Z162" s="177">
        <f t="shared" si="37"/>
        <v>1000</v>
      </c>
      <c r="AA162" s="178"/>
      <c r="AB162" s="178">
        <f t="shared" si="38"/>
        <v>-40.200000000000003</v>
      </c>
      <c r="AC162" s="179">
        <f t="shared" si="39"/>
        <v>1000</v>
      </c>
      <c r="AD162" s="147">
        <f t="shared" si="40"/>
        <v>3000</v>
      </c>
      <c r="AE162" s="157">
        <f t="shared" si="41"/>
        <v>-40.200000000000003</v>
      </c>
      <c r="AF162" s="179">
        <f t="shared" si="42"/>
        <v>1000</v>
      </c>
      <c r="AG162" s="147">
        <f t="shared" si="43"/>
        <v>6000</v>
      </c>
      <c r="AH162" s="157">
        <f t="shared" si="44"/>
        <v>-40.200000000000003</v>
      </c>
      <c r="AI162" s="179">
        <f t="shared" si="49"/>
        <v>1000</v>
      </c>
      <c r="AJ162" s="147">
        <f t="shared" si="46"/>
        <v>12000</v>
      </c>
      <c r="AK162" s="157">
        <f t="shared" si="47"/>
        <v>-40.200000000000003</v>
      </c>
    </row>
    <row r="163" spans="1:37" ht="14.25" hidden="1" customHeight="1" x14ac:dyDescent="0.3">
      <c r="A163" s="168" t="s">
        <v>353</v>
      </c>
      <c r="B163" s="168" t="s">
        <v>210</v>
      </c>
      <c r="C163" s="168" t="s">
        <v>920</v>
      </c>
      <c r="D163" s="168" t="s">
        <v>917</v>
      </c>
      <c r="E163" s="169">
        <v>4</v>
      </c>
      <c r="F163" s="170" t="str">
        <f>IF(A163="","",VLOOKUP(A163,Cotizador!$A$5:$J$43,2,FALSE))</f>
        <v>AUREN</v>
      </c>
      <c r="G163" s="171">
        <f>IF(A163="","",VLOOKUP(A163,Cotizador!$A$5:$J$43,3,FALSE))</f>
        <v>40000</v>
      </c>
      <c r="H163" s="147">
        <f>IF(OR(A163="",D163=""),"",IF(D163="Sin estampar",0,IF(D163="Pecho",VLOOKUP(A163,Cotizador!$A$5:$J$43,4,FALSE),IF(D163="Espalda",VLOOKUP(A163,Cotizador!$A$5:$J$43,5,FALSE),VLOOKUP(A163,Cotizador!$A$5:$J$43,4,FALSE)+VLOOKUP(A163,Cotizador!$A$5:$J$43,5,FALSE)))))</f>
        <v>0</v>
      </c>
      <c r="I163" s="147">
        <f>IF(A163="","",VLOOKUP(A163,Cotizador!$A$5:$J$43,6,FALSE))</f>
        <v>0</v>
      </c>
      <c r="J163" s="147">
        <f>IF(A163="","",VLOOKUP(A163,Cotizador!$A$5:$J$43,7,FALSE))</f>
        <v>1200</v>
      </c>
      <c r="K163" s="172">
        <f t="shared" si="29"/>
        <v>164800</v>
      </c>
      <c r="L163" s="147">
        <f>IF(A163="","",IF(D163="Sin estampar",VLOOKUP(A163,Cotizador!$A$5:$J$43,8,FALSE),IF(D163="Pecho",VLOOKUP(A163,Cotizador!$A$5:$J$43,10,FALSE),VLOOKUP(A163,Cotizador!$A$5:$J$43,9,FALSE))))</f>
        <v>1000</v>
      </c>
      <c r="M163" s="173">
        <f t="shared" si="30"/>
        <v>4000</v>
      </c>
      <c r="N163" s="147">
        <f t="shared" si="31"/>
        <v>41200</v>
      </c>
      <c r="O163" s="157"/>
      <c r="P163" s="157">
        <f t="shared" si="32"/>
        <v>-40.200000000000003</v>
      </c>
      <c r="Q163" s="174" t="str">
        <f t="shared" si="33"/>
        <v>Chaqueta Cortavientos XL Beige</v>
      </c>
      <c r="R163" s="147"/>
      <c r="S163" s="185"/>
      <c r="T163" s="186">
        <f t="shared" si="34"/>
        <v>0</v>
      </c>
      <c r="V163" s="51">
        <f t="shared" si="35"/>
        <v>160000</v>
      </c>
      <c r="Y163" s="147">
        <f t="shared" si="36"/>
        <v>41200</v>
      </c>
      <c r="Z163" s="177">
        <f t="shared" si="37"/>
        <v>1000</v>
      </c>
      <c r="AA163" s="178"/>
      <c r="AB163" s="178">
        <f t="shared" si="38"/>
        <v>-40.200000000000003</v>
      </c>
      <c r="AC163" s="179">
        <f t="shared" si="39"/>
        <v>1000</v>
      </c>
      <c r="AD163" s="147">
        <f t="shared" si="40"/>
        <v>3000</v>
      </c>
      <c r="AE163" s="157">
        <f t="shared" si="41"/>
        <v>-40.200000000000003</v>
      </c>
      <c r="AF163" s="179">
        <f t="shared" si="42"/>
        <v>1000</v>
      </c>
      <c r="AG163" s="147">
        <f t="shared" si="43"/>
        <v>6000</v>
      </c>
      <c r="AH163" s="157">
        <f t="shared" si="44"/>
        <v>-40.200000000000003</v>
      </c>
      <c r="AI163" s="179">
        <f t="shared" si="49"/>
        <v>1000</v>
      </c>
      <c r="AJ163" s="147">
        <f t="shared" si="46"/>
        <v>12000</v>
      </c>
      <c r="AK163" s="157">
        <f t="shared" si="47"/>
        <v>-40.200000000000003</v>
      </c>
    </row>
    <row r="164" spans="1:37" ht="14.25" hidden="1" customHeight="1" x14ac:dyDescent="0.3">
      <c r="A164" s="168" t="s">
        <v>353</v>
      </c>
      <c r="B164" s="168" t="s">
        <v>204</v>
      </c>
      <c r="C164" s="168" t="s">
        <v>923</v>
      </c>
      <c r="D164" s="168" t="s">
        <v>917</v>
      </c>
      <c r="E164" s="169">
        <v>4</v>
      </c>
      <c r="F164" s="170" t="str">
        <f>IF(A164="","",VLOOKUP(A164,Cotizador!$A$5:$J$43,2,FALSE))</f>
        <v>AUREN</v>
      </c>
      <c r="G164" s="171">
        <f>IF(A164="","",VLOOKUP(A164,Cotizador!$A$5:$J$43,3,FALSE))</f>
        <v>40000</v>
      </c>
      <c r="H164" s="147">
        <f>IF(OR(A164="",D164=""),"",IF(D164="Sin estampar",0,IF(D164="Pecho",VLOOKUP(A164,Cotizador!$A$5:$J$43,4,FALSE),IF(D164="Espalda",VLOOKUP(A164,Cotizador!$A$5:$J$43,5,FALSE),VLOOKUP(A164,Cotizador!$A$5:$J$43,4,FALSE)+VLOOKUP(A164,Cotizador!$A$5:$J$43,5,FALSE)))))</f>
        <v>0</v>
      </c>
      <c r="I164" s="147">
        <f>IF(A164="","",VLOOKUP(A164,Cotizador!$A$5:$J$43,6,FALSE))</f>
        <v>0</v>
      </c>
      <c r="J164" s="147">
        <f>IF(A164="","",VLOOKUP(A164,Cotizador!$A$5:$J$43,7,FALSE))</f>
        <v>1200</v>
      </c>
      <c r="K164" s="172">
        <f t="shared" si="29"/>
        <v>164800</v>
      </c>
      <c r="L164" s="147">
        <f>IF(A164="","",IF(D164="Sin estampar",VLOOKUP(A164,Cotizador!$A$5:$J$43,8,FALSE),IF(D164="Pecho",VLOOKUP(A164,Cotizador!$A$5:$J$43,10,FALSE),VLOOKUP(A164,Cotizador!$A$5:$J$43,9,FALSE))))</f>
        <v>1000</v>
      </c>
      <c r="M164" s="173">
        <f t="shared" si="30"/>
        <v>4000</v>
      </c>
      <c r="N164" s="147">
        <f t="shared" si="31"/>
        <v>41200</v>
      </c>
      <c r="O164" s="157"/>
      <c r="P164" s="157">
        <f t="shared" si="32"/>
        <v>-40.200000000000003</v>
      </c>
      <c r="Q164" s="174" t="str">
        <f t="shared" si="33"/>
        <v>Chaqueta Cortavientos M Verde Botella</v>
      </c>
      <c r="R164" s="147"/>
      <c r="S164" s="185"/>
      <c r="T164" s="186">
        <f t="shared" si="34"/>
        <v>0</v>
      </c>
      <c r="V164" s="51">
        <f t="shared" si="35"/>
        <v>160000</v>
      </c>
      <c r="Y164" s="147">
        <f t="shared" si="36"/>
        <v>41200</v>
      </c>
      <c r="Z164" s="177">
        <f t="shared" si="37"/>
        <v>1000</v>
      </c>
      <c r="AA164" s="178"/>
      <c r="AB164" s="178">
        <f t="shared" si="38"/>
        <v>-40.200000000000003</v>
      </c>
      <c r="AC164" s="179">
        <f t="shared" si="39"/>
        <v>1000</v>
      </c>
      <c r="AD164" s="147">
        <f t="shared" si="40"/>
        <v>3000</v>
      </c>
      <c r="AE164" s="157">
        <f t="shared" si="41"/>
        <v>-40.200000000000003</v>
      </c>
      <c r="AF164" s="179">
        <f t="shared" si="42"/>
        <v>1000</v>
      </c>
      <c r="AG164" s="147">
        <f t="shared" si="43"/>
        <v>6000</v>
      </c>
      <c r="AH164" s="157">
        <f t="shared" si="44"/>
        <v>-40.200000000000003</v>
      </c>
      <c r="AI164" s="179">
        <f t="shared" si="49"/>
        <v>1000</v>
      </c>
      <c r="AJ164" s="147">
        <f t="shared" si="46"/>
        <v>12000</v>
      </c>
      <c r="AK164" s="157">
        <f t="shared" si="47"/>
        <v>-40.200000000000003</v>
      </c>
    </row>
    <row r="165" spans="1:37" ht="14.25" hidden="1" customHeight="1" x14ac:dyDescent="0.3">
      <c r="A165" s="168" t="s">
        <v>353</v>
      </c>
      <c r="B165" s="168" t="s">
        <v>207</v>
      </c>
      <c r="C165" s="168" t="s">
        <v>923</v>
      </c>
      <c r="D165" s="168" t="s">
        <v>917</v>
      </c>
      <c r="E165" s="169">
        <v>4</v>
      </c>
      <c r="F165" s="170" t="str">
        <f>IF(A165="","",VLOOKUP(A165,Cotizador!$A$5:$J$43,2,FALSE))</f>
        <v>AUREN</v>
      </c>
      <c r="G165" s="171">
        <f>IF(A165="","",VLOOKUP(A165,Cotizador!$A$5:$J$43,3,FALSE))</f>
        <v>40000</v>
      </c>
      <c r="H165" s="147">
        <f>IF(OR(A165="",D165=""),"",IF(D165="Sin estampar",0,IF(D165="Pecho",VLOOKUP(A165,Cotizador!$A$5:$J$43,4,FALSE),IF(D165="Espalda",VLOOKUP(A165,Cotizador!$A$5:$J$43,5,FALSE),VLOOKUP(A165,Cotizador!$A$5:$J$43,4,FALSE)+VLOOKUP(A165,Cotizador!$A$5:$J$43,5,FALSE)))))</f>
        <v>0</v>
      </c>
      <c r="I165" s="147">
        <f>IF(A165="","",VLOOKUP(A165,Cotizador!$A$5:$J$43,6,FALSE))</f>
        <v>0</v>
      </c>
      <c r="J165" s="147">
        <f>IF(A165="","",VLOOKUP(A165,Cotizador!$A$5:$J$43,7,FALSE))</f>
        <v>1200</v>
      </c>
      <c r="K165" s="172">
        <f t="shared" si="29"/>
        <v>164800</v>
      </c>
      <c r="L165" s="147">
        <f>IF(A165="","",IF(D165="Sin estampar",VLOOKUP(A165,Cotizador!$A$5:$J$43,8,FALSE),IF(D165="Pecho",VLOOKUP(A165,Cotizador!$A$5:$J$43,10,FALSE),VLOOKUP(A165,Cotizador!$A$5:$J$43,9,FALSE))))</f>
        <v>1000</v>
      </c>
      <c r="M165" s="173">
        <f t="shared" si="30"/>
        <v>4000</v>
      </c>
      <c r="N165" s="147">
        <f t="shared" si="31"/>
        <v>41200</v>
      </c>
      <c r="O165" s="157"/>
      <c r="P165" s="157">
        <f t="shared" si="32"/>
        <v>-40.200000000000003</v>
      </c>
      <c r="Q165" s="174" t="str">
        <f t="shared" si="33"/>
        <v>Chaqueta Cortavientos L Verde Botella</v>
      </c>
      <c r="R165" s="147"/>
      <c r="S165" s="185"/>
      <c r="T165" s="186">
        <f t="shared" si="34"/>
        <v>0</v>
      </c>
      <c r="V165" s="51">
        <f t="shared" si="35"/>
        <v>160000</v>
      </c>
      <c r="Y165" s="147">
        <f t="shared" si="36"/>
        <v>41200</v>
      </c>
      <c r="Z165" s="177">
        <f t="shared" si="37"/>
        <v>1000</v>
      </c>
      <c r="AA165" s="178"/>
      <c r="AB165" s="178">
        <f t="shared" si="38"/>
        <v>-40.200000000000003</v>
      </c>
      <c r="AC165" s="179">
        <f t="shared" si="39"/>
        <v>1000</v>
      </c>
      <c r="AD165" s="147">
        <f t="shared" si="40"/>
        <v>3000</v>
      </c>
      <c r="AE165" s="157">
        <f t="shared" si="41"/>
        <v>-40.200000000000003</v>
      </c>
      <c r="AF165" s="179">
        <f t="shared" si="42"/>
        <v>1000</v>
      </c>
      <c r="AG165" s="147">
        <f t="shared" si="43"/>
        <v>6000</v>
      </c>
      <c r="AH165" s="157">
        <f t="shared" si="44"/>
        <v>-40.200000000000003</v>
      </c>
      <c r="AI165" s="179">
        <f t="shared" si="49"/>
        <v>1000</v>
      </c>
      <c r="AJ165" s="147">
        <f t="shared" si="46"/>
        <v>12000</v>
      </c>
      <c r="AK165" s="157">
        <f t="shared" si="47"/>
        <v>-40.200000000000003</v>
      </c>
    </row>
    <row r="166" spans="1:37" ht="14.25" hidden="1" customHeight="1" x14ac:dyDescent="0.3">
      <c r="A166" s="168" t="s">
        <v>353</v>
      </c>
      <c r="B166" s="168" t="s">
        <v>210</v>
      </c>
      <c r="C166" s="168" t="s">
        <v>923</v>
      </c>
      <c r="D166" s="168" t="s">
        <v>917</v>
      </c>
      <c r="E166" s="169">
        <v>4</v>
      </c>
      <c r="F166" s="170" t="str">
        <f>IF(A166="","",VLOOKUP(A166,Cotizador!$A$5:$J$43,2,FALSE))</f>
        <v>AUREN</v>
      </c>
      <c r="G166" s="171">
        <f>IF(A166="","",VLOOKUP(A166,Cotizador!$A$5:$J$43,3,FALSE))</f>
        <v>40000</v>
      </c>
      <c r="H166" s="147">
        <f>IF(OR(A166="",D166=""),"",IF(D166="Sin estampar",0,IF(D166="Pecho",VLOOKUP(A166,Cotizador!$A$5:$J$43,4,FALSE),IF(D166="Espalda",VLOOKUP(A166,Cotizador!$A$5:$J$43,5,FALSE),VLOOKUP(A166,Cotizador!$A$5:$J$43,4,FALSE)+VLOOKUP(A166,Cotizador!$A$5:$J$43,5,FALSE)))))</f>
        <v>0</v>
      </c>
      <c r="I166" s="147">
        <f>IF(A166="","",VLOOKUP(A166,Cotizador!$A$5:$J$43,6,FALSE))</f>
        <v>0</v>
      </c>
      <c r="J166" s="147">
        <f>IF(A166="","",VLOOKUP(A166,Cotizador!$A$5:$J$43,7,FALSE))</f>
        <v>1200</v>
      </c>
      <c r="K166" s="172">
        <f t="shared" si="29"/>
        <v>164800</v>
      </c>
      <c r="L166" s="147">
        <f>IF(A166="","",IF(D166="Sin estampar",VLOOKUP(A166,Cotizador!$A$5:$J$43,8,FALSE),IF(D166="Pecho",VLOOKUP(A166,Cotizador!$A$5:$J$43,10,FALSE),VLOOKUP(A166,Cotizador!$A$5:$J$43,9,FALSE))))</f>
        <v>1000</v>
      </c>
      <c r="M166" s="173">
        <f t="shared" si="30"/>
        <v>4000</v>
      </c>
      <c r="N166" s="147">
        <f t="shared" si="31"/>
        <v>41200</v>
      </c>
      <c r="O166" s="157"/>
      <c r="P166" s="157">
        <f t="shared" si="32"/>
        <v>-40.200000000000003</v>
      </c>
      <c r="Q166" s="174" t="str">
        <f t="shared" si="33"/>
        <v>Chaqueta Cortavientos XL Verde Botella</v>
      </c>
      <c r="R166" s="147"/>
      <c r="S166" s="185"/>
      <c r="T166" s="186">
        <f t="shared" si="34"/>
        <v>0</v>
      </c>
      <c r="V166" s="51">
        <f t="shared" si="35"/>
        <v>160000</v>
      </c>
      <c r="Y166" s="147">
        <f t="shared" si="36"/>
        <v>41200</v>
      </c>
      <c r="Z166" s="177">
        <f t="shared" si="37"/>
        <v>1000</v>
      </c>
      <c r="AA166" s="178"/>
      <c r="AB166" s="178">
        <f t="shared" si="38"/>
        <v>-40.200000000000003</v>
      </c>
      <c r="AC166" s="179">
        <f t="shared" si="39"/>
        <v>1000</v>
      </c>
      <c r="AD166" s="147">
        <f t="shared" si="40"/>
        <v>3000</v>
      </c>
      <c r="AE166" s="157">
        <f t="shared" si="41"/>
        <v>-40.200000000000003</v>
      </c>
      <c r="AF166" s="179">
        <f t="shared" si="42"/>
        <v>1000</v>
      </c>
      <c r="AG166" s="147">
        <f t="shared" si="43"/>
        <v>6000</v>
      </c>
      <c r="AH166" s="157">
        <f t="shared" si="44"/>
        <v>-40.200000000000003</v>
      </c>
      <c r="AI166" s="179">
        <f t="shared" si="49"/>
        <v>1000</v>
      </c>
      <c r="AJ166" s="147">
        <f t="shared" si="46"/>
        <v>12000</v>
      </c>
      <c r="AK166" s="157">
        <f t="shared" si="47"/>
        <v>-40.200000000000003</v>
      </c>
    </row>
    <row r="167" spans="1:37" ht="14.25" hidden="1" customHeight="1" x14ac:dyDescent="0.3">
      <c r="A167" s="168" t="s">
        <v>384</v>
      </c>
      <c r="B167" s="168" t="s">
        <v>204</v>
      </c>
      <c r="C167" s="168" t="s">
        <v>201</v>
      </c>
      <c r="D167" s="168" t="s">
        <v>917</v>
      </c>
      <c r="E167" s="169">
        <v>2</v>
      </c>
      <c r="F167" s="170" t="str">
        <f>IF(A167="","",VLOOKUP(A167,Cotizador!$A$5:$J$43,2,FALSE))</f>
        <v>AUREN</v>
      </c>
      <c r="G167" s="171">
        <f>IF(A167="","",VLOOKUP(A167,Cotizador!$A$5:$J$43,3,FALSE))</f>
        <v>55000</v>
      </c>
      <c r="H167" s="147">
        <f>IF(OR(A167="",D167=""),"",IF(D167="Sin estampar",0,IF(D167="Pecho",VLOOKUP(A167,Cotizador!$A$5:$J$43,4,FALSE),IF(D167="Espalda",VLOOKUP(A167,Cotizador!$A$5:$J$43,5,FALSE),VLOOKUP(A167,Cotizador!$A$5:$J$43,4,FALSE)+VLOOKUP(A167,Cotizador!$A$5:$J$43,5,FALSE)))))</f>
        <v>0</v>
      </c>
      <c r="I167" s="147">
        <f>IF(A167="","",VLOOKUP(A167,Cotizador!$A$5:$J$43,6,FALSE))</f>
        <v>0</v>
      </c>
      <c r="J167" s="147">
        <f>IF(A167="","",VLOOKUP(A167,Cotizador!$A$5:$J$43,7,FALSE))</f>
        <v>1200</v>
      </c>
      <c r="K167" s="172">
        <f t="shared" si="29"/>
        <v>112400</v>
      </c>
      <c r="L167" s="147">
        <f>IF(A167="","",IF(D167="Sin estampar",VLOOKUP(A167,Cotizador!$A$5:$J$43,8,FALSE),IF(D167="Pecho",VLOOKUP(A167,Cotizador!$A$5:$J$43,10,FALSE),VLOOKUP(A167,Cotizador!$A$5:$J$43,9,FALSE))))</f>
        <v>1000</v>
      </c>
      <c r="M167" s="173">
        <f t="shared" si="30"/>
        <v>2000</v>
      </c>
      <c r="N167" s="147">
        <f t="shared" si="31"/>
        <v>56200</v>
      </c>
      <c r="O167" s="157"/>
      <c r="P167" s="157">
        <f t="shared" si="32"/>
        <v>-55.2</v>
      </c>
      <c r="Q167" s="174" t="str">
        <f t="shared" si="33"/>
        <v>Sudadera Bota Recta M Negro</v>
      </c>
      <c r="R167" s="147"/>
      <c r="S167" s="185"/>
      <c r="T167" s="186">
        <f t="shared" si="34"/>
        <v>0</v>
      </c>
      <c r="V167" s="51">
        <f t="shared" si="35"/>
        <v>110000</v>
      </c>
      <c r="Y167" s="147">
        <f t="shared" si="36"/>
        <v>56200</v>
      </c>
      <c r="Z167" s="177">
        <f t="shared" si="37"/>
        <v>1000</v>
      </c>
      <c r="AA167" s="178"/>
      <c r="AB167" s="178">
        <f t="shared" si="38"/>
        <v>-55.2</v>
      </c>
      <c r="AC167" s="179">
        <f t="shared" ref="AC167:AC184" si="50">ROUNDUP(L167*0.95,-3)</f>
        <v>1000</v>
      </c>
      <c r="AD167" s="147">
        <f t="shared" si="40"/>
        <v>3000</v>
      </c>
      <c r="AE167" s="157">
        <f t="shared" si="41"/>
        <v>-55.2</v>
      </c>
      <c r="AF167" s="179">
        <f t="shared" si="42"/>
        <v>1000</v>
      </c>
      <c r="AG167" s="147">
        <f t="shared" si="43"/>
        <v>6000</v>
      </c>
      <c r="AH167" s="157">
        <f t="shared" si="44"/>
        <v>-55.2</v>
      </c>
      <c r="AI167" s="179">
        <f t="shared" ref="AI167:AI172" si="51">ROUNDUP(L167*0.8,-3)</f>
        <v>1000</v>
      </c>
      <c r="AJ167" s="147">
        <f t="shared" si="46"/>
        <v>12000</v>
      </c>
      <c r="AK167" s="157">
        <f t="shared" si="47"/>
        <v>-55.2</v>
      </c>
    </row>
    <row r="168" spans="1:37" ht="14.25" hidden="1" customHeight="1" x14ac:dyDescent="0.3">
      <c r="A168" s="168" t="s">
        <v>384</v>
      </c>
      <c r="B168" s="168" t="s">
        <v>207</v>
      </c>
      <c r="C168" s="168" t="s">
        <v>201</v>
      </c>
      <c r="D168" s="168" t="s">
        <v>917</v>
      </c>
      <c r="E168" s="169">
        <v>2</v>
      </c>
      <c r="F168" s="170" t="str">
        <f>IF(A168="","",VLOOKUP(A168,Cotizador!$A$5:$J$43,2,FALSE))</f>
        <v>AUREN</v>
      </c>
      <c r="G168" s="171">
        <f>IF(A168="","",VLOOKUP(A168,Cotizador!$A$5:$J$43,3,FALSE))</f>
        <v>55000</v>
      </c>
      <c r="H168" s="147">
        <f>IF(OR(A168="",D168=""),"",IF(D168="Sin estampar",0,IF(D168="Pecho",VLOOKUP(A168,Cotizador!$A$5:$J$43,4,FALSE),IF(D168="Espalda",VLOOKUP(A168,Cotizador!$A$5:$J$43,5,FALSE),VLOOKUP(A168,Cotizador!$A$5:$J$43,4,FALSE)+VLOOKUP(A168,Cotizador!$A$5:$J$43,5,FALSE)))))</f>
        <v>0</v>
      </c>
      <c r="I168" s="147">
        <f>IF(A168="","",VLOOKUP(A168,Cotizador!$A$5:$J$43,6,FALSE))</f>
        <v>0</v>
      </c>
      <c r="J168" s="147">
        <f>IF(A168="","",VLOOKUP(A168,Cotizador!$A$5:$J$43,7,FALSE))</f>
        <v>1200</v>
      </c>
      <c r="K168" s="172">
        <f t="shared" si="29"/>
        <v>112400</v>
      </c>
      <c r="L168" s="147">
        <f>IF(A168="","",IF(D168="Sin estampar",VLOOKUP(A168,Cotizador!$A$5:$J$43,8,FALSE),IF(D168="Pecho",VLOOKUP(A168,Cotizador!$A$5:$J$43,10,FALSE),VLOOKUP(A168,Cotizador!$A$5:$J$43,9,FALSE))))</f>
        <v>1000</v>
      </c>
      <c r="M168" s="173">
        <f t="shared" si="30"/>
        <v>2000</v>
      </c>
      <c r="N168" s="147">
        <f t="shared" si="31"/>
        <v>56200</v>
      </c>
      <c r="O168" s="157"/>
      <c r="P168" s="157">
        <f t="shared" si="32"/>
        <v>-55.2</v>
      </c>
      <c r="Q168" s="174" t="str">
        <f t="shared" si="33"/>
        <v>Sudadera Bota Recta L Negro</v>
      </c>
      <c r="R168" s="147"/>
      <c r="S168" s="185"/>
      <c r="T168" s="186">
        <f t="shared" si="34"/>
        <v>0</v>
      </c>
      <c r="V168" s="51">
        <f t="shared" si="35"/>
        <v>110000</v>
      </c>
      <c r="Y168" s="147">
        <f t="shared" si="36"/>
        <v>56200</v>
      </c>
      <c r="Z168" s="177">
        <f t="shared" si="37"/>
        <v>1000</v>
      </c>
      <c r="AA168" s="178"/>
      <c r="AB168" s="178">
        <f t="shared" si="38"/>
        <v>-55.2</v>
      </c>
      <c r="AC168" s="179">
        <f t="shared" si="50"/>
        <v>1000</v>
      </c>
      <c r="AD168" s="147">
        <f t="shared" si="40"/>
        <v>3000</v>
      </c>
      <c r="AE168" s="157">
        <f t="shared" si="41"/>
        <v>-55.2</v>
      </c>
      <c r="AF168" s="179">
        <f t="shared" si="42"/>
        <v>1000</v>
      </c>
      <c r="AG168" s="147">
        <f t="shared" si="43"/>
        <v>6000</v>
      </c>
      <c r="AH168" s="157">
        <f t="shared" si="44"/>
        <v>-55.2</v>
      </c>
      <c r="AI168" s="179">
        <f t="shared" si="51"/>
        <v>1000</v>
      </c>
      <c r="AJ168" s="147">
        <f t="shared" si="46"/>
        <v>12000</v>
      </c>
      <c r="AK168" s="157">
        <f t="shared" si="47"/>
        <v>-55.2</v>
      </c>
    </row>
    <row r="169" spans="1:37" ht="14.25" hidden="1" customHeight="1" x14ac:dyDescent="0.3">
      <c r="A169" s="168" t="s">
        <v>384</v>
      </c>
      <c r="B169" s="168" t="s">
        <v>210</v>
      </c>
      <c r="C169" s="168" t="s">
        <v>201</v>
      </c>
      <c r="D169" s="168" t="s">
        <v>917</v>
      </c>
      <c r="E169" s="169">
        <v>2</v>
      </c>
      <c r="F169" s="170" t="str">
        <f>IF(A169="","",VLOOKUP(A169,Cotizador!$A$5:$J$43,2,FALSE))</f>
        <v>AUREN</v>
      </c>
      <c r="G169" s="171">
        <f>IF(A169="","",VLOOKUP(A169,Cotizador!$A$5:$J$43,3,FALSE))</f>
        <v>55000</v>
      </c>
      <c r="H169" s="147">
        <f>IF(OR(A169="",D169=""),"",IF(D169="Sin estampar",0,IF(D169="Pecho",VLOOKUP(A169,Cotizador!$A$5:$J$43,4,FALSE),IF(D169="Espalda",VLOOKUP(A169,Cotizador!$A$5:$J$43,5,FALSE),VLOOKUP(A169,Cotizador!$A$5:$J$43,4,FALSE)+VLOOKUP(A169,Cotizador!$A$5:$J$43,5,FALSE)))))</f>
        <v>0</v>
      </c>
      <c r="I169" s="147">
        <f>IF(A169="","",VLOOKUP(A169,Cotizador!$A$5:$J$43,6,FALSE))</f>
        <v>0</v>
      </c>
      <c r="J169" s="147">
        <f>IF(A169="","",VLOOKUP(A169,Cotizador!$A$5:$J$43,7,FALSE))</f>
        <v>1200</v>
      </c>
      <c r="K169" s="172">
        <f t="shared" si="29"/>
        <v>112400</v>
      </c>
      <c r="L169" s="147">
        <f>IF(A169="","",IF(D169="Sin estampar",VLOOKUP(A169,Cotizador!$A$5:$J$43,8,FALSE),IF(D169="Pecho",VLOOKUP(A169,Cotizador!$A$5:$J$43,10,FALSE),VLOOKUP(A169,Cotizador!$A$5:$J$43,9,FALSE))))</f>
        <v>1000</v>
      </c>
      <c r="M169" s="173">
        <f t="shared" si="30"/>
        <v>2000</v>
      </c>
      <c r="N169" s="147">
        <f t="shared" si="31"/>
        <v>56200</v>
      </c>
      <c r="O169" s="157"/>
      <c r="P169" s="157">
        <f t="shared" si="32"/>
        <v>-55.2</v>
      </c>
      <c r="Q169" s="174" t="str">
        <f t="shared" si="33"/>
        <v>Sudadera Bota Recta XL Negro</v>
      </c>
      <c r="R169" s="147"/>
      <c r="S169" s="185"/>
      <c r="T169" s="186">
        <f t="shared" si="34"/>
        <v>0</v>
      </c>
      <c r="V169" s="51">
        <f t="shared" si="35"/>
        <v>110000</v>
      </c>
      <c r="Y169" s="147">
        <f t="shared" si="36"/>
        <v>56200</v>
      </c>
      <c r="Z169" s="177">
        <f t="shared" si="37"/>
        <v>1000</v>
      </c>
      <c r="AA169" s="178"/>
      <c r="AB169" s="178">
        <f t="shared" si="38"/>
        <v>-55.2</v>
      </c>
      <c r="AC169" s="179">
        <f t="shared" si="50"/>
        <v>1000</v>
      </c>
      <c r="AD169" s="147">
        <f t="shared" si="40"/>
        <v>3000</v>
      </c>
      <c r="AE169" s="157">
        <f t="shared" si="41"/>
        <v>-55.2</v>
      </c>
      <c r="AF169" s="179">
        <f t="shared" si="42"/>
        <v>1000</v>
      </c>
      <c r="AG169" s="147">
        <f t="shared" si="43"/>
        <v>6000</v>
      </c>
      <c r="AH169" s="157">
        <f t="shared" si="44"/>
        <v>-55.2</v>
      </c>
      <c r="AI169" s="179">
        <f t="shared" si="51"/>
        <v>1000</v>
      </c>
      <c r="AJ169" s="147">
        <f t="shared" si="46"/>
        <v>12000</v>
      </c>
      <c r="AK169" s="157">
        <f t="shared" si="47"/>
        <v>-55.2</v>
      </c>
    </row>
    <row r="170" spans="1:37" ht="14.25" hidden="1" customHeight="1" x14ac:dyDescent="0.3">
      <c r="A170" s="168" t="s">
        <v>384</v>
      </c>
      <c r="B170" s="168" t="s">
        <v>204</v>
      </c>
      <c r="C170" s="168" t="s">
        <v>920</v>
      </c>
      <c r="D170" s="168" t="s">
        <v>917</v>
      </c>
      <c r="E170" s="169">
        <v>2</v>
      </c>
      <c r="F170" s="170" t="str">
        <f>IF(A170="","",VLOOKUP(A170,Cotizador!$A$5:$J$43,2,FALSE))</f>
        <v>AUREN</v>
      </c>
      <c r="G170" s="171">
        <f>IF(A170="","",VLOOKUP(A170,Cotizador!$A$5:$J$43,3,FALSE))</f>
        <v>55000</v>
      </c>
      <c r="H170" s="147">
        <f>IF(OR(A170="",D170=""),"",IF(D170="Sin estampar",0,IF(D170="Pecho",VLOOKUP(A170,Cotizador!$A$5:$J$43,4,FALSE),IF(D170="Espalda",VLOOKUP(A170,Cotizador!$A$5:$J$43,5,FALSE),VLOOKUP(A170,Cotizador!$A$5:$J$43,4,FALSE)+VLOOKUP(A170,Cotizador!$A$5:$J$43,5,FALSE)))))</f>
        <v>0</v>
      </c>
      <c r="I170" s="147">
        <f>IF(A170="","",VLOOKUP(A170,Cotizador!$A$5:$J$43,6,FALSE))</f>
        <v>0</v>
      </c>
      <c r="J170" s="147">
        <f>IF(A170="","",VLOOKUP(A170,Cotizador!$A$5:$J$43,7,FALSE))</f>
        <v>1200</v>
      </c>
      <c r="K170" s="172">
        <f t="shared" si="29"/>
        <v>112400</v>
      </c>
      <c r="L170" s="147">
        <f>IF(A170="","",IF(D170="Sin estampar",VLOOKUP(A170,Cotizador!$A$5:$J$43,8,FALSE),IF(D170="Pecho",VLOOKUP(A170,Cotizador!$A$5:$J$43,10,FALSE),VLOOKUP(A170,Cotizador!$A$5:$J$43,9,FALSE))))</f>
        <v>1000</v>
      </c>
      <c r="M170" s="173">
        <f t="shared" si="30"/>
        <v>2000</v>
      </c>
      <c r="N170" s="147">
        <f t="shared" si="31"/>
        <v>56200</v>
      </c>
      <c r="O170" s="157"/>
      <c r="P170" s="157">
        <f t="shared" si="32"/>
        <v>-55.2</v>
      </c>
      <c r="Q170" s="174" t="str">
        <f t="shared" si="33"/>
        <v>Sudadera Bota Recta M Beige</v>
      </c>
      <c r="R170" s="147"/>
      <c r="S170" s="185"/>
      <c r="T170" s="186">
        <f t="shared" si="34"/>
        <v>0</v>
      </c>
      <c r="V170" s="51">
        <f t="shared" si="35"/>
        <v>110000</v>
      </c>
      <c r="Y170" s="147">
        <f t="shared" si="36"/>
        <v>56200</v>
      </c>
      <c r="Z170" s="177">
        <f t="shared" si="37"/>
        <v>1000</v>
      </c>
      <c r="AA170" s="178"/>
      <c r="AB170" s="178">
        <f t="shared" si="38"/>
        <v>-55.2</v>
      </c>
      <c r="AC170" s="179">
        <f t="shared" si="50"/>
        <v>1000</v>
      </c>
      <c r="AD170" s="147">
        <f t="shared" si="40"/>
        <v>3000</v>
      </c>
      <c r="AE170" s="157">
        <f t="shared" si="41"/>
        <v>-55.2</v>
      </c>
      <c r="AF170" s="179">
        <f t="shared" si="42"/>
        <v>1000</v>
      </c>
      <c r="AG170" s="147">
        <f t="shared" si="43"/>
        <v>6000</v>
      </c>
      <c r="AH170" s="157">
        <f t="shared" si="44"/>
        <v>-55.2</v>
      </c>
      <c r="AI170" s="179">
        <f t="shared" si="51"/>
        <v>1000</v>
      </c>
      <c r="AJ170" s="147">
        <f t="shared" si="46"/>
        <v>12000</v>
      </c>
      <c r="AK170" s="157">
        <f t="shared" si="47"/>
        <v>-55.2</v>
      </c>
    </row>
    <row r="171" spans="1:37" ht="14.25" hidden="1" customHeight="1" x14ac:dyDescent="0.3">
      <c r="A171" s="168" t="s">
        <v>384</v>
      </c>
      <c r="B171" s="168" t="s">
        <v>207</v>
      </c>
      <c r="C171" s="168" t="s">
        <v>920</v>
      </c>
      <c r="D171" s="168" t="s">
        <v>917</v>
      </c>
      <c r="E171" s="169">
        <v>2</v>
      </c>
      <c r="F171" s="170" t="str">
        <f>IF(A171="","",VLOOKUP(A171,Cotizador!$A$5:$J$43,2,FALSE))</f>
        <v>AUREN</v>
      </c>
      <c r="G171" s="171">
        <f>IF(A171="","",VLOOKUP(A171,Cotizador!$A$5:$J$43,3,FALSE))</f>
        <v>55000</v>
      </c>
      <c r="H171" s="147">
        <f>IF(OR(A171="",D171=""),"",IF(D171="Sin estampar",0,IF(D171="Pecho",VLOOKUP(A171,Cotizador!$A$5:$J$43,4,FALSE),IF(D171="Espalda",VLOOKUP(A171,Cotizador!$A$5:$J$43,5,FALSE),VLOOKUP(A171,Cotizador!$A$5:$J$43,4,FALSE)+VLOOKUP(A171,Cotizador!$A$5:$J$43,5,FALSE)))))</f>
        <v>0</v>
      </c>
      <c r="I171" s="147">
        <f>IF(A171="","",VLOOKUP(A171,Cotizador!$A$5:$J$43,6,FALSE))</f>
        <v>0</v>
      </c>
      <c r="J171" s="147">
        <f>IF(A171="","",VLOOKUP(A171,Cotizador!$A$5:$J$43,7,FALSE))</f>
        <v>1200</v>
      </c>
      <c r="K171" s="172">
        <f t="shared" si="29"/>
        <v>112400</v>
      </c>
      <c r="L171" s="147">
        <f>IF(A171="","",IF(D171="Sin estampar",VLOOKUP(A171,Cotizador!$A$5:$J$43,8,FALSE),IF(D171="Pecho",VLOOKUP(A171,Cotizador!$A$5:$J$43,10,FALSE),VLOOKUP(A171,Cotizador!$A$5:$J$43,9,FALSE))))</f>
        <v>1000</v>
      </c>
      <c r="M171" s="173">
        <f t="shared" si="30"/>
        <v>2000</v>
      </c>
      <c r="N171" s="147">
        <f t="shared" si="31"/>
        <v>56200</v>
      </c>
      <c r="O171" s="157"/>
      <c r="P171" s="157">
        <f t="shared" si="32"/>
        <v>-55.2</v>
      </c>
      <c r="Q171" s="174" t="str">
        <f t="shared" si="33"/>
        <v>Sudadera Bota Recta L Beige</v>
      </c>
      <c r="R171" s="147"/>
      <c r="S171" s="185"/>
      <c r="T171" s="186">
        <f t="shared" si="34"/>
        <v>0</v>
      </c>
      <c r="V171" s="51">
        <f t="shared" si="35"/>
        <v>110000</v>
      </c>
      <c r="Y171" s="147">
        <f t="shared" si="36"/>
        <v>56200</v>
      </c>
      <c r="Z171" s="177">
        <f t="shared" si="37"/>
        <v>1000</v>
      </c>
      <c r="AA171" s="178"/>
      <c r="AB171" s="178">
        <f t="shared" si="38"/>
        <v>-55.2</v>
      </c>
      <c r="AC171" s="179">
        <f t="shared" si="50"/>
        <v>1000</v>
      </c>
      <c r="AD171" s="147">
        <f t="shared" si="40"/>
        <v>3000</v>
      </c>
      <c r="AE171" s="157">
        <f t="shared" si="41"/>
        <v>-55.2</v>
      </c>
      <c r="AF171" s="179">
        <f t="shared" si="42"/>
        <v>1000</v>
      </c>
      <c r="AG171" s="147">
        <f t="shared" si="43"/>
        <v>6000</v>
      </c>
      <c r="AH171" s="157">
        <f t="shared" si="44"/>
        <v>-55.2</v>
      </c>
      <c r="AI171" s="179">
        <f t="shared" si="51"/>
        <v>1000</v>
      </c>
      <c r="AJ171" s="147">
        <f t="shared" si="46"/>
        <v>12000</v>
      </c>
      <c r="AK171" s="157">
        <f t="shared" si="47"/>
        <v>-55.2</v>
      </c>
    </row>
    <row r="172" spans="1:37" ht="14.25" hidden="1" customHeight="1" x14ac:dyDescent="0.3">
      <c r="A172" s="168" t="s">
        <v>384</v>
      </c>
      <c r="B172" s="168" t="s">
        <v>210</v>
      </c>
      <c r="C172" s="168" t="s">
        <v>920</v>
      </c>
      <c r="D172" s="168" t="s">
        <v>917</v>
      </c>
      <c r="E172" s="169">
        <v>2</v>
      </c>
      <c r="F172" s="170" t="str">
        <f>IF(A172="","",VLOOKUP(A172,Cotizador!$A$5:$J$43,2,FALSE))</f>
        <v>AUREN</v>
      </c>
      <c r="G172" s="171">
        <f>IF(A172="","",VLOOKUP(A172,Cotizador!$A$5:$J$43,3,FALSE))</f>
        <v>55000</v>
      </c>
      <c r="H172" s="147">
        <f>IF(OR(A172="",D172=""),"",IF(D172="Sin estampar",0,IF(D172="Pecho",VLOOKUP(A172,Cotizador!$A$5:$J$43,4,FALSE),IF(D172="Espalda",VLOOKUP(A172,Cotizador!$A$5:$J$43,5,FALSE),VLOOKUP(A172,Cotizador!$A$5:$J$43,4,FALSE)+VLOOKUP(A172,Cotizador!$A$5:$J$43,5,FALSE)))))</f>
        <v>0</v>
      </c>
      <c r="I172" s="147">
        <f>IF(A172="","",VLOOKUP(A172,Cotizador!$A$5:$J$43,6,FALSE))</f>
        <v>0</v>
      </c>
      <c r="J172" s="147">
        <f>IF(A172="","",VLOOKUP(A172,Cotizador!$A$5:$J$43,7,FALSE))</f>
        <v>1200</v>
      </c>
      <c r="K172" s="172">
        <f t="shared" si="29"/>
        <v>112400</v>
      </c>
      <c r="L172" s="147">
        <f>IF(A172="","",IF(D172="Sin estampar",VLOOKUP(A172,Cotizador!$A$5:$J$43,8,FALSE),IF(D172="Pecho",VLOOKUP(A172,Cotizador!$A$5:$J$43,10,FALSE),VLOOKUP(A172,Cotizador!$A$5:$J$43,9,FALSE))))</f>
        <v>1000</v>
      </c>
      <c r="M172" s="173">
        <f t="shared" si="30"/>
        <v>2000</v>
      </c>
      <c r="N172" s="147">
        <f t="shared" si="31"/>
        <v>56200</v>
      </c>
      <c r="O172" s="157"/>
      <c r="P172" s="157">
        <f t="shared" si="32"/>
        <v>-55.2</v>
      </c>
      <c r="Q172" s="174" t="str">
        <f t="shared" si="33"/>
        <v>Sudadera Bota Recta XL Beige</v>
      </c>
      <c r="R172" s="147"/>
      <c r="S172" s="185"/>
      <c r="T172" s="186">
        <f t="shared" si="34"/>
        <v>0</v>
      </c>
      <c r="V172" s="51">
        <f t="shared" si="35"/>
        <v>110000</v>
      </c>
      <c r="Y172" s="147">
        <f t="shared" si="36"/>
        <v>56200</v>
      </c>
      <c r="Z172" s="177">
        <f t="shared" si="37"/>
        <v>1000</v>
      </c>
      <c r="AA172" s="178"/>
      <c r="AB172" s="178">
        <f t="shared" si="38"/>
        <v>-55.2</v>
      </c>
      <c r="AC172" s="179">
        <f t="shared" si="50"/>
        <v>1000</v>
      </c>
      <c r="AD172" s="147">
        <f t="shared" si="40"/>
        <v>3000</v>
      </c>
      <c r="AE172" s="157">
        <f t="shared" si="41"/>
        <v>-55.2</v>
      </c>
      <c r="AF172" s="179">
        <f t="shared" si="42"/>
        <v>1000</v>
      </c>
      <c r="AG172" s="147">
        <f t="shared" si="43"/>
        <v>6000</v>
      </c>
      <c r="AH172" s="157">
        <f t="shared" si="44"/>
        <v>-55.2</v>
      </c>
      <c r="AI172" s="179">
        <f t="shared" si="51"/>
        <v>1000</v>
      </c>
      <c r="AJ172" s="147">
        <f t="shared" si="46"/>
        <v>12000</v>
      </c>
      <c r="AK172" s="157">
        <f t="shared" si="47"/>
        <v>-55.2</v>
      </c>
    </row>
    <row r="173" spans="1:37" ht="14.25" hidden="1" customHeight="1" x14ac:dyDescent="0.3">
      <c r="A173" s="168" t="s">
        <v>401</v>
      </c>
      <c r="B173" s="168" t="s">
        <v>204</v>
      </c>
      <c r="C173" s="168" t="s">
        <v>920</v>
      </c>
      <c r="D173" s="168" t="s">
        <v>917</v>
      </c>
      <c r="E173" s="169">
        <v>4</v>
      </c>
      <c r="F173" s="170" t="str">
        <f>IF(A173="","",VLOOKUP(A173,Cotizador!$A$5:$J$43,2,FALSE))</f>
        <v>AUREN</v>
      </c>
      <c r="G173" s="171">
        <f>IF(A173="","",VLOOKUP(A173,Cotizador!$A$5:$J$43,3,FALSE))</f>
        <v>45000</v>
      </c>
      <c r="H173" s="147">
        <f>IF(OR(A173="",D173=""),"",IF(D173="Sin estampar",0,IF(D173="Pecho",VLOOKUP(A173,Cotizador!$A$5:$J$43,4,FALSE),IF(D173="Espalda",VLOOKUP(A173,Cotizador!$A$5:$J$43,5,FALSE),VLOOKUP(A173,Cotizador!$A$5:$J$43,4,FALSE)+VLOOKUP(A173,Cotizador!$A$5:$J$43,5,FALSE)))))</f>
        <v>0</v>
      </c>
      <c r="I173" s="147">
        <f>IF(A173="","",VLOOKUP(A173,Cotizador!$A$5:$J$43,6,FALSE))</f>
        <v>0</v>
      </c>
      <c r="J173" s="147">
        <f>IF(A173="","",VLOOKUP(A173,Cotizador!$A$5:$J$43,7,FALSE))</f>
        <v>1200</v>
      </c>
      <c r="K173" s="172">
        <f t="shared" si="29"/>
        <v>184800</v>
      </c>
      <c r="L173" s="147">
        <f>IF(A173="","",IF(D173="Sin estampar",VLOOKUP(A173,Cotizador!$A$5:$J$43,8,FALSE),IF(D173="Pecho",VLOOKUP(A173,Cotizador!$A$5:$J$43,10,FALSE),VLOOKUP(A173,Cotizador!$A$5:$J$43,9,FALSE))))</f>
        <v>1000</v>
      </c>
      <c r="M173" s="173">
        <f t="shared" si="30"/>
        <v>4000</v>
      </c>
      <c r="N173" s="147">
        <f t="shared" si="31"/>
        <v>46200</v>
      </c>
      <c r="O173" s="157"/>
      <c r="P173" s="157">
        <f t="shared" si="32"/>
        <v>-45.2</v>
      </c>
      <c r="Q173" s="174" t="str">
        <f t="shared" si="33"/>
        <v>Pantaloneta M Beige</v>
      </c>
      <c r="R173" s="147"/>
      <c r="S173" s="185"/>
      <c r="T173" s="186">
        <f t="shared" si="34"/>
        <v>0</v>
      </c>
      <c r="V173" s="51">
        <f t="shared" si="35"/>
        <v>180000</v>
      </c>
      <c r="Y173" s="147">
        <f t="shared" si="36"/>
        <v>46200</v>
      </c>
      <c r="Z173" s="177">
        <f t="shared" si="37"/>
        <v>1000</v>
      </c>
      <c r="AA173" s="178"/>
      <c r="AB173" s="178">
        <f t="shared" si="38"/>
        <v>-45.2</v>
      </c>
      <c r="AC173" s="179">
        <f t="shared" si="50"/>
        <v>1000</v>
      </c>
      <c r="AD173" s="147">
        <f t="shared" si="40"/>
        <v>3000</v>
      </c>
      <c r="AE173" s="157">
        <f t="shared" si="41"/>
        <v>-45.2</v>
      </c>
      <c r="AF173" s="179">
        <f t="shared" si="42"/>
        <v>1000</v>
      </c>
      <c r="AG173" s="147">
        <f t="shared" si="43"/>
        <v>6000</v>
      </c>
      <c r="AH173" s="157">
        <f t="shared" si="44"/>
        <v>-45.2</v>
      </c>
      <c r="AI173" s="179">
        <f t="shared" ref="AI173:AI178" si="52">ROUNDUP(L173*0.75,-3)</f>
        <v>1000</v>
      </c>
      <c r="AJ173" s="147">
        <f t="shared" si="46"/>
        <v>12000</v>
      </c>
      <c r="AK173" s="157">
        <f t="shared" si="47"/>
        <v>-45.2</v>
      </c>
    </row>
    <row r="174" spans="1:37" ht="14.25" hidden="1" customHeight="1" x14ac:dyDescent="0.3">
      <c r="A174" s="168" t="s">
        <v>401</v>
      </c>
      <c r="B174" s="168" t="s">
        <v>207</v>
      </c>
      <c r="C174" s="168" t="s">
        <v>920</v>
      </c>
      <c r="D174" s="168" t="s">
        <v>917</v>
      </c>
      <c r="E174" s="169">
        <v>4</v>
      </c>
      <c r="F174" s="170" t="str">
        <f>IF(A174="","",VLOOKUP(A174,Cotizador!$A$5:$J$43,2,FALSE))</f>
        <v>AUREN</v>
      </c>
      <c r="G174" s="171">
        <f>IF(A174="","",VLOOKUP(A174,Cotizador!$A$5:$J$43,3,FALSE))</f>
        <v>45000</v>
      </c>
      <c r="H174" s="147">
        <f>IF(OR(A174="",D174=""),"",IF(D174="Sin estampar",0,IF(D174="Pecho",VLOOKUP(A174,Cotizador!$A$5:$J$43,4,FALSE),IF(D174="Espalda",VLOOKUP(A174,Cotizador!$A$5:$J$43,5,FALSE),VLOOKUP(A174,Cotizador!$A$5:$J$43,4,FALSE)+VLOOKUP(A174,Cotizador!$A$5:$J$43,5,FALSE)))))</f>
        <v>0</v>
      </c>
      <c r="I174" s="147">
        <f>IF(A174="","",VLOOKUP(A174,Cotizador!$A$5:$J$43,6,FALSE))</f>
        <v>0</v>
      </c>
      <c r="J174" s="147">
        <f>IF(A174="","",VLOOKUP(A174,Cotizador!$A$5:$J$43,7,FALSE))</f>
        <v>1200</v>
      </c>
      <c r="K174" s="172">
        <f t="shared" si="29"/>
        <v>184800</v>
      </c>
      <c r="L174" s="147">
        <f>IF(A174="","",IF(D174="Sin estampar",VLOOKUP(A174,Cotizador!$A$5:$J$43,8,FALSE),IF(D174="Pecho",VLOOKUP(A174,Cotizador!$A$5:$J$43,10,FALSE),VLOOKUP(A174,Cotizador!$A$5:$J$43,9,FALSE))))</f>
        <v>1000</v>
      </c>
      <c r="M174" s="173">
        <f t="shared" si="30"/>
        <v>4000</v>
      </c>
      <c r="N174" s="147">
        <f t="shared" si="31"/>
        <v>46200</v>
      </c>
      <c r="O174" s="157"/>
      <c r="P174" s="157">
        <f t="shared" si="32"/>
        <v>-45.2</v>
      </c>
      <c r="Q174" s="174" t="str">
        <f t="shared" si="33"/>
        <v>Pantaloneta L Beige</v>
      </c>
      <c r="R174" s="147"/>
      <c r="S174" s="185"/>
      <c r="T174" s="186">
        <f t="shared" si="34"/>
        <v>0</v>
      </c>
      <c r="V174" s="51">
        <f t="shared" si="35"/>
        <v>180000</v>
      </c>
      <c r="Y174" s="147">
        <f t="shared" si="36"/>
        <v>46200</v>
      </c>
      <c r="Z174" s="177">
        <f t="shared" si="37"/>
        <v>1000</v>
      </c>
      <c r="AA174" s="178"/>
      <c r="AB174" s="178">
        <f t="shared" si="38"/>
        <v>-45.2</v>
      </c>
      <c r="AC174" s="179">
        <f t="shared" si="50"/>
        <v>1000</v>
      </c>
      <c r="AD174" s="147">
        <f t="shared" si="40"/>
        <v>3000</v>
      </c>
      <c r="AE174" s="157">
        <f t="shared" si="41"/>
        <v>-45.2</v>
      </c>
      <c r="AF174" s="179">
        <f t="shared" si="42"/>
        <v>1000</v>
      </c>
      <c r="AG174" s="147">
        <f t="shared" si="43"/>
        <v>6000</v>
      </c>
      <c r="AH174" s="157">
        <f t="shared" si="44"/>
        <v>-45.2</v>
      </c>
      <c r="AI174" s="179">
        <f t="shared" si="52"/>
        <v>1000</v>
      </c>
      <c r="AJ174" s="147">
        <f t="shared" si="46"/>
        <v>12000</v>
      </c>
      <c r="AK174" s="157">
        <f t="shared" si="47"/>
        <v>-45.2</v>
      </c>
    </row>
    <row r="175" spans="1:37" ht="14.25" hidden="1" customHeight="1" x14ac:dyDescent="0.3">
      <c r="A175" s="168" t="s">
        <v>401</v>
      </c>
      <c r="B175" s="168" t="s">
        <v>210</v>
      </c>
      <c r="C175" s="168" t="s">
        <v>920</v>
      </c>
      <c r="D175" s="168" t="s">
        <v>917</v>
      </c>
      <c r="E175" s="169">
        <v>4</v>
      </c>
      <c r="F175" s="170" t="str">
        <f>IF(A175="","",VLOOKUP(A175,Cotizador!$A$5:$J$43,2,FALSE))</f>
        <v>AUREN</v>
      </c>
      <c r="G175" s="171">
        <f>IF(A175="","",VLOOKUP(A175,Cotizador!$A$5:$J$43,3,FALSE))</f>
        <v>45000</v>
      </c>
      <c r="H175" s="147">
        <f>IF(OR(A175="",D175=""),"",IF(D175="Sin estampar",0,IF(D175="Pecho",VLOOKUP(A175,Cotizador!$A$5:$J$43,4,FALSE),IF(D175="Espalda",VLOOKUP(A175,Cotizador!$A$5:$J$43,5,FALSE),VLOOKUP(A175,Cotizador!$A$5:$J$43,4,FALSE)+VLOOKUP(A175,Cotizador!$A$5:$J$43,5,FALSE)))))</f>
        <v>0</v>
      </c>
      <c r="I175" s="147">
        <f>IF(A175="","",VLOOKUP(A175,Cotizador!$A$5:$J$43,6,FALSE))</f>
        <v>0</v>
      </c>
      <c r="J175" s="147">
        <f>IF(A175="","",VLOOKUP(A175,Cotizador!$A$5:$J$43,7,FALSE))</f>
        <v>1200</v>
      </c>
      <c r="K175" s="172">
        <f t="shared" si="29"/>
        <v>184800</v>
      </c>
      <c r="L175" s="147">
        <f>IF(A175="","",IF(D175="Sin estampar",VLOOKUP(A175,Cotizador!$A$5:$J$43,8,FALSE),IF(D175="Pecho",VLOOKUP(A175,Cotizador!$A$5:$J$43,10,FALSE),VLOOKUP(A175,Cotizador!$A$5:$J$43,9,FALSE))))</f>
        <v>1000</v>
      </c>
      <c r="M175" s="173">
        <f t="shared" si="30"/>
        <v>4000</v>
      </c>
      <c r="N175" s="147">
        <f t="shared" si="31"/>
        <v>46200</v>
      </c>
      <c r="O175" s="157"/>
      <c r="P175" s="157">
        <f t="shared" si="32"/>
        <v>-45.2</v>
      </c>
      <c r="Q175" s="174" t="str">
        <f t="shared" si="33"/>
        <v>Pantaloneta XL Beige</v>
      </c>
      <c r="R175" s="147"/>
      <c r="S175" s="185"/>
      <c r="T175" s="186">
        <f t="shared" si="34"/>
        <v>0</v>
      </c>
      <c r="V175" s="51">
        <f t="shared" si="35"/>
        <v>180000</v>
      </c>
      <c r="Y175" s="147">
        <f t="shared" si="36"/>
        <v>46200</v>
      </c>
      <c r="Z175" s="177">
        <f t="shared" si="37"/>
        <v>1000</v>
      </c>
      <c r="AA175" s="178"/>
      <c r="AB175" s="178">
        <f t="shared" si="38"/>
        <v>-45.2</v>
      </c>
      <c r="AC175" s="179">
        <f t="shared" si="50"/>
        <v>1000</v>
      </c>
      <c r="AD175" s="147">
        <f t="shared" si="40"/>
        <v>3000</v>
      </c>
      <c r="AE175" s="157">
        <f t="shared" si="41"/>
        <v>-45.2</v>
      </c>
      <c r="AF175" s="179">
        <f t="shared" si="42"/>
        <v>1000</v>
      </c>
      <c r="AG175" s="147">
        <f t="shared" si="43"/>
        <v>6000</v>
      </c>
      <c r="AH175" s="157">
        <f t="shared" si="44"/>
        <v>-45.2</v>
      </c>
      <c r="AI175" s="179">
        <f t="shared" si="52"/>
        <v>1000</v>
      </c>
      <c r="AJ175" s="147">
        <f t="shared" si="46"/>
        <v>12000</v>
      </c>
      <c r="AK175" s="157">
        <f t="shared" si="47"/>
        <v>-45.2</v>
      </c>
    </row>
    <row r="176" spans="1:37" ht="14.25" hidden="1" customHeight="1" x14ac:dyDescent="0.3">
      <c r="A176" s="168" t="s">
        <v>401</v>
      </c>
      <c r="B176" s="168" t="s">
        <v>204</v>
      </c>
      <c r="C176" s="168" t="s">
        <v>920</v>
      </c>
      <c r="D176" s="168" t="s">
        <v>917</v>
      </c>
      <c r="E176" s="169">
        <v>4</v>
      </c>
      <c r="F176" s="170" t="str">
        <f>IF(A176="","",VLOOKUP(A176,Cotizador!$A$5:$J$43,2,FALSE))</f>
        <v>AUREN</v>
      </c>
      <c r="G176" s="171">
        <f>IF(A176="","",VLOOKUP(A176,Cotizador!$A$5:$J$43,3,FALSE))</f>
        <v>45000</v>
      </c>
      <c r="H176" s="147">
        <f>IF(OR(A176="",D176=""),"",IF(D176="Sin estampar",0,IF(D176="Pecho",VLOOKUP(A176,Cotizador!$A$5:$J$43,4,FALSE),IF(D176="Espalda",VLOOKUP(A176,Cotizador!$A$5:$J$43,5,FALSE),VLOOKUP(A176,Cotizador!$A$5:$J$43,4,FALSE)+VLOOKUP(A176,Cotizador!$A$5:$J$43,5,FALSE)))))</f>
        <v>0</v>
      </c>
      <c r="I176" s="147">
        <f>IF(A176="","",VLOOKUP(A176,Cotizador!$A$5:$J$43,6,FALSE))</f>
        <v>0</v>
      </c>
      <c r="J176" s="147">
        <f>IF(A176="","",VLOOKUP(A176,Cotizador!$A$5:$J$43,7,FALSE))</f>
        <v>1200</v>
      </c>
      <c r="K176" s="172">
        <f t="shared" si="29"/>
        <v>184800</v>
      </c>
      <c r="L176" s="147">
        <f>IF(A176="","",IF(D176="Sin estampar",VLOOKUP(A176,Cotizador!$A$5:$J$43,8,FALSE),IF(D176="Pecho",VLOOKUP(A176,Cotizador!$A$5:$J$43,10,FALSE),VLOOKUP(A176,Cotizador!$A$5:$J$43,9,FALSE))))</f>
        <v>1000</v>
      </c>
      <c r="M176" s="173">
        <f t="shared" si="30"/>
        <v>4000</v>
      </c>
      <c r="N176" s="147">
        <f t="shared" si="31"/>
        <v>46200</v>
      </c>
      <c r="O176" s="157"/>
      <c r="P176" s="157">
        <f t="shared" si="32"/>
        <v>-45.2</v>
      </c>
      <c r="Q176" s="174" t="str">
        <f t="shared" si="33"/>
        <v>Pantaloneta M Beige</v>
      </c>
      <c r="R176" s="147"/>
      <c r="S176" s="185"/>
      <c r="T176" s="186">
        <f t="shared" si="34"/>
        <v>0</v>
      </c>
      <c r="V176" s="51">
        <f t="shared" si="35"/>
        <v>180000</v>
      </c>
      <c r="Y176" s="147">
        <f t="shared" si="36"/>
        <v>46200</v>
      </c>
      <c r="Z176" s="177">
        <f t="shared" si="37"/>
        <v>1000</v>
      </c>
      <c r="AA176" s="178"/>
      <c r="AB176" s="178">
        <f t="shared" si="38"/>
        <v>-45.2</v>
      </c>
      <c r="AC176" s="179">
        <f t="shared" si="50"/>
        <v>1000</v>
      </c>
      <c r="AD176" s="147">
        <f t="shared" si="40"/>
        <v>3000</v>
      </c>
      <c r="AE176" s="157">
        <f t="shared" si="41"/>
        <v>-45.2</v>
      </c>
      <c r="AF176" s="179">
        <f t="shared" si="42"/>
        <v>1000</v>
      </c>
      <c r="AG176" s="147">
        <f t="shared" si="43"/>
        <v>6000</v>
      </c>
      <c r="AH176" s="157">
        <f t="shared" si="44"/>
        <v>-45.2</v>
      </c>
      <c r="AI176" s="179">
        <f t="shared" si="52"/>
        <v>1000</v>
      </c>
      <c r="AJ176" s="147">
        <f t="shared" si="46"/>
        <v>12000</v>
      </c>
      <c r="AK176" s="157">
        <f t="shared" si="47"/>
        <v>-45.2</v>
      </c>
    </row>
    <row r="177" spans="1:37" ht="14.25" hidden="1" customHeight="1" x14ac:dyDescent="0.3">
      <c r="A177" s="168" t="s">
        <v>401</v>
      </c>
      <c r="B177" s="168" t="s">
        <v>207</v>
      </c>
      <c r="C177" s="168" t="s">
        <v>920</v>
      </c>
      <c r="D177" s="168" t="s">
        <v>917</v>
      </c>
      <c r="E177" s="169">
        <v>4</v>
      </c>
      <c r="F177" s="170" t="str">
        <f>IF(A177="","",VLOOKUP(A177,Cotizador!$A$5:$J$43,2,FALSE))</f>
        <v>AUREN</v>
      </c>
      <c r="G177" s="171">
        <f>IF(A177="","",VLOOKUP(A177,Cotizador!$A$5:$J$43,3,FALSE))</f>
        <v>45000</v>
      </c>
      <c r="H177" s="147">
        <f>IF(OR(A177="",D177=""),"",IF(D177="Sin estampar",0,IF(D177="Pecho",VLOOKUP(A177,Cotizador!$A$5:$J$43,4,FALSE),IF(D177="Espalda",VLOOKUP(A177,Cotizador!$A$5:$J$43,5,FALSE),VLOOKUP(A177,Cotizador!$A$5:$J$43,4,FALSE)+VLOOKUP(A177,Cotizador!$A$5:$J$43,5,FALSE)))))</f>
        <v>0</v>
      </c>
      <c r="I177" s="147">
        <f>IF(A177="","",VLOOKUP(A177,Cotizador!$A$5:$J$43,6,FALSE))</f>
        <v>0</v>
      </c>
      <c r="J177" s="147">
        <f>IF(A177="","",VLOOKUP(A177,Cotizador!$A$5:$J$43,7,FALSE))</f>
        <v>1200</v>
      </c>
      <c r="K177" s="172">
        <f t="shared" si="29"/>
        <v>184800</v>
      </c>
      <c r="L177" s="147">
        <f>IF(A177="","",IF(D177="Sin estampar",VLOOKUP(A177,Cotizador!$A$5:$J$43,8,FALSE),IF(D177="Pecho",VLOOKUP(A177,Cotizador!$A$5:$J$43,10,FALSE),VLOOKUP(A177,Cotizador!$A$5:$J$43,9,FALSE))))</f>
        <v>1000</v>
      </c>
      <c r="M177" s="173">
        <f t="shared" si="30"/>
        <v>4000</v>
      </c>
      <c r="N177" s="147">
        <f t="shared" si="31"/>
        <v>46200</v>
      </c>
      <c r="O177" s="157"/>
      <c r="P177" s="157">
        <f t="shared" si="32"/>
        <v>-45.2</v>
      </c>
      <c r="Q177" s="174" t="str">
        <f t="shared" si="33"/>
        <v>Pantaloneta L Beige</v>
      </c>
      <c r="R177" s="147"/>
      <c r="S177" s="185"/>
      <c r="T177" s="186">
        <f t="shared" si="34"/>
        <v>0</v>
      </c>
      <c r="V177" s="51">
        <f t="shared" si="35"/>
        <v>180000</v>
      </c>
      <c r="Y177" s="147">
        <f t="shared" si="36"/>
        <v>46200</v>
      </c>
      <c r="Z177" s="177">
        <f t="shared" si="37"/>
        <v>1000</v>
      </c>
      <c r="AA177" s="178"/>
      <c r="AB177" s="178">
        <f t="shared" si="38"/>
        <v>-45.2</v>
      </c>
      <c r="AC177" s="179">
        <f t="shared" si="50"/>
        <v>1000</v>
      </c>
      <c r="AD177" s="147">
        <f t="shared" si="40"/>
        <v>3000</v>
      </c>
      <c r="AE177" s="157">
        <f t="shared" si="41"/>
        <v>-45.2</v>
      </c>
      <c r="AF177" s="179">
        <f t="shared" si="42"/>
        <v>1000</v>
      </c>
      <c r="AG177" s="147">
        <f t="shared" si="43"/>
        <v>6000</v>
      </c>
      <c r="AH177" s="157">
        <f t="shared" si="44"/>
        <v>-45.2</v>
      </c>
      <c r="AI177" s="179">
        <f t="shared" si="52"/>
        <v>1000</v>
      </c>
      <c r="AJ177" s="147">
        <f t="shared" si="46"/>
        <v>12000</v>
      </c>
      <c r="AK177" s="157">
        <f t="shared" si="47"/>
        <v>-45.2</v>
      </c>
    </row>
    <row r="178" spans="1:37" ht="14.25" hidden="1" customHeight="1" x14ac:dyDescent="0.3">
      <c r="A178" s="168" t="s">
        <v>401</v>
      </c>
      <c r="B178" s="168" t="s">
        <v>210</v>
      </c>
      <c r="C178" s="168" t="s">
        <v>920</v>
      </c>
      <c r="D178" s="168" t="s">
        <v>917</v>
      </c>
      <c r="E178" s="169">
        <v>4</v>
      </c>
      <c r="F178" s="170" t="str">
        <f>IF(A178="","",VLOOKUP(A178,Cotizador!$A$5:$J$43,2,FALSE))</f>
        <v>AUREN</v>
      </c>
      <c r="G178" s="171">
        <f>IF(A178="","",VLOOKUP(A178,Cotizador!$A$5:$J$43,3,FALSE))</f>
        <v>45000</v>
      </c>
      <c r="H178" s="147">
        <f>IF(OR(A178="",D178=""),"",IF(D178="Sin estampar",0,IF(D178="Pecho",VLOOKUP(A178,Cotizador!$A$5:$J$43,4,FALSE),IF(D178="Espalda",VLOOKUP(A178,Cotizador!$A$5:$J$43,5,FALSE),VLOOKUP(A178,Cotizador!$A$5:$J$43,4,FALSE)+VLOOKUP(A178,Cotizador!$A$5:$J$43,5,FALSE)))))</f>
        <v>0</v>
      </c>
      <c r="I178" s="147">
        <f>IF(A178="","",VLOOKUP(A178,Cotizador!$A$5:$J$43,6,FALSE))</f>
        <v>0</v>
      </c>
      <c r="J178" s="147">
        <f>IF(A178="","",VLOOKUP(A178,Cotizador!$A$5:$J$43,7,FALSE))</f>
        <v>1200</v>
      </c>
      <c r="K178" s="172">
        <f t="shared" si="29"/>
        <v>184800</v>
      </c>
      <c r="L178" s="147">
        <f>IF(A178="","",IF(D178="Sin estampar",VLOOKUP(A178,Cotizador!$A$5:$J$43,8,FALSE),IF(D178="Pecho",VLOOKUP(A178,Cotizador!$A$5:$J$43,10,FALSE),VLOOKUP(A178,Cotizador!$A$5:$J$43,9,FALSE))))</f>
        <v>1000</v>
      </c>
      <c r="M178" s="173">
        <f t="shared" si="30"/>
        <v>4000</v>
      </c>
      <c r="N178" s="147">
        <f t="shared" si="31"/>
        <v>46200</v>
      </c>
      <c r="O178" s="157"/>
      <c r="P178" s="157">
        <f t="shared" si="32"/>
        <v>-45.2</v>
      </c>
      <c r="Q178" s="174" t="str">
        <f t="shared" si="33"/>
        <v>Pantaloneta XL Beige</v>
      </c>
      <c r="R178" s="147"/>
      <c r="S178" s="185"/>
      <c r="T178" s="186">
        <f t="shared" si="34"/>
        <v>0</v>
      </c>
      <c r="V178" s="51">
        <f t="shared" si="35"/>
        <v>180000</v>
      </c>
      <c r="Y178" s="147">
        <f t="shared" si="36"/>
        <v>46200</v>
      </c>
      <c r="Z178" s="177">
        <f t="shared" si="37"/>
        <v>1000</v>
      </c>
      <c r="AA178" s="178"/>
      <c r="AB178" s="178">
        <f t="shared" si="38"/>
        <v>-45.2</v>
      </c>
      <c r="AC178" s="179">
        <f t="shared" si="50"/>
        <v>1000</v>
      </c>
      <c r="AD178" s="147">
        <f t="shared" si="40"/>
        <v>3000</v>
      </c>
      <c r="AE178" s="157">
        <f t="shared" si="41"/>
        <v>-45.2</v>
      </c>
      <c r="AF178" s="179">
        <f t="shared" si="42"/>
        <v>1000</v>
      </c>
      <c r="AG178" s="147">
        <f t="shared" si="43"/>
        <v>6000</v>
      </c>
      <c r="AH178" s="157">
        <f t="shared" si="44"/>
        <v>-45.2</v>
      </c>
      <c r="AI178" s="179">
        <f t="shared" si="52"/>
        <v>1000</v>
      </c>
      <c r="AJ178" s="147">
        <f t="shared" si="46"/>
        <v>12000</v>
      </c>
      <c r="AK178" s="157">
        <f t="shared" si="47"/>
        <v>-45.2</v>
      </c>
    </row>
    <row r="179" spans="1:37" ht="14.25" hidden="1" customHeight="1" x14ac:dyDescent="0.3">
      <c r="A179" s="168" t="s">
        <v>419</v>
      </c>
      <c r="B179" s="168" t="s">
        <v>204</v>
      </c>
      <c r="C179" s="168"/>
      <c r="D179" s="168" t="s">
        <v>917</v>
      </c>
      <c r="E179" s="169">
        <v>3</v>
      </c>
      <c r="F179" s="170" t="str">
        <f>IF(A179="","",VLOOKUP(A179,Cotizador!$A$5:$J$43,2,FALSE))</f>
        <v>BRACOR</v>
      </c>
      <c r="G179" s="171">
        <f>IF(A179="","",VLOOKUP(A179,Cotizador!$A$5:$J$43,3,FALSE))</f>
        <v>60000</v>
      </c>
      <c r="H179" s="147">
        <f>IF(OR(A179="",D179=""),"",IF(D179="Sin estampar",0,IF(D179="Pecho",VLOOKUP(A179,Cotizador!$A$5:$J$43,4,FALSE),IF(D179="Espalda",VLOOKUP(A179,Cotizador!$A$5:$J$43,5,FALSE),VLOOKUP(A179,Cotizador!$A$5:$J$43,4,FALSE)+VLOOKUP(A179,Cotizador!$A$5:$J$43,5,FALSE)))))</f>
        <v>0</v>
      </c>
      <c r="I179" s="147">
        <f>IF(A179="","",VLOOKUP(A179,Cotizador!$A$5:$J$43,6,FALSE))</f>
        <v>0</v>
      </c>
      <c r="J179" s="147">
        <f>IF(A179="","",VLOOKUP(A179,Cotizador!$A$5:$J$43,7,FALSE))</f>
        <v>1200</v>
      </c>
      <c r="K179" s="172">
        <f t="shared" si="29"/>
        <v>183600</v>
      </c>
      <c r="L179" s="147">
        <f>IF(A179="","",IF(D179="Sin estampar",VLOOKUP(A179,Cotizador!$A$5:$J$43,8,FALSE),IF(D179="Pecho",VLOOKUP(A179,Cotizador!$A$5:$J$43,10,FALSE),VLOOKUP(A179,Cotizador!$A$5:$J$43,9,FALSE))))</f>
        <v>1000</v>
      </c>
      <c r="M179" s="173">
        <f t="shared" si="30"/>
        <v>3000</v>
      </c>
      <c r="N179" s="147">
        <f t="shared" si="31"/>
        <v>61200</v>
      </c>
      <c r="O179" s="157"/>
      <c r="P179" s="157">
        <f t="shared" si="32"/>
        <v>-60.2</v>
      </c>
      <c r="Q179" s="174" t="str">
        <f t="shared" si="33"/>
        <v xml:space="preserve">Camisa Réplica Y/Out M </v>
      </c>
      <c r="R179" s="147"/>
      <c r="S179" s="185"/>
      <c r="T179" s="186">
        <f t="shared" si="34"/>
        <v>0</v>
      </c>
      <c r="V179" s="51">
        <f t="shared" si="35"/>
        <v>180000</v>
      </c>
      <c r="Y179" s="147">
        <f t="shared" si="36"/>
        <v>61200</v>
      </c>
      <c r="Z179" s="177">
        <f t="shared" si="37"/>
        <v>1000</v>
      </c>
      <c r="AA179" s="178"/>
      <c r="AB179" s="178">
        <f t="shared" si="38"/>
        <v>-60.2</v>
      </c>
      <c r="AC179" s="179">
        <f t="shared" si="50"/>
        <v>1000</v>
      </c>
      <c r="AD179" s="147">
        <f t="shared" si="40"/>
        <v>3000</v>
      </c>
      <c r="AE179" s="157">
        <f t="shared" si="41"/>
        <v>-60.2</v>
      </c>
      <c r="AF179" s="179">
        <f t="shared" ref="AF179:AF184" si="53">ROUNDUP(L179*0.925,-3)</f>
        <v>1000</v>
      </c>
      <c r="AG179" s="147">
        <f t="shared" si="43"/>
        <v>6000</v>
      </c>
      <c r="AH179" s="157">
        <f t="shared" si="44"/>
        <v>-60.2</v>
      </c>
      <c r="AI179" s="179">
        <f t="shared" ref="AI179:AI184" si="54">ROUNDUP(L179*0.9,-3)</f>
        <v>1000</v>
      </c>
      <c r="AJ179" s="147">
        <f t="shared" si="46"/>
        <v>12000</v>
      </c>
      <c r="AK179" s="157">
        <f t="shared" si="47"/>
        <v>-60.2</v>
      </c>
    </row>
    <row r="180" spans="1:37" ht="14.25" hidden="1" customHeight="1" x14ac:dyDescent="0.3">
      <c r="A180" s="168" t="s">
        <v>419</v>
      </c>
      <c r="B180" s="168" t="s">
        <v>207</v>
      </c>
      <c r="C180" s="168"/>
      <c r="D180" s="168" t="s">
        <v>917</v>
      </c>
      <c r="E180" s="169">
        <v>3</v>
      </c>
      <c r="F180" s="170" t="str">
        <f>IF(A180="","",VLOOKUP(A180,Cotizador!$A$5:$J$43,2,FALSE))</f>
        <v>BRACOR</v>
      </c>
      <c r="G180" s="171">
        <f>IF(A180="","",VLOOKUP(A180,Cotizador!$A$5:$J$43,3,FALSE))</f>
        <v>60000</v>
      </c>
      <c r="H180" s="147">
        <f>IF(OR(A180="",D180=""),"",IF(D180="Sin estampar",0,IF(D180="Pecho",VLOOKUP(A180,Cotizador!$A$5:$J$43,4,FALSE),IF(D180="Espalda",VLOOKUP(A180,Cotizador!$A$5:$J$43,5,FALSE),VLOOKUP(A180,Cotizador!$A$5:$J$43,4,FALSE)+VLOOKUP(A180,Cotizador!$A$5:$J$43,5,FALSE)))))</f>
        <v>0</v>
      </c>
      <c r="I180" s="147">
        <f>IF(A180="","",VLOOKUP(A180,Cotizador!$A$5:$J$43,6,FALSE))</f>
        <v>0</v>
      </c>
      <c r="J180" s="147">
        <f>IF(A180="","",VLOOKUP(A180,Cotizador!$A$5:$J$43,7,FALSE))</f>
        <v>1200</v>
      </c>
      <c r="K180" s="172">
        <f t="shared" si="29"/>
        <v>183600</v>
      </c>
      <c r="L180" s="147">
        <f>IF(A180="","",IF(D180="Sin estampar",VLOOKUP(A180,Cotizador!$A$5:$J$43,8,FALSE),IF(D180="Pecho",VLOOKUP(A180,Cotizador!$A$5:$J$43,10,FALSE),VLOOKUP(A180,Cotizador!$A$5:$J$43,9,FALSE))))</f>
        <v>1000</v>
      </c>
      <c r="M180" s="173">
        <f t="shared" si="30"/>
        <v>3000</v>
      </c>
      <c r="N180" s="147">
        <f t="shared" si="31"/>
        <v>61200</v>
      </c>
      <c r="O180" s="157"/>
      <c r="P180" s="157">
        <f t="shared" si="32"/>
        <v>-60.2</v>
      </c>
      <c r="Q180" s="174" t="str">
        <f t="shared" si="33"/>
        <v xml:space="preserve">Camisa Réplica Y/Out L </v>
      </c>
      <c r="R180" s="147"/>
      <c r="S180" s="185"/>
      <c r="T180" s="186">
        <f t="shared" si="34"/>
        <v>0</v>
      </c>
      <c r="V180" s="51">
        <f t="shared" si="35"/>
        <v>180000</v>
      </c>
      <c r="Y180" s="147">
        <f t="shared" si="36"/>
        <v>61200</v>
      </c>
      <c r="Z180" s="177">
        <f t="shared" si="37"/>
        <v>1000</v>
      </c>
      <c r="AA180" s="178"/>
      <c r="AB180" s="178">
        <f t="shared" si="38"/>
        <v>-60.2</v>
      </c>
      <c r="AC180" s="179">
        <f t="shared" si="50"/>
        <v>1000</v>
      </c>
      <c r="AD180" s="147">
        <f t="shared" si="40"/>
        <v>3000</v>
      </c>
      <c r="AE180" s="157">
        <f t="shared" si="41"/>
        <v>-60.2</v>
      </c>
      <c r="AF180" s="179">
        <f t="shared" si="53"/>
        <v>1000</v>
      </c>
      <c r="AG180" s="147">
        <f t="shared" si="43"/>
        <v>6000</v>
      </c>
      <c r="AH180" s="157">
        <f t="shared" si="44"/>
        <v>-60.2</v>
      </c>
      <c r="AI180" s="179">
        <f t="shared" si="54"/>
        <v>1000</v>
      </c>
      <c r="AJ180" s="147">
        <f t="shared" si="46"/>
        <v>12000</v>
      </c>
      <c r="AK180" s="157">
        <f t="shared" si="47"/>
        <v>-60.2</v>
      </c>
    </row>
    <row r="181" spans="1:37" ht="14.25" hidden="1" customHeight="1" x14ac:dyDescent="0.3">
      <c r="A181" s="168" t="s">
        <v>419</v>
      </c>
      <c r="B181" s="168" t="s">
        <v>210</v>
      </c>
      <c r="C181" s="168"/>
      <c r="D181" s="168" t="s">
        <v>917</v>
      </c>
      <c r="E181" s="169">
        <v>2</v>
      </c>
      <c r="F181" s="170" t="str">
        <f>IF(A181="","",VLOOKUP(A181,Cotizador!$A$5:$J$43,2,FALSE))</f>
        <v>BRACOR</v>
      </c>
      <c r="G181" s="171">
        <f>IF(A181="","",VLOOKUP(A181,Cotizador!$A$5:$J$43,3,FALSE))</f>
        <v>60000</v>
      </c>
      <c r="H181" s="147">
        <f>IF(OR(A181="",D181=""),"",IF(D181="Sin estampar",0,IF(D181="Pecho",VLOOKUP(A181,Cotizador!$A$5:$J$43,4,FALSE),IF(D181="Espalda",VLOOKUP(A181,Cotizador!$A$5:$J$43,5,FALSE),VLOOKUP(A181,Cotizador!$A$5:$J$43,4,FALSE)+VLOOKUP(A181,Cotizador!$A$5:$J$43,5,FALSE)))))</f>
        <v>0</v>
      </c>
      <c r="I181" s="147">
        <f>IF(A181="","",VLOOKUP(A181,Cotizador!$A$5:$J$43,6,FALSE))</f>
        <v>0</v>
      </c>
      <c r="J181" s="147">
        <f>IF(A181="","",VLOOKUP(A181,Cotizador!$A$5:$J$43,7,FALSE))</f>
        <v>1200</v>
      </c>
      <c r="K181" s="172">
        <f t="shared" si="29"/>
        <v>122400</v>
      </c>
      <c r="L181" s="147">
        <f>IF(A181="","",IF(D181="Sin estampar",VLOOKUP(A181,Cotizador!$A$5:$J$43,8,FALSE),IF(D181="Pecho",VLOOKUP(A181,Cotizador!$A$5:$J$43,10,FALSE),VLOOKUP(A181,Cotizador!$A$5:$J$43,9,FALSE))))</f>
        <v>1000</v>
      </c>
      <c r="M181" s="173">
        <f t="shared" si="30"/>
        <v>2000</v>
      </c>
      <c r="N181" s="147">
        <f t="shared" si="31"/>
        <v>61200</v>
      </c>
      <c r="O181" s="157"/>
      <c r="P181" s="157">
        <f t="shared" si="32"/>
        <v>-60.2</v>
      </c>
      <c r="Q181" s="174" t="str">
        <f t="shared" si="33"/>
        <v xml:space="preserve">Camisa Réplica Y/Out XL </v>
      </c>
      <c r="R181" s="147"/>
      <c r="S181" s="185"/>
      <c r="T181" s="186">
        <f t="shared" si="34"/>
        <v>0</v>
      </c>
      <c r="V181" s="51">
        <f t="shared" si="35"/>
        <v>120000</v>
      </c>
      <c r="Y181" s="147">
        <f t="shared" si="36"/>
        <v>61200</v>
      </c>
      <c r="Z181" s="177">
        <f t="shared" si="37"/>
        <v>1000</v>
      </c>
      <c r="AA181" s="178"/>
      <c r="AB181" s="178">
        <f t="shared" si="38"/>
        <v>-60.2</v>
      </c>
      <c r="AC181" s="179">
        <f t="shared" si="50"/>
        <v>1000</v>
      </c>
      <c r="AD181" s="147">
        <f t="shared" si="40"/>
        <v>3000</v>
      </c>
      <c r="AE181" s="157">
        <f t="shared" si="41"/>
        <v>-60.2</v>
      </c>
      <c r="AF181" s="179">
        <f t="shared" si="53"/>
        <v>1000</v>
      </c>
      <c r="AG181" s="147">
        <f t="shared" si="43"/>
        <v>6000</v>
      </c>
      <c r="AH181" s="157">
        <f t="shared" si="44"/>
        <v>-60.2</v>
      </c>
      <c r="AI181" s="179">
        <f t="shared" si="54"/>
        <v>1000</v>
      </c>
      <c r="AJ181" s="147">
        <f t="shared" si="46"/>
        <v>12000</v>
      </c>
      <c r="AK181" s="157">
        <f t="shared" si="47"/>
        <v>-60.2</v>
      </c>
    </row>
    <row r="182" spans="1:37" ht="14.25" hidden="1" customHeight="1" x14ac:dyDescent="0.3">
      <c r="A182" s="168" t="s">
        <v>421</v>
      </c>
      <c r="B182" s="168" t="s">
        <v>204</v>
      </c>
      <c r="C182" s="168"/>
      <c r="D182" s="168" t="s">
        <v>917</v>
      </c>
      <c r="E182" s="169">
        <v>7</v>
      </c>
      <c r="F182" s="170" t="str">
        <f>IF(A182="","",VLOOKUP(A182,Cotizador!$A$5:$J$43,2,FALSE))</f>
        <v>BRACOR</v>
      </c>
      <c r="G182" s="171">
        <f>IF(A182="","",VLOOKUP(A182,Cotizador!$A$5:$J$43,3,FALSE))</f>
        <v>54000</v>
      </c>
      <c r="H182" s="147">
        <f>IF(OR(A182="",D182=""),"",IF(D182="Sin estampar",0,IF(D182="Pecho",VLOOKUP(A182,Cotizador!$A$5:$J$43,4,FALSE),IF(D182="Espalda",VLOOKUP(A182,Cotizador!$A$5:$J$43,5,FALSE),VLOOKUP(A182,Cotizador!$A$5:$J$43,4,FALSE)+VLOOKUP(A182,Cotizador!$A$5:$J$43,5,FALSE)))))</f>
        <v>0</v>
      </c>
      <c r="I182" s="147">
        <f>IF(A182="","",VLOOKUP(A182,Cotizador!$A$5:$J$43,6,FALSE))</f>
        <v>0</v>
      </c>
      <c r="J182" s="147">
        <f>IF(A182="","",VLOOKUP(A182,Cotizador!$A$5:$J$43,7,FALSE))</f>
        <v>1200</v>
      </c>
      <c r="K182" s="172">
        <f t="shared" si="29"/>
        <v>386400</v>
      </c>
      <c r="L182" s="147">
        <f>IF(A182="","",IF(D182="Sin estampar",VLOOKUP(A182,Cotizador!$A$5:$J$43,8,FALSE),IF(D182="Pecho",VLOOKUP(A182,Cotizador!$A$5:$J$43,10,FALSE),VLOOKUP(A182,Cotizador!$A$5:$J$43,9,FALSE))))</f>
        <v>1000</v>
      </c>
      <c r="M182" s="173">
        <f t="shared" si="30"/>
        <v>7000</v>
      </c>
      <c r="N182" s="147">
        <f t="shared" si="31"/>
        <v>55200</v>
      </c>
      <c r="O182" s="157"/>
      <c r="P182" s="157">
        <f t="shared" si="32"/>
        <v>-54.2</v>
      </c>
      <c r="Q182" s="174" t="str">
        <f t="shared" si="33"/>
        <v xml:space="preserve">Camisa Réplica 1.1 M </v>
      </c>
      <c r="R182" s="147"/>
      <c r="S182" s="185"/>
      <c r="T182" s="186">
        <f t="shared" si="34"/>
        <v>0</v>
      </c>
      <c r="V182" s="51">
        <f t="shared" si="35"/>
        <v>378000</v>
      </c>
      <c r="Y182" s="147">
        <f t="shared" si="36"/>
        <v>55200</v>
      </c>
      <c r="Z182" s="177">
        <f t="shared" si="37"/>
        <v>1000</v>
      </c>
      <c r="AA182" s="178"/>
      <c r="AB182" s="178">
        <f t="shared" si="38"/>
        <v>-54.2</v>
      </c>
      <c r="AC182" s="179">
        <f t="shared" si="50"/>
        <v>1000</v>
      </c>
      <c r="AD182" s="147">
        <f t="shared" si="40"/>
        <v>3000</v>
      </c>
      <c r="AE182" s="157">
        <f t="shared" si="41"/>
        <v>-54.2</v>
      </c>
      <c r="AF182" s="179">
        <f t="shared" si="53"/>
        <v>1000</v>
      </c>
      <c r="AG182" s="147">
        <f t="shared" si="43"/>
        <v>6000</v>
      </c>
      <c r="AH182" s="157">
        <f t="shared" si="44"/>
        <v>-54.2</v>
      </c>
      <c r="AI182" s="179">
        <f t="shared" si="54"/>
        <v>1000</v>
      </c>
      <c r="AJ182" s="147">
        <f t="shared" si="46"/>
        <v>12000</v>
      </c>
      <c r="AK182" s="157">
        <f t="shared" si="47"/>
        <v>-54.2</v>
      </c>
    </row>
    <row r="183" spans="1:37" ht="14.25" hidden="1" customHeight="1" x14ac:dyDescent="0.3">
      <c r="A183" s="168" t="s">
        <v>421</v>
      </c>
      <c r="B183" s="168" t="s">
        <v>207</v>
      </c>
      <c r="C183" s="168"/>
      <c r="D183" s="168" t="s">
        <v>917</v>
      </c>
      <c r="E183" s="169">
        <v>7</v>
      </c>
      <c r="F183" s="170" t="str">
        <f>IF(A183="","",VLOOKUP(A183,Cotizador!$A$5:$J$43,2,FALSE))</f>
        <v>BRACOR</v>
      </c>
      <c r="G183" s="171">
        <f>IF(A183="","",VLOOKUP(A183,Cotizador!$A$5:$J$43,3,FALSE))</f>
        <v>54000</v>
      </c>
      <c r="H183" s="147">
        <f>IF(OR(A183="",D183=""),"",IF(D183="Sin estampar",0,IF(D183="Pecho",VLOOKUP(A183,Cotizador!$A$5:$J$43,4,FALSE),IF(D183="Espalda",VLOOKUP(A183,Cotizador!$A$5:$J$43,5,FALSE),VLOOKUP(A183,Cotizador!$A$5:$J$43,4,FALSE)+VLOOKUP(A183,Cotizador!$A$5:$J$43,5,FALSE)))))</f>
        <v>0</v>
      </c>
      <c r="I183" s="147">
        <f>IF(A183="","",VLOOKUP(A183,Cotizador!$A$5:$J$43,6,FALSE))</f>
        <v>0</v>
      </c>
      <c r="J183" s="147">
        <f>IF(A183="","",VLOOKUP(A183,Cotizador!$A$5:$J$43,7,FALSE))</f>
        <v>1200</v>
      </c>
      <c r="K183" s="172">
        <f t="shared" si="29"/>
        <v>386400</v>
      </c>
      <c r="L183" s="147">
        <f>IF(A183="","",IF(D183="Sin estampar",VLOOKUP(A183,Cotizador!$A$5:$J$43,8,FALSE),IF(D183="Pecho",VLOOKUP(A183,Cotizador!$A$5:$J$43,10,FALSE),VLOOKUP(A183,Cotizador!$A$5:$J$43,9,FALSE))))</f>
        <v>1000</v>
      </c>
      <c r="M183" s="173">
        <f t="shared" si="30"/>
        <v>7000</v>
      </c>
      <c r="N183" s="147">
        <f t="shared" si="31"/>
        <v>55200</v>
      </c>
      <c r="O183" s="157"/>
      <c r="P183" s="157">
        <f t="shared" si="32"/>
        <v>-54.2</v>
      </c>
      <c r="Q183" s="174" t="str">
        <f t="shared" si="33"/>
        <v xml:space="preserve">Camisa Réplica 1.1 L </v>
      </c>
      <c r="R183" s="147"/>
      <c r="S183" s="185"/>
      <c r="T183" s="186">
        <f t="shared" si="34"/>
        <v>0</v>
      </c>
      <c r="V183" s="51">
        <f t="shared" si="35"/>
        <v>378000</v>
      </c>
      <c r="Y183" s="147">
        <f t="shared" si="36"/>
        <v>55200</v>
      </c>
      <c r="Z183" s="177">
        <f t="shared" si="37"/>
        <v>1000</v>
      </c>
      <c r="AA183" s="178"/>
      <c r="AB183" s="178">
        <f t="shared" si="38"/>
        <v>-54.2</v>
      </c>
      <c r="AC183" s="179">
        <f t="shared" si="50"/>
        <v>1000</v>
      </c>
      <c r="AD183" s="147">
        <f t="shared" si="40"/>
        <v>3000</v>
      </c>
      <c r="AE183" s="157">
        <f t="shared" si="41"/>
        <v>-54.2</v>
      </c>
      <c r="AF183" s="179">
        <f t="shared" si="53"/>
        <v>1000</v>
      </c>
      <c r="AG183" s="147">
        <f t="shared" si="43"/>
        <v>6000</v>
      </c>
      <c r="AH183" s="157">
        <f t="shared" si="44"/>
        <v>-54.2</v>
      </c>
      <c r="AI183" s="179">
        <f t="shared" si="54"/>
        <v>1000</v>
      </c>
      <c r="AJ183" s="147">
        <f t="shared" si="46"/>
        <v>12000</v>
      </c>
      <c r="AK183" s="157">
        <f t="shared" si="47"/>
        <v>-54.2</v>
      </c>
    </row>
    <row r="184" spans="1:37" ht="14.25" hidden="1" customHeight="1" x14ac:dyDescent="0.3">
      <c r="A184" s="168" t="s">
        <v>421</v>
      </c>
      <c r="B184" s="168" t="s">
        <v>210</v>
      </c>
      <c r="C184" s="168"/>
      <c r="D184" s="168" t="s">
        <v>917</v>
      </c>
      <c r="E184" s="169">
        <v>8</v>
      </c>
      <c r="F184" s="170" t="str">
        <f>IF(A184="","",VLOOKUP(A184,Cotizador!$A$5:$J$43,2,FALSE))</f>
        <v>BRACOR</v>
      </c>
      <c r="G184" s="171">
        <f>IF(A184="","",VLOOKUP(A184,Cotizador!$A$5:$J$43,3,FALSE))</f>
        <v>54000</v>
      </c>
      <c r="H184" s="147">
        <f>IF(OR(A184="",D184=""),"",IF(D184="Sin estampar",0,IF(D184="Pecho",VLOOKUP(A184,Cotizador!$A$5:$J$43,4,FALSE),IF(D184="Espalda",VLOOKUP(A184,Cotizador!$A$5:$J$43,5,FALSE),VLOOKUP(A184,Cotizador!$A$5:$J$43,4,FALSE)+VLOOKUP(A184,Cotizador!$A$5:$J$43,5,FALSE)))))</f>
        <v>0</v>
      </c>
      <c r="I184" s="147">
        <f>IF(A184="","",VLOOKUP(A184,Cotizador!$A$5:$J$43,6,FALSE))</f>
        <v>0</v>
      </c>
      <c r="J184" s="147">
        <f>IF(A184="","",VLOOKUP(A184,Cotizador!$A$5:$J$43,7,FALSE))</f>
        <v>1200</v>
      </c>
      <c r="K184" s="172">
        <f t="shared" si="29"/>
        <v>441600</v>
      </c>
      <c r="L184" s="147">
        <f>IF(A184="","",IF(D184="Sin estampar",VLOOKUP(A184,Cotizador!$A$5:$J$43,8,FALSE),IF(D184="Pecho",VLOOKUP(A184,Cotizador!$A$5:$J$43,10,FALSE),VLOOKUP(A184,Cotizador!$A$5:$J$43,9,FALSE))))</f>
        <v>1000</v>
      </c>
      <c r="M184" s="173">
        <f t="shared" si="30"/>
        <v>8000</v>
      </c>
      <c r="N184" s="147">
        <f t="shared" si="31"/>
        <v>55200</v>
      </c>
      <c r="O184" s="157"/>
      <c r="P184" s="157">
        <f t="shared" si="32"/>
        <v>-54.2</v>
      </c>
      <c r="Q184" s="174" t="str">
        <f t="shared" si="33"/>
        <v xml:space="preserve">Camisa Réplica 1.1 XL </v>
      </c>
      <c r="R184" s="147"/>
      <c r="S184" s="185"/>
      <c r="T184" s="186">
        <f t="shared" si="34"/>
        <v>0</v>
      </c>
      <c r="V184" s="51">
        <f t="shared" si="35"/>
        <v>432000</v>
      </c>
      <c r="Y184" s="147">
        <f t="shared" si="36"/>
        <v>55200</v>
      </c>
      <c r="Z184" s="177">
        <f t="shared" si="37"/>
        <v>1000</v>
      </c>
      <c r="AA184" s="178"/>
      <c r="AB184" s="178">
        <f t="shared" si="38"/>
        <v>-54.2</v>
      </c>
      <c r="AC184" s="179">
        <f t="shared" si="50"/>
        <v>1000</v>
      </c>
      <c r="AD184" s="147">
        <f t="shared" si="40"/>
        <v>3000</v>
      </c>
      <c r="AE184" s="157">
        <f t="shared" si="41"/>
        <v>-54.2</v>
      </c>
      <c r="AF184" s="179">
        <f t="shared" si="53"/>
        <v>1000</v>
      </c>
      <c r="AG184" s="147">
        <f t="shared" si="43"/>
        <v>6000</v>
      </c>
      <c r="AH184" s="157">
        <f t="shared" si="44"/>
        <v>-54.2</v>
      </c>
      <c r="AI184" s="179">
        <f t="shared" si="54"/>
        <v>1000</v>
      </c>
      <c r="AJ184" s="147">
        <f t="shared" si="46"/>
        <v>12000</v>
      </c>
      <c r="AK184" s="157">
        <f t="shared" si="47"/>
        <v>-54.2</v>
      </c>
    </row>
    <row r="185" spans="1:37" ht="14.25" hidden="1" customHeight="1" x14ac:dyDescent="0.3">
      <c r="A185" s="168"/>
      <c r="B185" s="168"/>
      <c r="C185" s="168"/>
      <c r="D185" s="168"/>
      <c r="E185" s="169"/>
      <c r="F185" s="170" t="str">
        <f>IF(A185="","",VLOOKUP(A185,Cotizador!$A$5:$J$43,2,FALSE))</f>
        <v/>
      </c>
      <c r="G185" s="171" t="str">
        <f>IF(A185="","",VLOOKUP(A185,Cotizador!$A$5:$J$43,3,FALSE))</f>
        <v/>
      </c>
      <c r="H185" s="147" t="str">
        <f>IF(OR(A185="",D185=""),"",IF(D185="Sin estampar",0,IF(D185="Pecho",VLOOKUP(A185,Cotizador!$A$5:$J$43,4,FALSE),IF(D185="Espalda",VLOOKUP(A185,Cotizador!$A$5:$J$43,5,FALSE),VLOOKUP(A185,Cotizador!$A$5:$J$43,4,FALSE)+VLOOKUP(A185,Cotizador!$A$5:$J$43,5,FALSE)))))</f>
        <v/>
      </c>
      <c r="I185" s="147" t="str">
        <f>IF(A185="","",VLOOKUP(A185,Cotizador!$A$5:$J$43,6,FALSE))</f>
        <v/>
      </c>
      <c r="J185" s="147" t="str">
        <f>IF(A185="","",VLOOKUP(A185,Cotizador!$A$5:$J$43,7,FALSE))</f>
        <v/>
      </c>
      <c r="K185" s="172" t="str">
        <f t="shared" si="29"/>
        <v/>
      </c>
      <c r="L185" s="147" t="str">
        <f>IF(A185="","",IF(D185="Sin estampar",VLOOKUP(A185,Cotizador!$A$5:$J$43,8,FALSE),IF(D185="Pecho",VLOOKUP(A185,Cotizador!$A$5:$J$43,10,FALSE),VLOOKUP(A185,Cotizador!$A$5:$J$43,9,FALSE))))</f>
        <v/>
      </c>
      <c r="M185" s="173" t="str">
        <f t="shared" si="30"/>
        <v/>
      </c>
      <c r="N185" s="147"/>
      <c r="O185" s="157"/>
      <c r="P185" s="157"/>
      <c r="Q185" s="174" t="str">
        <f t="shared" si="33"/>
        <v xml:space="preserve">  </v>
      </c>
      <c r="R185" s="147"/>
      <c r="S185" s="185"/>
      <c r="T185" s="186">
        <f t="shared" si="34"/>
        <v>0</v>
      </c>
      <c r="U185" s="147"/>
      <c r="Y185" s="177"/>
      <c r="Z185" s="177" t="s">
        <v>929</v>
      </c>
    </row>
    <row r="186" spans="1:37" ht="14.25" hidden="1" customHeight="1" x14ac:dyDescent="0.3">
      <c r="Q186" s="147"/>
      <c r="R186" s="147"/>
      <c r="S186" s="147"/>
      <c r="T186" s="147"/>
      <c r="Y186" s="9">
        <f>160*Y173</f>
        <v>7392000</v>
      </c>
      <c r="Z186" s="9">
        <f>160*62000</f>
        <v>9920000</v>
      </c>
      <c r="AB186" s="9">
        <f>Z186-Y186</f>
        <v>2528000</v>
      </c>
      <c r="AC186" s="9">
        <f>(Z186-Y186)/Z186</f>
        <v>0.25483870967741934</v>
      </c>
    </row>
    <row r="187" spans="1:37" ht="14.25" hidden="1" customHeight="1" x14ac:dyDescent="0.3">
      <c r="A187" s="187" t="s">
        <v>930</v>
      </c>
      <c r="B187" s="188"/>
      <c r="C187" s="188"/>
      <c r="D187" s="188"/>
      <c r="E187" s="189">
        <f>SUM(E48:E185)</f>
        <v>342</v>
      </c>
      <c r="G187" s="190" t="e">
        <f>SUMPRODUCT(G48:G185,E48:E185)</f>
        <v>#N/A</v>
      </c>
      <c r="H187" s="190" t="e">
        <f>SUMPRODUCT(H48:H185,E48:E185)</f>
        <v>#N/A</v>
      </c>
      <c r="I187" s="190" t="e">
        <f>SUMPRODUCT(I48:I185,E48:E185)</f>
        <v>#N/A</v>
      </c>
      <c r="J187" s="190" t="e">
        <f>SUMPRODUCT(J48:J185,E48:E185)</f>
        <v>#N/A</v>
      </c>
      <c r="K187" s="190" t="e">
        <f>+SUM(K48:K184)</f>
        <v>#N/A</v>
      </c>
      <c r="M187" s="190" t="e">
        <f>+SUM(M48:M184)</f>
        <v>#N/A</v>
      </c>
      <c r="Q187" s="147"/>
      <c r="R187" s="147"/>
      <c r="S187" s="147"/>
      <c r="T187" s="147"/>
    </row>
    <row r="188" spans="1:37" ht="14.25" hidden="1" customHeight="1" x14ac:dyDescent="0.3">
      <c r="Q188" s="147"/>
      <c r="R188" s="147"/>
      <c r="S188" s="147"/>
      <c r="T188" s="147"/>
    </row>
    <row r="189" spans="1:37" ht="14.25" hidden="1" customHeight="1" x14ac:dyDescent="0.3">
      <c r="M189" s="191" t="e">
        <f>+M187-K187</f>
        <v>#N/A</v>
      </c>
      <c r="Q189" s="147"/>
      <c r="R189" s="147"/>
      <c r="S189" s="147"/>
      <c r="T189" s="147"/>
    </row>
    <row r="190" spans="1:37" ht="14.25" hidden="1" customHeight="1" x14ac:dyDescent="0.35">
      <c r="A190" s="192" t="s">
        <v>931</v>
      </c>
      <c r="Q190" s="147"/>
      <c r="R190" s="147"/>
      <c r="S190" s="147"/>
      <c r="T190" s="147"/>
    </row>
    <row r="191" spans="1:37" ht="14.25" hidden="1" customHeight="1" x14ac:dyDescent="0.3">
      <c r="Q191" s="147"/>
      <c r="R191" s="147"/>
      <c r="S191" s="147"/>
      <c r="T191" s="147"/>
    </row>
    <row r="192" spans="1:37" ht="14.25" hidden="1" customHeight="1" x14ac:dyDescent="0.3">
      <c r="A192" s="193" t="s">
        <v>932</v>
      </c>
      <c r="B192" s="194">
        <f>E187</f>
        <v>342</v>
      </c>
      <c r="D192" s="195" t="s">
        <v>933</v>
      </c>
      <c r="H192" s="196" t="s">
        <v>934</v>
      </c>
      <c r="I192" s="196" t="s">
        <v>86</v>
      </c>
      <c r="J192" s="196" t="s">
        <v>935</v>
      </c>
      <c r="K192" s="196" t="s">
        <v>936</v>
      </c>
      <c r="Q192" s="147"/>
      <c r="R192" s="147"/>
      <c r="S192" s="147"/>
      <c r="T192" s="147"/>
    </row>
    <row r="193" spans="1:20" ht="14.25" hidden="1" customHeight="1" x14ac:dyDescent="0.3">
      <c r="A193" s="193" t="s">
        <v>937</v>
      </c>
      <c r="B193" s="197" t="e">
        <f>+E197</f>
        <v>#N/A</v>
      </c>
      <c r="D193" s="198" t="s">
        <v>938</v>
      </c>
      <c r="E193" s="199" t="e">
        <f>G187</f>
        <v>#N/A</v>
      </c>
      <c r="F193" s="157" t="e">
        <f t="shared" ref="F193:F196" si="55">+E193/$E$197</f>
        <v>#N/A</v>
      </c>
      <c r="H193" s="200" t="s">
        <v>509</v>
      </c>
      <c r="I193" s="201">
        <f t="shared" ref="I193:I195" si="56">+SUMIF($F$48:$F$184,H193,$V$48:$V$184)</f>
        <v>4500000</v>
      </c>
      <c r="J193" s="202" t="s">
        <v>939</v>
      </c>
      <c r="K193" s="66">
        <f t="shared" ref="K193:K196" si="57">I193/3</f>
        <v>1500000</v>
      </c>
      <c r="Q193" s="147"/>
      <c r="R193" s="147"/>
      <c r="S193" s="147"/>
      <c r="T193" s="147"/>
    </row>
    <row r="194" spans="1:20" ht="14.25" hidden="1" customHeight="1" x14ac:dyDescent="0.3">
      <c r="A194" s="193" t="s">
        <v>940</v>
      </c>
      <c r="B194" s="203" t="e">
        <f>+M187</f>
        <v>#N/A</v>
      </c>
      <c r="D194" s="198" t="s">
        <v>941</v>
      </c>
      <c r="E194" s="199" t="e">
        <f>H187</f>
        <v>#N/A</v>
      </c>
      <c r="F194" s="157" t="e">
        <f t="shared" si="55"/>
        <v>#N/A</v>
      </c>
      <c r="H194" s="200" t="s">
        <v>505</v>
      </c>
      <c r="I194" s="201" t="e">
        <f t="shared" si="56"/>
        <v>#N/A</v>
      </c>
      <c r="J194" s="202" t="s">
        <v>942</v>
      </c>
      <c r="K194" s="66" t="e">
        <f t="shared" si="57"/>
        <v>#N/A</v>
      </c>
      <c r="Q194" s="147"/>
      <c r="R194" s="147"/>
      <c r="S194" s="147"/>
      <c r="T194" s="147"/>
    </row>
    <row r="195" spans="1:20" ht="14.25" hidden="1" customHeight="1" x14ac:dyDescent="0.3">
      <c r="A195" s="193" t="s">
        <v>943</v>
      </c>
      <c r="B195" s="203" t="e">
        <f>+B194-B193</f>
        <v>#N/A</v>
      </c>
      <c r="D195" s="198" t="s">
        <v>944</v>
      </c>
      <c r="E195" s="199" t="e">
        <f>I187</f>
        <v>#N/A</v>
      </c>
      <c r="F195" s="157" t="e">
        <f t="shared" si="55"/>
        <v>#N/A</v>
      </c>
      <c r="H195" s="200" t="s">
        <v>520</v>
      </c>
      <c r="I195" s="201">
        <f t="shared" si="56"/>
        <v>1668000</v>
      </c>
      <c r="J195" s="202" t="s">
        <v>939</v>
      </c>
      <c r="K195" s="66">
        <f t="shared" si="57"/>
        <v>556000</v>
      </c>
      <c r="Q195" s="147"/>
      <c r="R195" s="147"/>
      <c r="S195" s="147"/>
      <c r="T195" s="147"/>
    </row>
    <row r="196" spans="1:20" ht="14.25" hidden="1" customHeight="1" x14ac:dyDescent="0.3">
      <c r="A196" s="193" t="s">
        <v>945</v>
      </c>
      <c r="B196" s="204" t="e">
        <f>IF(B194&gt;0,(B194-B193)/B194,0)</f>
        <v>#N/A</v>
      </c>
      <c r="D196" s="198" t="s">
        <v>946</v>
      </c>
      <c r="E196" s="199" t="e">
        <f>J187</f>
        <v>#N/A</v>
      </c>
      <c r="F196" s="157" t="e">
        <f t="shared" si="55"/>
        <v>#N/A</v>
      </c>
      <c r="I196" s="205" t="e">
        <f>SUM(I193:I195)</f>
        <v>#N/A</v>
      </c>
      <c r="K196" s="66" t="e">
        <f t="shared" si="57"/>
        <v>#N/A</v>
      </c>
      <c r="Q196" s="147"/>
      <c r="R196" s="147"/>
      <c r="S196" s="147"/>
      <c r="T196" s="147"/>
    </row>
    <row r="197" spans="1:20" ht="14.25" hidden="1" customHeight="1" x14ac:dyDescent="0.3">
      <c r="D197" s="206" t="s">
        <v>947</v>
      </c>
      <c r="E197" s="197" t="e">
        <f>+SUM(E193:E196)</f>
        <v>#N/A</v>
      </c>
      <c r="Q197" s="147"/>
      <c r="R197" s="147"/>
      <c r="S197" s="147"/>
      <c r="T197" s="147"/>
    </row>
    <row r="198" spans="1:20" ht="14.25" hidden="1" customHeight="1" x14ac:dyDescent="0.3">
      <c r="A198" s="2"/>
      <c r="B198" s="199"/>
      <c r="D198" s="206" t="s">
        <v>948</v>
      </c>
      <c r="E198" s="191" t="e">
        <f>+E197-E193</f>
        <v>#N/A</v>
      </c>
      <c r="Q198" s="147"/>
      <c r="R198" s="147"/>
      <c r="S198" s="147"/>
      <c r="T198" s="147"/>
    </row>
    <row r="199" spans="1:20" ht="14.25" hidden="1" customHeight="1" x14ac:dyDescent="0.3">
      <c r="D199" s="207" t="s">
        <v>949</v>
      </c>
      <c r="E199" s="147" t="e">
        <f>E197/3</f>
        <v>#N/A</v>
      </c>
      <c r="Q199" s="147"/>
      <c r="R199" s="147"/>
      <c r="S199" s="147"/>
      <c r="T199" s="147"/>
    </row>
    <row r="200" spans="1:20" ht="14.25" hidden="1" customHeight="1" x14ac:dyDescent="0.3">
      <c r="Q200" s="147"/>
      <c r="R200" s="147"/>
      <c r="S200" s="147"/>
      <c r="T200" s="147"/>
    </row>
    <row r="201" spans="1:20" ht="14.25" customHeight="1" x14ac:dyDescent="0.3">
      <c r="A201" s="2"/>
      <c r="Q201" s="147"/>
      <c r="R201" s="147"/>
      <c r="S201" s="147"/>
      <c r="T201" s="147"/>
    </row>
    <row r="202" spans="1:20" ht="14.25" customHeight="1" x14ac:dyDescent="0.3">
      <c r="A202" s="208"/>
      <c r="Q202" s="147"/>
      <c r="R202" s="147"/>
      <c r="S202" s="147"/>
      <c r="T202" s="147"/>
    </row>
    <row r="203" spans="1:20" ht="14.25" customHeight="1" x14ac:dyDescent="0.3">
      <c r="A203" s="208"/>
      <c r="Q203" s="147"/>
      <c r="R203" s="147"/>
      <c r="S203" s="147"/>
      <c r="T203" s="147"/>
    </row>
    <row r="204" spans="1:20" ht="14.25" customHeight="1" x14ac:dyDescent="0.3">
      <c r="A204" s="208"/>
      <c r="Q204" s="147"/>
      <c r="R204" s="147"/>
      <c r="S204" s="147"/>
      <c r="T204" s="147"/>
    </row>
    <row r="205" spans="1:20" ht="14.25" customHeight="1" x14ac:dyDescent="0.3">
      <c r="A205" s="208"/>
      <c r="Q205" s="147"/>
      <c r="R205" s="147"/>
      <c r="S205" s="147"/>
      <c r="T205" s="147"/>
    </row>
    <row r="206" spans="1:20" ht="14.25" customHeight="1" x14ac:dyDescent="0.3">
      <c r="A206" s="208"/>
      <c r="Q206" s="147"/>
      <c r="R206" s="147"/>
      <c r="S206" s="147"/>
      <c r="T206" s="147"/>
    </row>
    <row r="207" spans="1:20" ht="14.25" customHeight="1" x14ac:dyDescent="0.3">
      <c r="A207" s="208"/>
      <c r="Q207" s="147"/>
      <c r="R207" s="147"/>
      <c r="S207" s="147"/>
      <c r="T207" s="147"/>
    </row>
    <row r="208" spans="1:20" ht="14.25" customHeight="1" x14ac:dyDescent="0.3">
      <c r="Q208" s="147"/>
      <c r="R208" s="147"/>
      <c r="S208" s="147"/>
      <c r="T208" s="147"/>
    </row>
    <row r="209" spans="17:20" ht="14.25" customHeight="1" x14ac:dyDescent="0.3">
      <c r="Q209" s="147"/>
      <c r="R209" s="147"/>
      <c r="S209" s="147"/>
      <c r="T209" s="147"/>
    </row>
    <row r="210" spans="17:20" ht="14.25" customHeight="1" x14ac:dyDescent="0.3">
      <c r="Q210" s="147"/>
      <c r="R210" s="147"/>
      <c r="S210" s="147"/>
      <c r="T210" s="147"/>
    </row>
    <row r="211" spans="17:20" ht="14.25" customHeight="1" x14ac:dyDescent="0.3">
      <c r="Q211" s="147"/>
      <c r="R211" s="147"/>
      <c r="S211" s="147"/>
      <c r="T211" s="147"/>
    </row>
    <row r="212" spans="17:20" ht="14.25" customHeight="1" x14ac:dyDescent="0.3">
      <c r="Q212" s="147"/>
      <c r="R212" s="147"/>
      <c r="S212" s="147"/>
      <c r="T212" s="147"/>
    </row>
    <row r="213" spans="17:20" ht="14.25" customHeight="1" x14ac:dyDescent="0.3">
      <c r="Q213" s="147"/>
      <c r="R213" s="147"/>
      <c r="S213" s="147"/>
      <c r="T213" s="147"/>
    </row>
    <row r="214" spans="17:20" ht="14.25" customHeight="1" x14ac:dyDescent="0.3">
      <c r="Q214" s="147"/>
      <c r="R214" s="147"/>
      <c r="S214" s="147"/>
      <c r="T214" s="147"/>
    </row>
    <row r="215" spans="17:20" ht="14.25" customHeight="1" x14ac:dyDescent="0.3">
      <c r="Q215" s="147"/>
      <c r="R215" s="147"/>
      <c r="S215" s="147"/>
      <c r="T215" s="147"/>
    </row>
    <row r="216" spans="17:20" ht="14.25" customHeight="1" x14ac:dyDescent="0.3">
      <c r="Q216" s="147"/>
      <c r="R216" s="147"/>
      <c r="S216" s="147"/>
      <c r="T216" s="147"/>
    </row>
    <row r="217" spans="17:20" ht="14.25" customHeight="1" x14ac:dyDescent="0.3">
      <c r="Q217" s="147"/>
      <c r="R217" s="147"/>
      <c r="S217" s="147"/>
      <c r="T217" s="147"/>
    </row>
    <row r="218" spans="17:20" ht="14.25" customHeight="1" x14ac:dyDescent="0.3">
      <c r="Q218" s="147"/>
      <c r="R218" s="147"/>
      <c r="S218" s="147"/>
      <c r="T218" s="147"/>
    </row>
    <row r="219" spans="17:20" ht="14.25" customHeight="1" x14ac:dyDescent="0.3">
      <c r="Q219" s="147"/>
      <c r="R219" s="147"/>
      <c r="S219" s="147"/>
      <c r="T219" s="147"/>
    </row>
    <row r="220" spans="17:20" ht="14.25" customHeight="1" x14ac:dyDescent="0.3">
      <c r="Q220" s="147"/>
      <c r="R220" s="147"/>
      <c r="S220" s="147"/>
      <c r="T220" s="147"/>
    </row>
    <row r="221" spans="17:20" ht="14.25" customHeight="1" x14ac:dyDescent="0.3">
      <c r="Q221" s="147"/>
      <c r="R221" s="147"/>
      <c r="S221" s="147"/>
      <c r="T221" s="147"/>
    </row>
    <row r="222" spans="17:20" ht="14.25" customHeight="1" x14ac:dyDescent="0.3">
      <c r="Q222" s="147"/>
      <c r="R222" s="147"/>
      <c r="S222" s="147"/>
      <c r="T222" s="147"/>
    </row>
    <row r="223" spans="17:20" ht="14.25" customHeight="1" x14ac:dyDescent="0.3">
      <c r="Q223" s="147"/>
      <c r="R223" s="147"/>
      <c r="S223" s="147"/>
      <c r="T223" s="147"/>
    </row>
    <row r="224" spans="17:20" ht="14.25" customHeight="1" x14ac:dyDescent="0.3">
      <c r="Q224" s="147"/>
      <c r="R224" s="147"/>
      <c r="S224" s="147"/>
      <c r="T224" s="147"/>
    </row>
    <row r="225" spans="17:20" ht="14.25" customHeight="1" x14ac:dyDescent="0.3">
      <c r="Q225" s="147"/>
      <c r="R225" s="147"/>
      <c r="S225" s="147"/>
      <c r="T225" s="147"/>
    </row>
    <row r="226" spans="17:20" ht="14.25" customHeight="1" x14ac:dyDescent="0.3">
      <c r="Q226" s="147"/>
      <c r="R226" s="147"/>
      <c r="S226" s="147"/>
      <c r="T226" s="147"/>
    </row>
    <row r="227" spans="17:20" ht="14.25" customHeight="1" x14ac:dyDescent="0.3">
      <c r="Q227" s="147"/>
      <c r="R227" s="147"/>
      <c r="S227" s="147"/>
      <c r="T227" s="147"/>
    </row>
    <row r="228" spans="17:20" ht="14.25" customHeight="1" x14ac:dyDescent="0.3">
      <c r="Q228" s="147"/>
      <c r="R228" s="147"/>
      <c r="S228" s="147"/>
      <c r="T228" s="147"/>
    </row>
    <row r="229" spans="17:20" ht="14.25" customHeight="1" x14ac:dyDescent="0.3">
      <c r="Q229" s="147"/>
      <c r="R229" s="147"/>
      <c r="S229" s="147"/>
      <c r="T229" s="147"/>
    </row>
    <row r="230" spans="17:20" ht="14.25" customHeight="1" x14ac:dyDescent="0.3">
      <c r="Q230" s="147"/>
      <c r="R230" s="147"/>
      <c r="S230" s="147"/>
      <c r="T230" s="147"/>
    </row>
    <row r="231" spans="17:20" ht="14.25" customHeight="1" x14ac:dyDescent="0.3">
      <c r="Q231" s="147"/>
      <c r="R231" s="147"/>
      <c r="S231" s="147"/>
      <c r="T231" s="147"/>
    </row>
    <row r="232" spans="17:20" ht="14.25" customHeight="1" x14ac:dyDescent="0.3">
      <c r="Q232" s="147"/>
      <c r="R232" s="147"/>
      <c r="S232" s="147"/>
      <c r="T232" s="147"/>
    </row>
    <row r="233" spans="17:20" ht="14.25" customHeight="1" x14ac:dyDescent="0.3">
      <c r="Q233" s="147"/>
      <c r="R233" s="147"/>
      <c r="S233" s="147"/>
      <c r="T233" s="147"/>
    </row>
    <row r="234" spans="17:20" ht="14.25" customHeight="1" x14ac:dyDescent="0.3">
      <c r="Q234" s="147"/>
      <c r="R234" s="147"/>
      <c r="S234" s="147"/>
      <c r="T234" s="147"/>
    </row>
    <row r="235" spans="17:20" ht="14.25" customHeight="1" x14ac:dyDescent="0.3">
      <c r="Q235" s="147"/>
      <c r="R235" s="147"/>
      <c r="S235" s="147"/>
      <c r="T235" s="147"/>
    </row>
    <row r="236" spans="17:20" ht="14.25" customHeight="1" x14ac:dyDescent="0.3">
      <c r="Q236" s="147"/>
      <c r="R236" s="147"/>
      <c r="S236" s="147"/>
      <c r="T236" s="147"/>
    </row>
    <row r="237" spans="17:20" ht="14.25" customHeight="1" x14ac:dyDescent="0.3">
      <c r="Q237" s="147"/>
      <c r="R237" s="147"/>
      <c r="S237" s="147"/>
      <c r="T237" s="147"/>
    </row>
    <row r="238" spans="17:20" ht="14.25" customHeight="1" x14ac:dyDescent="0.3">
      <c r="Q238" s="147"/>
      <c r="R238" s="147"/>
      <c r="S238" s="147"/>
      <c r="T238" s="147"/>
    </row>
    <row r="239" spans="17:20" ht="14.25" customHeight="1" x14ac:dyDescent="0.3">
      <c r="Q239" s="147"/>
      <c r="R239" s="147"/>
      <c r="S239" s="147"/>
      <c r="T239" s="147"/>
    </row>
    <row r="240" spans="17:20" ht="14.25" customHeight="1" x14ac:dyDescent="0.3">
      <c r="Q240" s="147"/>
      <c r="R240" s="147"/>
      <c r="S240" s="147"/>
      <c r="T240" s="147"/>
    </row>
    <row r="241" spans="17:20" ht="14.25" customHeight="1" x14ac:dyDescent="0.3">
      <c r="Q241" s="147"/>
      <c r="R241" s="147"/>
      <c r="S241" s="147"/>
      <c r="T241" s="147"/>
    </row>
    <row r="242" spans="17:20" ht="14.25" customHeight="1" x14ac:dyDescent="0.3">
      <c r="Q242" s="147"/>
      <c r="R242" s="147"/>
      <c r="S242" s="147"/>
      <c r="T242" s="147"/>
    </row>
    <row r="243" spans="17:20" ht="14.25" customHeight="1" x14ac:dyDescent="0.3">
      <c r="Q243" s="147"/>
      <c r="R243" s="147"/>
      <c r="S243" s="147"/>
      <c r="T243" s="147"/>
    </row>
    <row r="244" spans="17:20" ht="14.25" customHeight="1" x14ac:dyDescent="0.3">
      <c r="Q244" s="147"/>
      <c r="R244" s="147"/>
      <c r="S244" s="147"/>
      <c r="T244" s="147"/>
    </row>
    <row r="245" spans="17:20" ht="14.25" customHeight="1" x14ac:dyDescent="0.3">
      <c r="Q245" s="147"/>
      <c r="R245" s="147"/>
      <c r="S245" s="147"/>
      <c r="T245" s="147"/>
    </row>
    <row r="246" spans="17:20" ht="14.25" customHeight="1" x14ac:dyDescent="0.3">
      <c r="Q246" s="147"/>
      <c r="R246" s="147"/>
      <c r="S246" s="147"/>
      <c r="T246" s="147"/>
    </row>
    <row r="247" spans="17:20" ht="14.25" customHeight="1" x14ac:dyDescent="0.3">
      <c r="Q247" s="147"/>
      <c r="R247" s="147"/>
      <c r="S247" s="147"/>
      <c r="T247" s="147"/>
    </row>
    <row r="248" spans="17:20" ht="14.25" customHeight="1" x14ac:dyDescent="0.3">
      <c r="Q248" s="147"/>
      <c r="R248" s="147"/>
      <c r="S248" s="147"/>
      <c r="T248" s="147"/>
    </row>
    <row r="249" spans="17:20" ht="14.25" customHeight="1" x14ac:dyDescent="0.3">
      <c r="Q249" s="147"/>
      <c r="R249" s="147"/>
      <c r="S249" s="147"/>
      <c r="T249" s="147"/>
    </row>
    <row r="250" spans="17:20" ht="14.25" customHeight="1" x14ac:dyDescent="0.3">
      <c r="Q250" s="147"/>
      <c r="R250" s="147"/>
      <c r="S250" s="147"/>
      <c r="T250" s="147"/>
    </row>
    <row r="251" spans="17:20" ht="14.25" customHeight="1" x14ac:dyDescent="0.3">
      <c r="Q251" s="147"/>
      <c r="R251" s="147"/>
      <c r="S251" s="147"/>
      <c r="T251" s="147"/>
    </row>
    <row r="252" spans="17:20" ht="14.25" customHeight="1" x14ac:dyDescent="0.3">
      <c r="Q252" s="147"/>
      <c r="R252" s="147"/>
      <c r="S252" s="147"/>
      <c r="T252" s="147"/>
    </row>
    <row r="253" spans="17:20" ht="14.25" customHeight="1" x14ac:dyDescent="0.3">
      <c r="Q253" s="147"/>
      <c r="R253" s="147"/>
      <c r="S253" s="147"/>
      <c r="T253" s="147"/>
    </row>
    <row r="254" spans="17:20" ht="14.25" customHeight="1" x14ac:dyDescent="0.3">
      <c r="Q254" s="147"/>
      <c r="R254" s="147"/>
      <c r="S254" s="147"/>
      <c r="T254" s="147"/>
    </row>
    <row r="255" spans="17:20" ht="14.25" customHeight="1" x14ac:dyDescent="0.3">
      <c r="Q255" s="147"/>
      <c r="R255" s="147"/>
      <c r="S255" s="147"/>
      <c r="T255" s="147"/>
    </row>
    <row r="256" spans="17:20" ht="14.25" customHeight="1" x14ac:dyDescent="0.3">
      <c r="Q256" s="147"/>
      <c r="R256" s="147"/>
      <c r="S256" s="147"/>
      <c r="T256" s="147"/>
    </row>
    <row r="257" spans="17:20" ht="14.25" customHeight="1" x14ac:dyDescent="0.3">
      <c r="Q257" s="147"/>
      <c r="R257" s="147"/>
      <c r="S257" s="147"/>
      <c r="T257" s="147"/>
    </row>
    <row r="258" spans="17:20" ht="14.25" customHeight="1" x14ac:dyDescent="0.3">
      <c r="Q258" s="147"/>
      <c r="R258" s="147"/>
      <c r="S258" s="147"/>
      <c r="T258" s="147"/>
    </row>
    <row r="259" spans="17:20" ht="14.25" customHeight="1" x14ac:dyDescent="0.3">
      <c r="Q259" s="147"/>
      <c r="R259" s="147"/>
      <c r="S259" s="147"/>
      <c r="T259" s="147"/>
    </row>
    <row r="260" spans="17:20" ht="14.25" customHeight="1" x14ac:dyDescent="0.3">
      <c r="Q260" s="147"/>
      <c r="R260" s="147"/>
      <c r="S260" s="147"/>
      <c r="T260" s="147"/>
    </row>
    <row r="261" spans="17:20" ht="14.25" customHeight="1" x14ac:dyDescent="0.3">
      <c r="Q261" s="147"/>
      <c r="R261" s="147"/>
      <c r="S261" s="147"/>
      <c r="T261" s="147"/>
    </row>
    <row r="262" spans="17:20" ht="14.25" customHeight="1" x14ac:dyDescent="0.3">
      <c r="Q262" s="147"/>
      <c r="R262" s="147"/>
      <c r="S262" s="147"/>
      <c r="T262" s="147"/>
    </row>
    <row r="263" spans="17:20" ht="14.25" customHeight="1" x14ac:dyDescent="0.3">
      <c r="Q263" s="147"/>
      <c r="R263" s="147"/>
      <c r="S263" s="147"/>
      <c r="T263" s="147"/>
    </row>
    <row r="264" spans="17:20" ht="14.25" customHeight="1" x14ac:dyDescent="0.3">
      <c r="Q264" s="147"/>
      <c r="R264" s="147"/>
      <c r="S264" s="147"/>
      <c r="T264" s="147"/>
    </row>
    <row r="265" spans="17:20" ht="14.25" customHeight="1" x14ac:dyDescent="0.3">
      <c r="Q265" s="147"/>
      <c r="R265" s="147"/>
      <c r="S265" s="147"/>
      <c r="T265" s="147"/>
    </row>
    <row r="266" spans="17:20" ht="14.25" customHeight="1" x14ac:dyDescent="0.3">
      <c r="Q266" s="147"/>
      <c r="R266" s="147"/>
      <c r="S266" s="147"/>
      <c r="T266" s="147"/>
    </row>
    <row r="267" spans="17:20" ht="14.25" customHeight="1" x14ac:dyDescent="0.3">
      <c r="Q267" s="147"/>
      <c r="R267" s="147"/>
      <c r="S267" s="147"/>
      <c r="T267" s="147"/>
    </row>
    <row r="268" spans="17:20" ht="14.25" customHeight="1" x14ac:dyDescent="0.3">
      <c r="Q268" s="147"/>
      <c r="R268" s="147"/>
      <c r="S268" s="147"/>
      <c r="T268" s="147"/>
    </row>
    <row r="269" spans="17:20" ht="14.25" customHeight="1" x14ac:dyDescent="0.3">
      <c r="Q269" s="147"/>
      <c r="R269" s="147"/>
      <c r="S269" s="147"/>
      <c r="T269" s="147"/>
    </row>
    <row r="270" spans="17:20" ht="14.25" customHeight="1" x14ac:dyDescent="0.3">
      <c r="Q270" s="147"/>
      <c r="R270" s="147"/>
      <c r="S270" s="147"/>
      <c r="T270" s="147"/>
    </row>
    <row r="271" spans="17:20" ht="14.25" customHeight="1" x14ac:dyDescent="0.3">
      <c r="Q271" s="147"/>
      <c r="R271" s="147"/>
      <c r="S271" s="147"/>
      <c r="T271" s="147"/>
    </row>
    <row r="272" spans="17:20" ht="14.25" customHeight="1" x14ac:dyDescent="0.3">
      <c r="Q272" s="147"/>
      <c r="R272" s="147"/>
      <c r="S272" s="147"/>
      <c r="T272" s="147"/>
    </row>
    <row r="273" spans="17:20" ht="14.25" customHeight="1" x14ac:dyDescent="0.3">
      <c r="Q273" s="147"/>
      <c r="R273" s="147"/>
      <c r="S273" s="147"/>
      <c r="T273" s="147"/>
    </row>
    <row r="274" spans="17:20" ht="14.25" customHeight="1" x14ac:dyDescent="0.3">
      <c r="Q274" s="147"/>
      <c r="R274" s="147"/>
      <c r="S274" s="147"/>
      <c r="T274" s="147"/>
    </row>
    <row r="275" spans="17:20" ht="14.25" customHeight="1" x14ac:dyDescent="0.3">
      <c r="Q275" s="147"/>
      <c r="R275" s="147"/>
      <c r="S275" s="147"/>
      <c r="T275" s="147"/>
    </row>
    <row r="276" spans="17:20" ht="14.25" customHeight="1" x14ac:dyDescent="0.3">
      <c r="Q276" s="147"/>
      <c r="R276" s="147"/>
      <c r="S276" s="147"/>
      <c r="T276" s="147"/>
    </row>
    <row r="277" spans="17:20" ht="14.25" customHeight="1" x14ac:dyDescent="0.3">
      <c r="Q277" s="147"/>
      <c r="R277" s="147"/>
      <c r="S277" s="147"/>
      <c r="T277" s="147"/>
    </row>
    <row r="278" spans="17:20" ht="14.25" customHeight="1" x14ac:dyDescent="0.3">
      <c r="Q278" s="147"/>
      <c r="R278" s="147"/>
      <c r="S278" s="147"/>
      <c r="T278" s="147"/>
    </row>
    <row r="279" spans="17:20" ht="14.25" customHeight="1" x14ac:dyDescent="0.3">
      <c r="Q279" s="147"/>
      <c r="R279" s="147"/>
      <c r="S279" s="147"/>
      <c r="T279" s="147"/>
    </row>
    <row r="280" spans="17:20" ht="14.25" customHeight="1" x14ac:dyDescent="0.3">
      <c r="Q280" s="147"/>
      <c r="R280" s="147"/>
      <c r="S280" s="147"/>
      <c r="T280" s="147"/>
    </row>
    <row r="281" spans="17:20" ht="14.25" customHeight="1" x14ac:dyDescent="0.3">
      <c r="Q281" s="147"/>
      <c r="R281" s="147"/>
      <c r="S281" s="147"/>
      <c r="T281" s="147"/>
    </row>
    <row r="282" spans="17:20" ht="14.25" customHeight="1" x14ac:dyDescent="0.3">
      <c r="Q282" s="147"/>
      <c r="R282" s="147"/>
      <c r="S282" s="147"/>
      <c r="T282" s="147"/>
    </row>
    <row r="283" spans="17:20" ht="14.25" customHeight="1" x14ac:dyDescent="0.3">
      <c r="Q283" s="147"/>
      <c r="R283" s="147"/>
      <c r="S283" s="147"/>
      <c r="T283" s="147"/>
    </row>
    <row r="284" spans="17:20" ht="14.25" customHeight="1" x14ac:dyDescent="0.3">
      <c r="Q284" s="147"/>
      <c r="R284" s="147"/>
      <c r="S284" s="147"/>
      <c r="T284" s="147"/>
    </row>
    <row r="285" spans="17:20" ht="14.25" customHeight="1" x14ac:dyDescent="0.3">
      <c r="Q285" s="147"/>
      <c r="R285" s="147"/>
      <c r="S285" s="147"/>
      <c r="T285" s="147"/>
    </row>
    <row r="286" spans="17:20" ht="14.25" customHeight="1" x14ac:dyDescent="0.3">
      <c r="Q286" s="147"/>
      <c r="R286" s="147"/>
      <c r="S286" s="147"/>
      <c r="T286" s="147"/>
    </row>
    <row r="287" spans="17:20" ht="14.25" customHeight="1" x14ac:dyDescent="0.3">
      <c r="Q287" s="147"/>
      <c r="R287" s="147"/>
      <c r="S287" s="147"/>
      <c r="T287" s="147"/>
    </row>
    <row r="288" spans="17:20" ht="14.25" customHeight="1" x14ac:dyDescent="0.3">
      <c r="Q288" s="147"/>
      <c r="R288" s="147"/>
      <c r="S288" s="147"/>
      <c r="T288" s="147"/>
    </row>
    <row r="289" spans="17:20" ht="14.25" customHeight="1" x14ac:dyDescent="0.3">
      <c r="Q289" s="147"/>
      <c r="R289" s="147"/>
      <c r="S289" s="147"/>
      <c r="T289" s="147"/>
    </row>
    <row r="290" spans="17:20" ht="14.25" customHeight="1" x14ac:dyDescent="0.3">
      <c r="Q290" s="147"/>
      <c r="R290" s="147"/>
      <c r="S290" s="147"/>
      <c r="T290" s="147"/>
    </row>
    <row r="291" spans="17:20" ht="14.25" customHeight="1" x14ac:dyDescent="0.3">
      <c r="Q291" s="147"/>
      <c r="R291" s="147"/>
      <c r="S291" s="147"/>
      <c r="T291" s="147"/>
    </row>
    <row r="292" spans="17:20" ht="14.25" customHeight="1" x14ac:dyDescent="0.3">
      <c r="Q292" s="147"/>
      <c r="R292" s="147"/>
      <c r="S292" s="147"/>
      <c r="T292" s="147"/>
    </row>
    <row r="293" spans="17:20" ht="14.25" customHeight="1" x14ac:dyDescent="0.3">
      <c r="Q293" s="147"/>
      <c r="R293" s="147"/>
      <c r="S293" s="147"/>
      <c r="T293" s="147"/>
    </row>
    <row r="294" spans="17:20" ht="14.25" customHeight="1" x14ac:dyDescent="0.3">
      <c r="Q294" s="147"/>
      <c r="R294" s="147"/>
      <c r="S294" s="147"/>
      <c r="T294" s="147"/>
    </row>
    <row r="295" spans="17:20" ht="14.25" customHeight="1" x14ac:dyDescent="0.3">
      <c r="Q295" s="147"/>
      <c r="R295" s="147"/>
      <c r="S295" s="147"/>
      <c r="T295" s="147"/>
    </row>
    <row r="296" spans="17:20" ht="14.25" customHeight="1" x14ac:dyDescent="0.3">
      <c r="Q296" s="147"/>
      <c r="R296" s="147"/>
      <c r="S296" s="147"/>
      <c r="T296" s="147"/>
    </row>
    <row r="297" spans="17:20" ht="14.25" customHeight="1" x14ac:dyDescent="0.3">
      <c r="Q297" s="147"/>
      <c r="R297" s="147"/>
      <c r="S297" s="147"/>
      <c r="T297" s="147"/>
    </row>
    <row r="298" spans="17:20" ht="14.25" customHeight="1" x14ac:dyDescent="0.3">
      <c r="Q298" s="147"/>
      <c r="R298" s="147"/>
      <c r="S298" s="147"/>
      <c r="T298" s="147"/>
    </row>
    <row r="299" spans="17:20" ht="14.25" customHeight="1" x14ac:dyDescent="0.3">
      <c r="Q299" s="147"/>
      <c r="R299" s="147"/>
      <c r="S299" s="147"/>
      <c r="T299" s="147"/>
    </row>
    <row r="300" spans="17:20" ht="14.25" customHeight="1" x14ac:dyDescent="0.3">
      <c r="Q300" s="147"/>
      <c r="R300" s="147"/>
      <c r="S300" s="147"/>
      <c r="T300" s="147"/>
    </row>
    <row r="301" spans="17:20" ht="14.25" customHeight="1" x14ac:dyDescent="0.3">
      <c r="Q301" s="147"/>
      <c r="R301" s="147"/>
      <c r="S301" s="147"/>
      <c r="T301" s="147"/>
    </row>
    <row r="302" spans="17:20" ht="14.25" customHeight="1" x14ac:dyDescent="0.3">
      <c r="Q302" s="147"/>
      <c r="R302" s="147"/>
      <c r="S302" s="147"/>
      <c r="T302" s="147"/>
    </row>
    <row r="303" spans="17:20" ht="14.25" customHeight="1" x14ac:dyDescent="0.3">
      <c r="Q303" s="147"/>
      <c r="R303" s="147"/>
      <c r="S303" s="147"/>
      <c r="T303" s="147"/>
    </row>
    <row r="304" spans="17:20" ht="14.25" customHeight="1" x14ac:dyDescent="0.3">
      <c r="Q304" s="147"/>
      <c r="R304" s="147"/>
      <c r="S304" s="147"/>
      <c r="T304" s="147"/>
    </row>
    <row r="305" spans="17:20" ht="14.25" customHeight="1" x14ac:dyDescent="0.3">
      <c r="Q305" s="147"/>
      <c r="R305" s="147"/>
      <c r="S305" s="147"/>
      <c r="T305" s="147"/>
    </row>
    <row r="306" spans="17:20" ht="14.25" customHeight="1" x14ac:dyDescent="0.3">
      <c r="Q306" s="147"/>
      <c r="R306" s="147"/>
      <c r="S306" s="147"/>
      <c r="T306" s="147"/>
    </row>
    <row r="307" spans="17:20" ht="14.25" customHeight="1" x14ac:dyDescent="0.3">
      <c r="Q307" s="147"/>
      <c r="R307" s="147"/>
      <c r="S307" s="147"/>
      <c r="T307" s="147"/>
    </row>
    <row r="308" spans="17:20" ht="14.25" customHeight="1" x14ac:dyDescent="0.3">
      <c r="Q308" s="147"/>
      <c r="R308" s="147"/>
      <c r="S308" s="147"/>
      <c r="T308" s="147"/>
    </row>
    <row r="309" spans="17:20" ht="14.25" customHeight="1" x14ac:dyDescent="0.3">
      <c r="Q309" s="147"/>
      <c r="R309" s="147"/>
      <c r="S309" s="147"/>
      <c r="T309" s="147"/>
    </row>
    <row r="310" spans="17:20" ht="14.25" customHeight="1" x14ac:dyDescent="0.3">
      <c r="Q310" s="147"/>
      <c r="R310" s="147"/>
      <c r="S310" s="147"/>
      <c r="T310" s="147"/>
    </row>
    <row r="311" spans="17:20" ht="14.25" customHeight="1" x14ac:dyDescent="0.3">
      <c r="Q311" s="147"/>
      <c r="R311" s="147"/>
      <c r="S311" s="147"/>
      <c r="T311" s="147"/>
    </row>
    <row r="312" spans="17:20" ht="14.25" customHeight="1" x14ac:dyDescent="0.3">
      <c r="Q312" s="147"/>
      <c r="R312" s="147"/>
      <c r="S312" s="147"/>
      <c r="T312" s="147"/>
    </row>
    <row r="313" spans="17:20" ht="14.25" customHeight="1" x14ac:dyDescent="0.3">
      <c r="Q313" s="147"/>
      <c r="R313" s="147"/>
      <c r="S313" s="147"/>
      <c r="T313" s="147"/>
    </row>
    <row r="314" spans="17:20" ht="14.25" customHeight="1" x14ac:dyDescent="0.3">
      <c r="Q314" s="147"/>
      <c r="R314" s="147"/>
      <c r="S314" s="147"/>
      <c r="T314" s="147"/>
    </row>
    <row r="315" spans="17:20" ht="14.25" customHeight="1" x14ac:dyDescent="0.3">
      <c r="Q315" s="147"/>
      <c r="R315" s="147"/>
      <c r="S315" s="147"/>
      <c r="T315" s="147"/>
    </row>
    <row r="316" spans="17:20" ht="14.25" customHeight="1" x14ac:dyDescent="0.3">
      <c r="Q316" s="147"/>
      <c r="R316" s="147"/>
      <c r="S316" s="147"/>
      <c r="T316" s="147"/>
    </row>
    <row r="317" spans="17:20" ht="14.25" customHeight="1" x14ac:dyDescent="0.3">
      <c r="Q317" s="147"/>
      <c r="R317" s="147"/>
      <c r="S317" s="147"/>
      <c r="T317" s="147"/>
    </row>
    <row r="318" spans="17:20" ht="14.25" customHeight="1" x14ac:dyDescent="0.3">
      <c r="Q318" s="147"/>
      <c r="R318" s="147"/>
      <c r="S318" s="147"/>
      <c r="T318" s="147"/>
    </row>
    <row r="319" spans="17:20" ht="14.25" customHeight="1" x14ac:dyDescent="0.3">
      <c r="Q319" s="147"/>
      <c r="R319" s="147"/>
      <c r="S319" s="147"/>
      <c r="T319" s="147"/>
    </row>
    <row r="320" spans="17:20" ht="14.25" customHeight="1" x14ac:dyDescent="0.3">
      <c r="Q320" s="147"/>
      <c r="R320" s="147"/>
      <c r="S320" s="147"/>
      <c r="T320" s="147"/>
    </row>
    <row r="321" spans="17:20" ht="14.25" customHeight="1" x14ac:dyDescent="0.3">
      <c r="Q321" s="147"/>
      <c r="R321" s="147"/>
      <c r="S321" s="147"/>
      <c r="T321" s="147"/>
    </row>
    <row r="322" spans="17:20" ht="14.25" customHeight="1" x14ac:dyDescent="0.3">
      <c r="Q322" s="147"/>
      <c r="R322" s="147"/>
      <c r="S322" s="147"/>
      <c r="T322" s="147"/>
    </row>
    <row r="323" spans="17:20" ht="14.25" customHeight="1" x14ac:dyDescent="0.3">
      <c r="Q323" s="147"/>
      <c r="R323" s="147"/>
      <c r="S323" s="147"/>
      <c r="T323" s="147"/>
    </row>
    <row r="324" spans="17:20" ht="14.25" customHeight="1" x14ac:dyDescent="0.3">
      <c r="Q324" s="147"/>
      <c r="R324" s="147"/>
      <c r="S324" s="147"/>
      <c r="T324" s="147"/>
    </row>
    <row r="325" spans="17:20" ht="14.25" customHeight="1" x14ac:dyDescent="0.3">
      <c r="Q325" s="147"/>
      <c r="R325" s="147"/>
      <c r="S325" s="147"/>
      <c r="T325" s="147"/>
    </row>
    <row r="326" spans="17:20" ht="14.25" customHeight="1" x14ac:dyDescent="0.3">
      <c r="Q326" s="147"/>
      <c r="R326" s="147"/>
      <c r="S326" s="147"/>
      <c r="T326" s="147"/>
    </row>
    <row r="327" spans="17:20" ht="14.25" customHeight="1" x14ac:dyDescent="0.3">
      <c r="Q327" s="147"/>
      <c r="R327" s="147"/>
      <c r="S327" s="147"/>
      <c r="T327" s="147"/>
    </row>
    <row r="328" spans="17:20" ht="14.25" customHeight="1" x14ac:dyDescent="0.3">
      <c r="Q328" s="147"/>
      <c r="R328" s="147"/>
      <c r="S328" s="147"/>
      <c r="T328" s="147"/>
    </row>
    <row r="329" spans="17:20" ht="14.25" customHeight="1" x14ac:dyDescent="0.3">
      <c r="Q329" s="147"/>
      <c r="R329" s="147"/>
      <c r="S329" s="147"/>
      <c r="T329" s="147"/>
    </row>
    <row r="330" spans="17:20" ht="14.25" customHeight="1" x14ac:dyDescent="0.3">
      <c r="Q330" s="147"/>
      <c r="R330" s="147"/>
      <c r="S330" s="147"/>
      <c r="T330" s="147"/>
    </row>
    <row r="331" spans="17:20" ht="14.25" customHeight="1" x14ac:dyDescent="0.3">
      <c r="Q331" s="147"/>
      <c r="R331" s="147"/>
      <c r="S331" s="147"/>
      <c r="T331" s="147"/>
    </row>
    <row r="332" spans="17:20" ht="14.25" customHeight="1" x14ac:dyDescent="0.3">
      <c r="Q332" s="147"/>
      <c r="R332" s="147"/>
      <c r="S332" s="147"/>
      <c r="T332" s="147"/>
    </row>
    <row r="333" spans="17:20" ht="14.25" customHeight="1" x14ac:dyDescent="0.3">
      <c r="Q333" s="147"/>
      <c r="R333" s="147"/>
      <c r="S333" s="147"/>
      <c r="T333" s="147"/>
    </row>
    <row r="334" spans="17:20" ht="14.25" customHeight="1" x14ac:dyDescent="0.3">
      <c r="Q334" s="147"/>
      <c r="R334" s="147"/>
      <c r="S334" s="147"/>
      <c r="T334" s="147"/>
    </row>
    <row r="335" spans="17:20" ht="14.25" customHeight="1" x14ac:dyDescent="0.3">
      <c r="Q335" s="147"/>
      <c r="R335" s="147"/>
      <c r="S335" s="147"/>
      <c r="T335" s="147"/>
    </row>
    <row r="336" spans="17:20" ht="14.25" customHeight="1" x14ac:dyDescent="0.3">
      <c r="Q336" s="147"/>
      <c r="R336" s="147"/>
      <c r="S336" s="147"/>
      <c r="T336" s="147"/>
    </row>
    <row r="337" spans="17:20" ht="14.25" customHeight="1" x14ac:dyDescent="0.3">
      <c r="Q337" s="147"/>
      <c r="R337" s="147"/>
      <c r="S337" s="147"/>
      <c r="T337" s="147"/>
    </row>
    <row r="338" spans="17:20" ht="14.25" customHeight="1" x14ac:dyDescent="0.3">
      <c r="Q338" s="147"/>
      <c r="R338" s="147"/>
      <c r="S338" s="147"/>
      <c r="T338" s="147"/>
    </row>
    <row r="339" spans="17:20" ht="14.25" customHeight="1" x14ac:dyDescent="0.3">
      <c r="Q339" s="147"/>
      <c r="R339" s="147"/>
      <c r="S339" s="147"/>
      <c r="T339" s="147"/>
    </row>
    <row r="340" spans="17:20" ht="14.25" customHeight="1" x14ac:dyDescent="0.3">
      <c r="Q340" s="147"/>
      <c r="R340" s="147"/>
      <c r="S340" s="147"/>
      <c r="T340" s="147"/>
    </row>
    <row r="341" spans="17:20" ht="14.25" customHeight="1" x14ac:dyDescent="0.3">
      <c r="Q341" s="147"/>
      <c r="R341" s="147"/>
      <c r="S341" s="147"/>
      <c r="T341" s="147"/>
    </row>
    <row r="342" spans="17:20" ht="14.25" customHeight="1" x14ac:dyDescent="0.3">
      <c r="Q342" s="147"/>
      <c r="R342" s="147"/>
      <c r="S342" s="147"/>
      <c r="T342" s="147"/>
    </row>
    <row r="343" spans="17:20" ht="14.25" customHeight="1" x14ac:dyDescent="0.3">
      <c r="Q343" s="147"/>
      <c r="R343" s="147"/>
      <c r="S343" s="147"/>
      <c r="T343" s="147"/>
    </row>
    <row r="344" spans="17:20" ht="14.25" customHeight="1" x14ac:dyDescent="0.3">
      <c r="Q344" s="147"/>
      <c r="R344" s="147"/>
      <c r="S344" s="147"/>
      <c r="T344" s="147"/>
    </row>
    <row r="345" spans="17:20" ht="14.25" customHeight="1" x14ac:dyDescent="0.3">
      <c r="Q345" s="147"/>
      <c r="R345" s="147"/>
      <c r="S345" s="147"/>
      <c r="T345" s="147"/>
    </row>
    <row r="346" spans="17:20" ht="14.25" customHeight="1" x14ac:dyDescent="0.3">
      <c r="Q346" s="147"/>
      <c r="R346" s="147"/>
      <c r="S346" s="147"/>
      <c r="T346" s="147"/>
    </row>
    <row r="347" spans="17:20" ht="14.25" customHeight="1" x14ac:dyDescent="0.3">
      <c r="Q347" s="147"/>
      <c r="R347" s="147"/>
      <c r="S347" s="147"/>
      <c r="T347" s="147"/>
    </row>
    <row r="348" spans="17:20" ht="14.25" customHeight="1" x14ac:dyDescent="0.3">
      <c r="Q348" s="147"/>
      <c r="R348" s="147"/>
      <c r="S348" s="147"/>
      <c r="T348" s="147"/>
    </row>
    <row r="349" spans="17:20" ht="14.25" customHeight="1" x14ac:dyDescent="0.3">
      <c r="Q349" s="147"/>
      <c r="R349" s="147"/>
      <c r="S349" s="147"/>
      <c r="T349" s="147"/>
    </row>
    <row r="350" spans="17:20" ht="14.25" customHeight="1" x14ac:dyDescent="0.3">
      <c r="Q350" s="147"/>
      <c r="R350" s="147"/>
      <c r="S350" s="147"/>
      <c r="T350" s="147"/>
    </row>
    <row r="351" spans="17:20" ht="14.25" customHeight="1" x14ac:dyDescent="0.3">
      <c r="Q351" s="147"/>
      <c r="R351" s="147"/>
      <c r="S351" s="147"/>
      <c r="T351" s="147"/>
    </row>
    <row r="352" spans="17:20" ht="14.25" customHeight="1" x14ac:dyDescent="0.3">
      <c r="Q352" s="147"/>
      <c r="R352" s="147"/>
      <c r="S352" s="147"/>
      <c r="T352" s="147"/>
    </row>
    <row r="353" spans="17:20" ht="14.25" customHeight="1" x14ac:dyDescent="0.3">
      <c r="Q353" s="147"/>
      <c r="R353" s="147"/>
      <c r="S353" s="147"/>
      <c r="T353" s="147"/>
    </row>
    <row r="354" spans="17:20" ht="14.25" customHeight="1" x14ac:dyDescent="0.3">
      <c r="Q354" s="147"/>
      <c r="R354" s="147"/>
      <c r="S354" s="147"/>
      <c r="T354" s="147"/>
    </row>
    <row r="355" spans="17:20" ht="14.25" customHeight="1" x14ac:dyDescent="0.3">
      <c r="Q355" s="147"/>
      <c r="R355" s="147"/>
      <c r="S355" s="147"/>
      <c r="T355" s="147"/>
    </row>
    <row r="356" spans="17:20" ht="14.25" customHeight="1" x14ac:dyDescent="0.3">
      <c r="Q356" s="147"/>
      <c r="R356" s="147"/>
      <c r="S356" s="147"/>
      <c r="T356" s="147"/>
    </row>
    <row r="357" spans="17:20" ht="14.25" customHeight="1" x14ac:dyDescent="0.3">
      <c r="Q357" s="147"/>
      <c r="R357" s="147"/>
      <c r="S357" s="147"/>
      <c r="T357" s="147"/>
    </row>
    <row r="358" spans="17:20" ht="14.25" customHeight="1" x14ac:dyDescent="0.3">
      <c r="Q358" s="147"/>
      <c r="R358" s="147"/>
      <c r="S358" s="147"/>
      <c r="T358" s="147"/>
    </row>
    <row r="359" spans="17:20" ht="14.25" customHeight="1" x14ac:dyDescent="0.3">
      <c r="Q359" s="147"/>
      <c r="R359" s="147"/>
      <c r="S359" s="147"/>
      <c r="T359" s="147"/>
    </row>
    <row r="360" spans="17:20" ht="14.25" customHeight="1" x14ac:dyDescent="0.3">
      <c r="Q360" s="147"/>
      <c r="R360" s="147"/>
      <c r="S360" s="147"/>
      <c r="T360" s="147"/>
    </row>
    <row r="361" spans="17:20" ht="14.25" customHeight="1" x14ac:dyDescent="0.3">
      <c r="Q361" s="147"/>
      <c r="R361" s="147"/>
      <c r="S361" s="147"/>
      <c r="T361" s="147"/>
    </row>
    <row r="362" spans="17:20" ht="14.25" customHeight="1" x14ac:dyDescent="0.3">
      <c r="Q362" s="147"/>
      <c r="R362" s="147"/>
      <c r="S362" s="147"/>
      <c r="T362" s="147"/>
    </row>
    <row r="363" spans="17:20" ht="14.25" customHeight="1" x14ac:dyDescent="0.3">
      <c r="Q363" s="147"/>
      <c r="R363" s="147"/>
      <c r="S363" s="147"/>
      <c r="T363" s="147"/>
    </row>
    <row r="364" spans="17:20" ht="14.25" customHeight="1" x14ac:dyDescent="0.3">
      <c r="Q364" s="147"/>
      <c r="R364" s="147"/>
      <c r="S364" s="147"/>
      <c r="T364" s="147"/>
    </row>
    <row r="365" spans="17:20" ht="14.25" customHeight="1" x14ac:dyDescent="0.3">
      <c r="Q365" s="147"/>
      <c r="R365" s="147"/>
      <c r="S365" s="147"/>
      <c r="T365" s="147"/>
    </row>
    <row r="366" spans="17:20" ht="14.25" customHeight="1" x14ac:dyDescent="0.3">
      <c r="Q366" s="147"/>
      <c r="R366" s="147"/>
      <c r="S366" s="147"/>
      <c r="T366" s="147"/>
    </row>
    <row r="367" spans="17:20" ht="14.25" customHeight="1" x14ac:dyDescent="0.3">
      <c r="Q367" s="147"/>
      <c r="R367" s="147"/>
      <c r="S367" s="147"/>
      <c r="T367" s="147"/>
    </row>
    <row r="368" spans="17:20" ht="14.25" customHeight="1" x14ac:dyDescent="0.3">
      <c r="Q368" s="147"/>
      <c r="R368" s="147"/>
      <c r="S368" s="147"/>
      <c r="T368" s="147"/>
    </row>
    <row r="369" spans="17:20" ht="14.25" customHeight="1" x14ac:dyDescent="0.3">
      <c r="Q369" s="147"/>
      <c r="R369" s="147"/>
      <c r="S369" s="147"/>
      <c r="T369" s="147"/>
    </row>
    <row r="370" spans="17:20" ht="14.25" customHeight="1" x14ac:dyDescent="0.3">
      <c r="Q370" s="147"/>
      <c r="R370" s="147"/>
      <c r="S370" s="147"/>
      <c r="T370" s="147"/>
    </row>
    <row r="371" spans="17:20" ht="14.25" customHeight="1" x14ac:dyDescent="0.3">
      <c r="Q371" s="147"/>
      <c r="R371" s="147"/>
      <c r="S371" s="147"/>
      <c r="T371" s="147"/>
    </row>
    <row r="372" spans="17:20" ht="14.25" customHeight="1" x14ac:dyDescent="0.3">
      <c r="Q372" s="147"/>
      <c r="R372" s="147"/>
      <c r="S372" s="147"/>
      <c r="T372" s="147"/>
    </row>
    <row r="373" spans="17:20" ht="14.25" customHeight="1" x14ac:dyDescent="0.3">
      <c r="Q373" s="147"/>
      <c r="R373" s="147"/>
      <c r="S373" s="147"/>
      <c r="T373" s="147"/>
    </row>
    <row r="374" spans="17:20" ht="14.25" customHeight="1" x14ac:dyDescent="0.3">
      <c r="Q374" s="147"/>
      <c r="R374" s="147"/>
      <c r="S374" s="147"/>
      <c r="T374" s="147"/>
    </row>
    <row r="375" spans="17:20" ht="14.25" customHeight="1" x14ac:dyDescent="0.3">
      <c r="Q375" s="147"/>
      <c r="R375" s="147"/>
      <c r="S375" s="147"/>
      <c r="T375" s="147"/>
    </row>
    <row r="376" spans="17:20" ht="14.25" customHeight="1" x14ac:dyDescent="0.3">
      <c r="Q376" s="147"/>
      <c r="R376" s="147"/>
      <c r="S376" s="147"/>
      <c r="T376" s="147"/>
    </row>
    <row r="377" spans="17:20" ht="14.25" customHeight="1" x14ac:dyDescent="0.3">
      <c r="Q377" s="147"/>
      <c r="R377" s="147"/>
      <c r="S377" s="147"/>
      <c r="T377" s="147"/>
    </row>
    <row r="378" spans="17:20" ht="14.25" customHeight="1" x14ac:dyDescent="0.3">
      <c r="Q378" s="147"/>
      <c r="R378" s="147"/>
      <c r="S378" s="147"/>
      <c r="T378" s="147"/>
    </row>
    <row r="379" spans="17:20" ht="14.25" customHeight="1" x14ac:dyDescent="0.3">
      <c r="Q379" s="147"/>
      <c r="R379" s="147"/>
      <c r="S379" s="147"/>
      <c r="T379" s="147"/>
    </row>
    <row r="380" spans="17:20" ht="14.25" customHeight="1" x14ac:dyDescent="0.3">
      <c r="Q380" s="147"/>
      <c r="R380" s="147"/>
      <c r="S380" s="147"/>
      <c r="T380" s="147"/>
    </row>
    <row r="381" spans="17:20" ht="14.25" customHeight="1" x14ac:dyDescent="0.3">
      <c r="Q381" s="147"/>
      <c r="R381" s="147"/>
      <c r="S381" s="147"/>
      <c r="T381" s="147"/>
    </row>
    <row r="382" spans="17:20" ht="14.25" customHeight="1" x14ac:dyDescent="0.3">
      <c r="Q382" s="147"/>
      <c r="R382" s="147"/>
      <c r="S382" s="147"/>
      <c r="T382" s="147"/>
    </row>
    <row r="383" spans="17:20" ht="14.25" customHeight="1" x14ac:dyDescent="0.3">
      <c r="Q383" s="147"/>
      <c r="R383" s="147"/>
      <c r="S383" s="147"/>
      <c r="T383" s="147"/>
    </row>
    <row r="384" spans="17:20" ht="14.25" customHeight="1" x14ac:dyDescent="0.3">
      <c r="Q384" s="147"/>
      <c r="R384" s="147"/>
      <c r="S384" s="147"/>
      <c r="T384" s="147"/>
    </row>
    <row r="385" spans="17:20" ht="14.25" customHeight="1" x14ac:dyDescent="0.3">
      <c r="Q385" s="147"/>
      <c r="R385" s="147"/>
      <c r="S385" s="147"/>
      <c r="T385" s="147"/>
    </row>
    <row r="386" spans="17:20" ht="14.25" customHeight="1" x14ac:dyDescent="0.3">
      <c r="Q386" s="147"/>
      <c r="R386" s="147"/>
      <c r="S386" s="147"/>
      <c r="T386" s="147"/>
    </row>
    <row r="387" spans="17:20" ht="14.25" customHeight="1" x14ac:dyDescent="0.3">
      <c r="Q387" s="147"/>
      <c r="R387" s="147"/>
      <c r="S387" s="147"/>
      <c r="T387" s="147"/>
    </row>
    <row r="388" spans="17:20" ht="14.25" customHeight="1" x14ac:dyDescent="0.3">
      <c r="Q388" s="147"/>
      <c r="R388" s="147"/>
      <c r="S388" s="147"/>
      <c r="T388" s="147"/>
    </row>
    <row r="389" spans="17:20" ht="14.25" customHeight="1" x14ac:dyDescent="0.3">
      <c r="Q389" s="147"/>
      <c r="R389" s="147"/>
      <c r="S389" s="147"/>
      <c r="T389" s="147"/>
    </row>
    <row r="390" spans="17:20" ht="14.25" customHeight="1" x14ac:dyDescent="0.3">
      <c r="Q390" s="147"/>
      <c r="R390" s="147"/>
      <c r="S390" s="147"/>
      <c r="T390" s="147"/>
    </row>
    <row r="391" spans="17:20" ht="14.25" customHeight="1" x14ac:dyDescent="0.3">
      <c r="Q391" s="147"/>
      <c r="R391" s="147"/>
      <c r="S391" s="147"/>
      <c r="T391" s="147"/>
    </row>
    <row r="392" spans="17:20" ht="14.25" customHeight="1" x14ac:dyDescent="0.3">
      <c r="Q392" s="147"/>
      <c r="R392" s="147"/>
      <c r="S392" s="147"/>
      <c r="T392" s="147"/>
    </row>
    <row r="393" spans="17:20" ht="14.25" customHeight="1" x14ac:dyDescent="0.3">
      <c r="Q393" s="147"/>
      <c r="R393" s="147"/>
      <c r="S393" s="147"/>
      <c r="T393" s="147"/>
    </row>
    <row r="394" spans="17:20" ht="14.25" customHeight="1" x14ac:dyDescent="0.3">
      <c r="Q394" s="147"/>
      <c r="R394" s="147"/>
      <c r="S394" s="147"/>
      <c r="T394" s="147"/>
    </row>
    <row r="395" spans="17:20" ht="14.25" customHeight="1" x14ac:dyDescent="0.3">
      <c r="Q395" s="147"/>
      <c r="R395" s="147"/>
      <c r="S395" s="147"/>
      <c r="T395" s="147"/>
    </row>
    <row r="396" spans="17:20" ht="14.25" customHeight="1" x14ac:dyDescent="0.3">
      <c r="Q396" s="147"/>
      <c r="R396" s="147"/>
      <c r="S396" s="147"/>
      <c r="T396" s="147"/>
    </row>
    <row r="397" spans="17:20" ht="14.25" customHeight="1" x14ac:dyDescent="0.3">
      <c r="Q397" s="147"/>
      <c r="R397" s="147"/>
      <c r="S397" s="147"/>
      <c r="T397" s="147"/>
    </row>
    <row r="398" spans="17:20" ht="14.25" customHeight="1" x14ac:dyDescent="0.3">
      <c r="Q398" s="147"/>
      <c r="R398" s="147"/>
      <c r="S398" s="147"/>
      <c r="T398" s="147"/>
    </row>
    <row r="399" spans="17:20" ht="14.25" customHeight="1" x14ac:dyDescent="0.3">
      <c r="Q399" s="147"/>
      <c r="R399" s="147"/>
      <c r="S399" s="147"/>
      <c r="T399" s="147"/>
    </row>
    <row r="400" spans="17:20" ht="14.25" customHeight="1" x14ac:dyDescent="0.3">
      <c r="Q400" s="147"/>
      <c r="R400" s="147"/>
      <c r="S400" s="147"/>
      <c r="T400" s="147"/>
    </row>
    <row r="401" spans="17:20" ht="14.25" customHeight="1" x14ac:dyDescent="0.3">
      <c r="Q401" s="147"/>
      <c r="R401" s="147"/>
      <c r="S401" s="147"/>
      <c r="T401" s="147"/>
    </row>
    <row r="402" spans="17:20" ht="14.25" customHeight="1" x14ac:dyDescent="0.3">
      <c r="Q402" s="147"/>
      <c r="R402" s="147"/>
      <c r="S402" s="147"/>
      <c r="T402" s="147"/>
    </row>
    <row r="403" spans="17:20" ht="14.25" customHeight="1" x14ac:dyDescent="0.3">
      <c r="Q403" s="147"/>
      <c r="R403" s="147"/>
      <c r="S403" s="147"/>
      <c r="T403" s="147"/>
    </row>
    <row r="404" spans="17:20" ht="14.25" customHeight="1" x14ac:dyDescent="0.3">
      <c r="Q404" s="147"/>
      <c r="R404" s="147"/>
      <c r="S404" s="147"/>
      <c r="T404" s="147"/>
    </row>
    <row r="405" spans="17:20" ht="14.25" customHeight="1" x14ac:dyDescent="0.3">
      <c r="Q405" s="147"/>
      <c r="R405" s="147"/>
      <c r="S405" s="147"/>
      <c r="T405" s="147"/>
    </row>
    <row r="406" spans="17:20" ht="14.25" customHeight="1" x14ac:dyDescent="0.3">
      <c r="Q406" s="147"/>
      <c r="R406" s="147"/>
      <c r="S406" s="147"/>
      <c r="T406" s="147"/>
    </row>
    <row r="407" spans="17:20" ht="14.25" customHeight="1" x14ac:dyDescent="0.3">
      <c r="Q407" s="147"/>
      <c r="R407" s="147"/>
      <c r="S407" s="147"/>
      <c r="T407" s="147"/>
    </row>
    <row r="408" spans="17:20" ht="14.25" customHeight="1" x14ac:dyDescent="0.3">
      <c r="Q408" s="147"/>
      <c r="R408" s="147"/>
      <c r="S408" s="147"/>
      <c r="T408" s="147"/>
    </row>
    <row r="409" spans="17:20" ht="14.25" customHeight="1" x14ac:dyDescent="0.3">
      <c r="Q409" s="147"/>
      <c r="R409" s="147"/>
      <c r="S409" s="147"/>
      <c r="T409" s="147"/>
    </row>
    <row r="410" spans="17:20" ht="14.25" customHeight="1" x14ac:dyDescent="0.3">
      <c r="Q410" s="147"/>
      <c r="R410" s="147"/>
      <c r="S410" s="147"/>
      <c r="T410" s="147"/>
    </row>
    <row r="411" spans="17:20" ht="14.25" customHeight="1" x14ac:dyDescent="0.3">
      <c r="Q411" s="147"/>
      <c r="R411" s="147"/>
      <c r="S411" s="147"/>
      <c r="T411" s="147"/>
    </row>
    <row r="412" spans="17:20" ht="14.25" customHeight="1" x14ac:dyDescent="0.3">
      <c r="Q412" s="147"/>
      <c r="R412" s="147"/>
      <c r="S412" s="147"/>
      <c r="T412" s="147"/>
    </row>
    <row r="413" spans="17:20" ht="14.25" customHeight="1" x14ac:dyDescent="0.3">
      <c r="Q413" s="147"/>
      <c r="R413" s="147"/>
      <c r="S413" s="147"/>
      <c r="T413" s="147"/>
    </row>
    <row r="414" spans="17:20" ht="14.25" customHeight="1" x14ac:dyDescent="0.3">
      <c r="Q414" s="147"/>
      <c r="R414" s="147"/>
      <c r="S414" s="147"/>
      <c r="T414" s="147"/>
    </row>
    <row r="415" spans="17:20" ht="14.25" customHeight="1" x14ac:dyDescent="0.3">
      <c r="Q415" s="147"/>
      <c r="R415" s="147"/>
      <c r="S415" s="147"/>
      <c r="T415" s="147"/>
    </row>
    <row r="416" spans="17:20" ht="14.25" customHeight="1" x14ac:dyDescent="0.3">
      <c r="Q416" s="147"/>
      <c r="R416" s="147"/>
      <c r="S416" s="147"/>
      <c r="T416" s="147"/>
    </row>
    <row r="417" spans="17:20" ht="14.25" customHeight="1" x14ac:dyDescent="0.3">
      <c r="Q417" s="147"/>
      <c r="R417" s="147"/>
      <c r="S417" s="147"/>
      <c r="T417" s="147"/>
    </row>
    <row r="418" spans="17:20" ht="14.25" customHeight="1" x14ac:dyDescent="0.3">
      <c r="Q418" s="147"/>
      <c r="R418" s="147"/>
      <c r="S418" s="147"/>
      <c r="T418" s="147"/>
    </row>
    <row r="419" spans="17:20" ht="14.25" customHeight="1" x14ac:dyDescent="0.3">
      <c r="Q419" s="147"/>
      <c r="R419" s="147"/>
      <c r="S419" s="147"/>
      <c r="T419" s="147"/>
    </row>
    <row r="420" spans="17:20" ht="14.25" customHeight="1" x14ac:dyDescent="0.3">
      <c r="Q420" s="147"/>
      <c r="R420" s="147"/>
      <c r="S420" s="147"/>
      <c r="T420" s="147"/>
    </row>
    <row r="421" spans="17:20" ht="14.25" customHeight="1" x14ac:dyDescent="0.3">
      <c r="Q421" s="147"/>
      <c r="R421" s="147"/>
      <c r="S421" s="147"/>
      <c r="T421" s="147"/>
    </row>
    <row r="422" spans="17:20" ht="14.25" customHeight="1" x14ac:dyDescent="0.3">
      <c r="Q422" s="147"/>
      <c r="R422" s="147"/>
      <c r="S422" s="147"/>
      <c r="T422" s="147"/>
    </row>
    <row r="423" spans="17:20" ht="14.25" customHeight="1" x14ac:dyDescent="0.3">
      <c r="Q423" s="147"/>
      <c r="R423" s="147"/>
      <c r="S423" s="147"/>
      <c r="T423" s="147"/>
    </row>
    <row r="424" spans="17:20" ht="14.25" customHeight="1" x14ac:dyDescent="0.3">
      <c r="Q424" s="147"/>
      <c r="R424" s="147"/>
      <c r="S424" s="147"/>
      <c r="T424" s="147"/>
    </row>
    <row r="425" spans="17:20" ht="14.25" customHeight="1" x14ac:dyDescent="0.3">
      <c r="Q425" s="147"/>
      <c r="R425" s="147"/>
      <c r="S425" s="147"/>
      <c r="T425" s="147"/>
    </row>
    <row r="426" spans="17:20" ht="14.25" customHeight="1" x14ac:dyDescent="0.3">
      <c r="Q426" s="147"/>
      <c r="R426" s="147"/>
      <c r="S426" s="147"/>
      <c r="T426" s="147"/>
    </row>
    <row r="427" spans="17:20" ht="14.25" customHeight="1" x14ac:dyDescent="0.3">
      <c r="Q427" s="147"/>
      <c r="R427" s="147"/>
      <c r="S427" s="147"/>
      <c r="T427" s="147"/>
    </row>
    <row r="428" spans="17:20" ht="14.25" customHeight="1" x14ac:dyDescent="0.3">
      <c r="Q428" s="147"/>
      <c r="R428" s="147"/>
      <c r="S428" s="147"/>
      <c r="T428" s="147"/>
    </row>
    <row r="429" spans="17:20" ht="14.25" customHeight="1" x14ac:dyDescent="0.3">
      <c r="Q429" s="147"/>
      <c r="R429" s="147"/>
      <c r="S429" s="147"/>
      <c r="T429" s="147"/>
    </row>
    <row r="430" spans="17:20" ht="14.25" customHeight="1" x14ac:dyDescent="0.3">
      <c r="Q430" s="147"/>
      <c r="R430" s="147"/>
      <c r="S430" s="147"/>
      <c r="T430" s="147"/>
    </row>
    <row r="431" spans="17:20" ht="14.25" customHeight="1" x14ac:dyDescent="0.3">
      <c r="Q431" s="147"/>
      <c r="R431" s="147"/>
      <c r="S431" s="147"/>
      <c r="T431" s="147"/>
    </row>
    <row r="432" spans="17:20" ht="14.25" customHeight="1" x14ac:dyDescent="0.3">
      <c r="Q432" s="147"/>
      <c r="R432" s="147"/>
      <c r="S432" s="147"/>
      <c r="T432" s="147"/>
    </row>
    <row r="433" spans="17:20" ht="14.25" customHeight="1" x14ac:dyDescent="0.3">
      <c r="Q433" s="147"/>
      <c r="R433" s="147"/>
      <c r="S433" s="147"/>
      <c r="T433" s="147"/>
    </row>
    <row r="434" spans="17:20" ht="14.25" customHeight="1" x14ac:dyDescent="0.3">
      <c r="Q434" s="147"/>
      <c r="R434" s="147"/>
      <c r="S434" s="147"/>
      <c r="T434" s="147"/>
    </row>
    <row r="435" spans="17:20" ht="14.25" customHeight="1" x14ac:dyDescent="0.3">
      <c r="Q435" s="147"/>
      <c r="R435" s="147"/>
      <c r="S435" s="147"/>
      <c r="T435" s="147"/>
    </row>
    <row r="436" spans="17:20" ht="14.25" customHeight="1" x14ac:dyDescent="0.3">
      <c r="Q436" s="147"/>
      <c r="R436" s="147"/>
      <c r="S436" s="147"/>
      <c r="T436" s="147"/>
    </row>
    <row r="437" spans="17:20" ht="14.25" customHeight="1" x14ac:dyDescent="0.3">
      <c r="Q437" s="147"/>
      <c r="R437" s="147"/>
      <c r="S437" s="147"/>
      <c r="T437" s="147"/>
    </row>
    <row r="438" spans="17:20" ht="14.25" customHeight="1" x14ac:dyDescent="0.3">
      <c r="Q438" s="147"/>
      <c r="R438" s="147"/>
      <c r="S438" s="147"/>
      <c r="T438" s="147"/>
    </row>
    <row r="439" spans="17:20" ht="14.25" customHeight="1" x14ac:dyDescent="0.3">
      <c r="Q439" s="147"/>
      <c r="R439" s="147"/>
      <c r="S439" s="147"/>
      <c r="T439" s="147"/>
    </row>
    <row r="440" spans="17:20" ht="14.25" customHeight="1" x14ac:dyDescent="0.3">
      <c r="Q440" s="147"/>
      <c r="R440" s="147"/>
      <c r="S440" s="147"/>
      <c r="T440" s="147"/>
    </row>
    <row r="441" spans="17:20" ht="14.25" customHeight="1" x14ac:dyDescent="0.3">
      <c r="Q441" s="147"/>
      <c r="R441" s="147"/>
      <c r="S441" s="147"/>
      <c r="T441" s="147"/>
    </row>
    <row r="442" spans="17:20" ht="14.25" customHeight="1" x14ac:dyDescent="0.3">
      <c r="Q442" s="147"/>
      <c r="R442" s="147"/>
      <c r="S442" s="147"/>
      <c r="T442" s="147"/>
    </row>
    <row r="443" spans="17:20" ht="14.25" customHeight="1" x14ac:dyDescent="0.3">
      <c r="Q443" s="147"/>
      <c r="R443" s="147"/>
      <c r="S443" s="147"/>
      <c r="T443" s="147"/>
    </row>
    <row r="444" spans="17:20" ht="14.25" customHeight="1" x14ac:dyDescent="0.3">
      <c r="Q444" s="147"/>
      <c r="R444" s="147"/>
      <c r="S444" s="147"/>
      <c r="T444" s="147"/>
    </row>
    <row r="445" spans="17:20" ht="14.25" customHeight="1" x14ac:dyDescent="0.3">
      <c r="Q445" s="147"/>
      <c r="R445" s="147"/>
      <c r="S445" s="147"/>
      <c r="T445" s="147"/>
    </row>
    <row r="446" spans="17:20" ht="14.25" customHeight="1" x14ac:dyDescent="0.3">
      <c r="Q446" s="147"/>
      <c r="R446" s="147"/>
      <c r="S446" s="147"/>
      <c r="T446" s="147"/>
    </row>
    <row r="447" spans="17:20" ht="14.25" customHeight="1" x14ac:dyDescent="0.3">
      <c r="Q447" s="147"/>
      <c r="R447" s="147"/>
      <c r="S447" s="147"/>
      <c r="T447" s="147"/>
    </row>
    <row r="448" spans="17:20" ht="14.25" customHeight="1" x14ac:dyDescent="0.3">
      <c r="Q448" s="147"/>
      <c r="R448" s="147"/>
      <c r="S448" s="147"/>
      <c r="T448" s="147"/>
    </row>
    <row r="449" spans="17:20" ht="14.25" customHeight="1" x14ac:dyDescent="0.3">
      <c r="Q449" s="147"/>
      <c r="R449" s="147"/>
      <c r="S449" s="147"/>
      <c r="T449" s="147"/>
    </row>
    <row r="450" spans="17:20" ht="14.25" customHeight="1" x14ac:dyDescent="0.3">
      <c r="Q450" s="147"/>
      <c r="R450" s="147"/>
      <c r="S450" s="147"/>
      <c r="T450" s="147"/>
    </row>
    <row r="451" spans="17:20" ht="14.25" customHeight="1" x14ac:dyDescent="0.3">
      <c r="Q451" s="147"/>
      <c r="R451" s="147"/>
      <c r="S451" s="147"/>
      <c r="T451" s="147"/>
    </row>
    <row r="452" spans="17:20" ht="14.25" customHeight="1" x14ac:dyDescent="0.3">
      <c r="Q452" s="147"/>
      <c r="R452" s="147"/>
      <c r="S452" s="147"/>
      <c r="T452" s="147"/>
    </row>
    <row r="453" spans="17:20" ht="14.25" customHeight="1" x14ac:dyDescent="0.3">
      <c r="Q453" s="147"/>
      <c r="R453" s="147"/>
      <c r="S453" s="147"/>
      <c r="T453" s="147"/>
    </row>
    <row r="454" spans="17:20" ht="14.25" customHeight="1" x14ac:dyDescent="0.3">
      <c r="Q454" s="147"/>
      <c r="R454" s="147"/>
      <c r="S454" s="147"/>
      <c r="T454" s="147"/>
    </row>
    <row r="455" spans="17:20" ht="14.25" customHeight="1" x14ac:dyDescent="0.3">
      <c r="Q455" s="147"/>
      <c r="R455" s="147"/>
      <c r="S455" s="147"/>
      <c r="T455" s="147"/>
    </row>
    <row r="456" spans="17:20" ht="14.25" customHeight="1" x14ac:dyDescent="0.3">
      <c r="Q456" s="147"/>
      <c r="R456" s="147"/>
      <c r="S456" s="147"/>
      <c r="T456" s="147"/>
    </row>
    <row r="457" spans="17:20" ht="14.25" customHeight="1" x14ac:dyDescent="0.3">
      <c r="Q457" s="147"/>
      <c r="R457" s="147"/>
      <c r="S457" s="147"/>
      <c r="T457" s="147"/>
    </row>
    <row r="458" spans="17:20" ht="14.25" customHeight="1" x14ac:dyDescent="0.3">
      <c r="Q458" s="147"/>
      <c r="R458" s="147"/>
      <c r="S458" s="147"/>
      <c r="T458" s="147"/>
    </row>
    <row r="459" spans="17:20" ht="14.25" customHeight="1" x14ac:dyDescent="0.3">
      <c r="Q459" s="147"/>
      <c r="R459" s="147"/>
      <c r="S459" s="147"/>
      <c r="T459" s="147"/>
    </row>
    <row r="460" spans="17:20" ht="14.25" customHeight="1" x14ac:dyDescent="0.3">
      <c r="Q460" s="147"/>
      <c r="R460" s="147"/>
      <c r="S460" s="147"/>
      <c r="T460" s="147"/>
    </row>
    <row r="461" spans="17:20" ht="14.25" customHeight="1" x14ac:dyDescent="0.3">
      <c r="Q461" s="147"/>
      <c r="R461" s="147"/>
      <c r="S461" s="147"/>
      <c r="T461" s="147"/>
    </row>
    <row r="462" spans="17:20" ht="14.25" customHeight="1" x14ac:dyDescent="0.3">
      <c r="Q462" s="147"/>
      <c r="R462" s="147"/>
      <c r="S462" s="147"/>
      <c r="T462" s="147"/>
    </row>
    <row r="463" spans="17:20" ht="14.25" customHeight="1" x14ac:dyDescent="0.3">
      <c r="Q463" s="147"/>
      <c r="R463" s="147"/>
      <c r="S463" s="147"/>
      <c r="T463" s="147"/>
    </row>
    <row r="464" spans="17:20" ht="14.25" customHeight="1" x14ac:dyDescent="0.3">
      <c r="Q464" s="147"/>
      <c r="R464" s="147"/>
      <c r="S464" s="147"/>
      <c r="T464" s="147"/>
    </row>
    <row r="465" spans="17:20" ht="14.25" customHeight="1" x14ac:dyDescent="0.3">
      <c r="Q465" s="147"/>
      <c r="R465" s="147"/>
      <c r="S465" s="147"/>
      <c r="T465" s="147"/>
    </row>
    <row r="466" spans="17:20" ht="14.25" customHeight="1" x14ac:dyDescent="0.3">
      <c r="Q466" s="147"/>
      <c r="R466" s="147"/>
      <c r="S466" s="147"/>
      <c r="T466" s="147"/>
    </row>
    <row r="467" spans="17:20" ht="14.25" customHeight="1" x14ac:dyDescent="0.3">
      <c r="Q467" s="147"/>
      <c r="R467" s="147"/>
      <c r="S467" s="147"/>
      <c r="T467" s="147"/>
    </row>
    <row r="468" spans="17:20" ht="14.25" customHeight="1" x14ac:dyDescent="0.3">
      <c r="Q468" s="147"/>
      <c r="R468" s="147"/>
      <c r="S468" s="147"/>
      <c r="T468" s="147"/>
    </row>
    <row r="469" spans="17:20" ht="14.25" customHeight="1" x14ac:dyDescent="0.3">
      <c r="Q469" s="147"/>
      <c r="R469" s="147"/>
      <c r="S469" s="147"/>
      <c r="T469" s="147"/>
    </row>
    <row r="470" spans="17:20" ht="14.25" customHeight="1" x14ac:dyDescent="0.3">
      <c r="Q470" s="147"/>
      <c r="R470" s="147"/>
      <c r="S470" s="147"/>
      <c r="T470" s="147"/>
    </row>
    <row r="471" spans="17:20" ht="14.25" customHeight="1" x14ac:dyDescent="0.3">
      <c r="Q471" s="147"/>
      <c r="R471" s="147"/>
      <c r="S471" s="147"/>
      <c r="T471" s="147"/>
    </row>
    <row r="472" spans="17:20" ht="14.25" customHeight="1" x14ac:dyDescent="0.3">
      <c r="Q472" s="147"/>
      <c r="R472" s="147"/>
      <c r="S472" s="147"/>
      <c r="T472" s="147"/>
    </row>
    <row r="473" spans="17:20" ht="14.25" customHeight="1" x14ac:dyDescent="0.3">
      <c r="Q473" s="147"/>
      <c r="R473" s="147"/>
      <c r="S473" s="147"/>
      <c r="T473" s="147"/>
    </row>
    <row r="474" spans="17:20" ht="14.25" customHeight="1" x14ac:dyDescent="0.3">
      <c r="Q474" s="147"/>
      <c r="R474" s="147"/>
      <c r="S474" s="147"/>
      <c r="T474" s="147"/>
    </row>
    <row r="475" spans="17:20" ht="14.25" customHeight="1" x14ac:dyDescent="0.3">
      <c r="Q475" s="147"/>
      <c r="R475" s="147"/>
      <c r="S475" s="147"/>
      <c r="T475" s="147"/>
    </row>
    <row r="476" spans="17:20" ht="14.25" customHeight="1" x14ac:dyDescent="0.3">
      <c r="Q476" s="147"/>
      <c r="R476" s="147"/>
      <c r="S476" s="147"/>
      <c r="T476" s="147"/>
    </row>
    <row r="477" spans="17:20" ht="14.25" customHeight="1" x14ac:dyDescent="0.3">
      <c r="Q477" s="147"/>
      <c r="R477" s="147"/>
      <c r="S477" s="147"/>
      <c r="T477" s="147"/>
    </row>
    <row r="478" spans="17:20" ht="14.25" customHeight="1" x14ac:dyDescent="0.3">
      <c r="Q478" s="147"/>
      <c r="R478" s="147"/>
      <c r="S478" s="147"/>
      <c r="T478" s="147"/>
    </row>
    <row r="479" spans="17:20" ht="14.25" customHeight="1" x14ac:dyDescent="0.3">
      <c r="Q479" s="147"/>
      <c r="R479" s="147"/>
      <c r="S479" s="147"/>
      <c r="T479" s="147"/>
    </row>
    <row r="480" spans="17:20" ht="14.25" customHeight="1" x14ac:dyDescent="0.3">
      <c r="Q480" s="147"/>
      <c r="R480" s="147"/>
      <c r="S480" s="147"/>
      <c r="T480" s="147"/>
    </row>
    <row r="481" spans="17:20" ht="14.25" customHeight="1" x14ac:dyDescent="0.3">
      <c r="Q481" s="147"/>
      <c r="R481" s="147"/>
      <c r="S481" s="147"/>
      <c r="T481" s="147"/>
    </row>
    <row r="482" spans="17:20" ht="14.25" customHeight="1" x14ac:dyDescent="0.3">
      <c r="Q482" s="147"/>
      <c r="R482" s="147"/>
      <c r="S482" s="147"/>
      <c r="T482" s="147"/>
    </row>
    <row r="483" spans="17:20" ht="14.25" customHeight="1" x14ac:dyDescent="0.3">
      <c r="Q483" s="147"/>
      <c r="R483" s="147"/>
      <c r="S483" s="147"/>
      <c r="T483" s="147"/>
    </row>
    <row r="484" spans="17:20" ht="14.25" customHeight="1" x14ac:dyDescent="0.3">
      <c r="Q484" s="147"/>
      <c r="R484" s="147"/>
      <c r="S484" s="147"/>
      <c r="T484" s="147"/>
    </row>
    <row r="485" spans="17:20" ht="14.25" customHeight="1" x14ac:dyDescent="0.3">
      <c r="Q485" s="147"/>
      <c r="R485" s="147"/>
      <c r="S485" s="147"/>
      <c r="T485" s="147"/>
    </row>
    <row r="486" spans="17:20" ht="14.25" customHeight="1" x14ac:dyDescent="0.3">
      <c r="Q486" s="147"/>
      <c r="R486" s="147"/>
      <c r="S486" s="147"/>
      <c r="T486" s="147"/>
    </row>
    <row r="487" spans="17:20" ht="14.25" customHeight="1" x14ac:dyDescent="0.3">
      <c r="Q487" s="147"/>
      <c r="R487" s="147"/>
      <c r="S487" s="147"/>
      <c r="T487" s="147"/>
    </row>
    <row r="488" spans="17:20" ht="14.25" customHeight="1" x14ac:dyDescent="0.3">
      <c r="Q488" s="147"/>
      <c r="R488" s="147"/>
      <c r="S488" s="147"/>
      <c r="T488" s="147"/>
    </row>
    <row r="489" spans="17:20" ht="14.25" customHeight="1" x14ac:dyDescent="0.3">
      <c r="Q489" s="147"/>
      <c r="R489" s="147"/>
      <c r="S489" s="147"/>
      <c r="T489" s="147"/>
    </row>
    <row r="490" spans="17:20" ht="14.25" customHeight="1" x14ac:dyDescent="0.3">
      <c r="Q490" s="147"/>
      <c r="R490" s="147"/>
      <c r="S490" s="147"/>
      <c r="T490" s="147"/>
    </row>
    <row r="491" spans="17:20" ht="14.25" customHeight="1" x14ac:dyDescent="0.3">
      <c r="Q491" s="147"/>
      <c r="R491" s="147"/>
      <c r="S491" s="147"/>
      <c r="T491" s="147"/>
    </row>
    <row r="492" spans="17:20" ht="14.25" customHeight="1" x14ac:dyDescent="0.3">
      <c r="Q492" s="147"/>
      <c r="R492" s="147"/>
      <c r="S492" s="147"/>
      <c r="T492" s="147"/>
    </row>
    <row r="493" spans="17:20" ht="14.25" customHeight="1" x14ac:dyDescent="0.3">
      <c r="Q493" s="147"/>
      <c r="R493" s="147"/>
      <c r="S493" s="147"/>
      <c r="T493" s="147"/>
    </row>
    <row r="494" spans="17:20" ht="14.25" customHeight="1" x14ac:dyDescent="0.3">
      <c r="Q494" s="147"/>
      <c r="R494" s="147"/>
      <c r="S494" s="147"/>
      <c r="T494" s="147"/>
    </row>
    <row r="495" spans="17:20" ht="14.25" customHeight="1" x14ac:dyDescent="0.3">
      <c r="Q495" s="147"/>
      <c r="R495" s="147"/>
      <c r="S495" s="147"/>
      <c r="T495" s="147"/>
    </row>
    <row r="496" spans="17:20" ht="14.25" customHeight="1" x14ac:dyDescent="0.3">
      <c r="Q496" s="147"/>
      <c r="R496" s="147"/>
      <c r="S496" s="147"/>
      <c r="T496" s="147"/>
    </row>
    <row r="497" spans="17:20" ht="14.25" customHeight="1" x14ac:dyDescent="0.3">
      <c r="Q497" s="147"/>
      <c r="R497" s="147"/>
      <c r="S497" s="147"/>
      <c r="T497" s="147"/>
    </row>
    <row r="498" spans="17:20" ht="14.25" customHeight="1" x14ac:dyDescent="0.3">
      <c r="Q498" s="147"/>
      <c r="R498" s="147"/>
      <c r="S498" s="147"/>
      <c r="T498" s="147"/>
    </row>
    <row r="499" spans="17:20" ht="14.25" customHeight="1" x14ac:dyDescent="0.3">
      <c r="Q499" s="147"/>
      <c r="R499" s="147"/>
      <c r="S499" s="147"/>
      <c r="T499" s="147"/>
    </row>
    <row r="500" spans="17:20" ht="14.25" customHeight="1" x14ac:dyDescent="0.3">
      <c r="Q500" s="147"/>
      <c r="R500" s="147"/>
      <c r="S500" s="147"/>
      <c r="T500" s="147"/>
    </row>
    <row r="501" spans="17:20" ht="14.25" customHeight="1" x14ac:dyDescent="0.3">
      <c r="Q501" s="147"/>
      <c r="R501" s="147"/>
      <c r="S501" s="147"/>
      <c r="T501" s="147"/>
    </row>
    <row r="502" spans="17:20" ht="14.25" customHeight="1" x14ac:dyDescent="0.3">
      <c r="Q502" s="147"/>
      <c r="R502" s="147"/>
      <c r="S502" s="147"/>
      <c r="T502" s="147"/>
    </row>
    <row r="503" spans="17:20" ht="14.25" customHeight="1" x14ac:dyDescent="0.3">
      <c r="Q503" s="147"/>
      <c r="R503" s="147"/>
      <c r="S503" s="147"/>
      <c r="T503" s="147"/>
    </row>
    <row r="504" spans="17:20" ht="14.25" customHeight="1" x14ac:dyDescent="0.3">
      <c r="Q504" s="147"/>
      <c r="R504" s="147"/>
      <c r="S504" s="147"/>
      <c r="T504" s="147"/>
    </row>
    <row r="505" spans="17:20" ht="14.25" customHeight="1" x14ac:dyDescent="0.3">
      <c r="Q505" s="147"/>
      <c r="R505" s="147"/>
      <c r="S505" s="147"/>
      <c r="T505" s="147"/>
    </row>
    <row r="506" spans="17:20" ht="14.25" customHeight="1" x14ac:dyDescent="0.3">
      <c r="Q506" s="147"/>
      <c r="R506" s="147"/>
      <c r="S506" s="147"/>
      <c r="T506" s="147"/>
    </row>
    <row r="507" spans="17:20" ht="14.25" customHeight="1" x14ac:dyDescent="0.3">
      <c r="Q507" s="147"/>
      <c r="R507" s="147"/>
      <c r="S507" s="147"/>
      <c r="T507" s="147"/>
    </row>
    <row r="508" spans="17:20" ht="14.25" customHeight="1" x14ac:dyDescent="0.3">
      <c r="Q508" s="147"/>
      <c r="R508" s="147"/>
      <c r="S508" s="147"/>
      <c r="T508" s="147"/>
    </row>
    <row r="509" spans="17:20" ht="14.25" customHeight="1" x14ac:dyDescent="0.3">
      <c r="Q509" s="147"/>
      <c r="R509" s="147"/>
      <c r="S509" s="147"/>
      <c r="T509" s="147"/>
    </row>
    <row r="510" spans="17:20" ht="14.25" customHeight="1" x14ac:dyDescent="0.3">
      <c r="Q510" s="147"/>
      <c r="R510" s="147"/>
      <c r="S510" s="147"/>
      <c r="T510" s="147"/>
    </row>
    <row r="511" spans="17:20" ht="14.25" customHeight="1" x14ac:dyDescent="0.3">
      <c r="Q511" s="147"/>
      <c r="R511" s="147"/>
      <c r="S511" s="147"/>
      <c r="T511" s="147"/>
    </row>
    <row r="512" spans="17:20" ht="14.25" customHeight="1" x14ac:dyDescent="0.3">
      <c r="Q512" s="147"/>
      <c r="R512" s="147"/>
      <c r="S512" s="147"/>
      <c r="T512" s="147"/>
    </row>
    <row r="513" spans="17:20" ht="14.25" customHeight="1" x14ac:dyDescent="0.3">
      <c r="Q513" s="147"/>
      <c r="R513" s="147"/>
      <c r="S513" s="147"/>
      <c r="T513" s="147"/>
    </row>
    <row r="514" spans="17:20" ht="14.25" customHeight="1" x14ac:dyDescent="0.3">
      <c r="Q514" s="147"/>
      <c r="R514" s="147"/>
      <c r="S514" s="147"/>
      <c r="T514" s="147"/>
    </row>
    <row r="515" spans="17:20" ht="14.25" customHeight="1" x14ac:dyDescent="0.3">
      <c r="Q515" s="147"/>
      <c r="R515" s="147"/>
      <c r="S515" s="147"/>
      <c r="T515" s="147"/>
    </row>
    <row r="516" spans="17:20" ht="14.25" customHeight="1" x14ac:dyDescent="0.3">
      <c r="Q516" s="147"/>
      <c r="R516" s="147"/>
      <c r="S516" s="147"/>
      <c r="T516" s="147"/>
    </row>
    <row r="517" spans="17:20" ht="14.25" customHeight="1" x14ac:dyDescent="0.3">
      <c r="Q517" s="147"/>
      <c r="R517" s="147"/>
      <c r="S517" s="147"/>
      <c r="T517" s="147"/>
    </row>
    <row r="518" spans="17:20" ht="14.25" customHeight="1" x14ac:dyDescent="0.3">
      <c r="Q518" s="147"/>
      <c r="R518" s="147"/>
      <c r="S518" s="147"/>
      <c r="T518" s="147"/>
    </row>
    <row r="519" spans="17:20" ht="14.25" customHeight="1" x14ac:dyDescent="0.3">
      <c r="Q519" s="147"/>
      <c r="R519" s="147"/>
      <c r="S519" s="147"/>
      <c r="T519" s="147"/>
    </row>
    <row r="520" spans="17:20" ht="14.25" customHeight="1" x14ac:dyDescent="0.3">
      <c r="Q520" s="147"/>
      <c r="R520" s="147"/>
      <c r="S520" s="147"/>
      <c r="T520" s="147"/>
    </row>
    <row r="521" spans="17:20" ht="14.25" customHeight="1" x14ac:dyDescent="0.3">
      <c r="Q521" s="147"/>
      <c r="R521" s="147"/>
      <c r="S521" s="147"/>
      <c r="T521" s="147"/>
    </row>
    <row r="522" spans="17:20" ht="14.25" customHeight="1" x14ac:dyDescent="0.3">
      <c r="Q522" s="147"/>
      <c r="R522" s="147"/>
      <c r="S522" s="147"/>
      <c r="T522" s="147"/>
    </row>
    <row r="523" spans="17:20" ht="14.25" customHeight="1" x14ac:dyDescent="0.3">
      <c r="Q523" s="147"/>
      <c r="R523" s="147"/>
      <c r="S523" s="147"/>
      <c r="T523" s="147"/>
    </row>
    <row r="524" spans="17:20" ht="14.25" customHeight="1" x14ac:dyDescent="0.3">
      <c r="Q524" s="147"/>
      <c r="R524" s="147"/>
      <c r="S524" s="147"/>
      <c r="T524" s="147"/>
    </row>
    <row r="525" spans="17:20" ht="14.25" customHeight="1" x14ac:dyDescent="0.3">
      <c r="Q525" s="147"/>
      <c r="R525" s="147"/>
      <c r="S525" s="147"/>
      <c r="T525" s="147"/>
    </row>
    <row r="526" spans="17:20" ht="14.25" customHeight="1" x14ac:dyDescent="0.3">
      <c r="Q526" s="147"/>
      <c r="R526" s="147"/>
      <c r="S526" s="147"/>
      <c r="T526" s="147"/>
    </row>
    <row r="527" spans="17:20" ht="14.25" customHeight="1" x14ac:dyDescent="0.3">
      <c r="Q527" s="147"/>
      <c r="R527" s="147"/>
      <c r="S527" s="147"/>
      <c r="T527" s="147"/>
    </row>
    <row r="528" spans="17:20" ht="14.25" customHeight="1" x14ac:dyDescent="0.3">
      <c r="Q528" s="147"/>
      <c r="R528" s="147"/>
      <c r="S528" s="147"/>
      <c r="T528" s="147"/>
    </row>
    <row r="529" spans="17:20" ht="14.25" customHeight="1" x14ac:dyDescent="0.3">
      <c r="Q529" s="147"/>
      <c r="R529" s="147"/>
      <c r="S529" s="147"/>
      <c r="T529" s="147"/>
    </row>
    <row r="530" spans="17:20" ht="14.25" customHeight="1" x14ac:dyDescent="0.3">
      <c r="Q530" s="147"/>
      <c r="R530" s="147"/>
      <c r="S530" s="147"/>
      <c r="T530" s="147"/>
    </row>
    <row r="531" spans="17:20" ht="14.25" customHeight="1" x14ac:dyDescent="0.3">
      <c r="Q531" s="147"/>
      <c r="R531" s="147"/>
      <c r="S531" s="147"/>
      <c r="T531" s="147"/>
    </row>
    <row r="532" spans="17:20" ht="14.25" customHeight="1" x14ac:dyDescent="0.3">
      <c r="Q532" s="147"/>
      <c r="R532" s="147"/>
      <c r="S532" s="147"/>
      <c r="T532" s="147"/>
    </row>
    <row r="533" spans="17:20" ht="14.25" customHeight="1" x14ac:dyDescent="0.3">
      <c r="Q533" s="147"/>
      <c r="R533" s="147"/>
      <c r="S533" s="147"/>
      <c r="T533" s="147"/>
    </row>
    <row r="534" spans="17:20" ht="14.25" customHeight="1" x14ac:dyDescent="0.3">
      <c r="Q534" s="147"/>
      <c r="R534" s="147"/>
      <c r="S534" s="147"/>
      <c r="T534" s="147"/>
    </row>
    <row r="535" spans="17:20" ht="14.25" customHeight="1" x14ac:dyDescent="0.3">
      <c r="Q535" s="147"/>
      <c r="R535" s="147"/>
      <c r="S535" s="147"/>
      <c r="T535" s="147"/>
    </row>
    <row r="536" spans="17:20" ht="14.25" customHeight="1" x14ac:dyDescent="0.3">
      <c r="Q536" s="147"/>
      <c r="R536" s="147"/>
      <c r="S536" s="147"/>
      <c r="T536" s="147"/>
    </row>
    <row r="537" spans="17:20" ht="14.25" customHeight="1" x14ac:dyDescent="0.3">
      <c r="Q537" s="147"/>
      <c r="R537" s="147"/>
      <c r="S537" s="147"/>
      <c r="T537" s="147"/>
    </row>
    <row r="538" spans="17:20" ht="14.25" customHeight="1" x14ac:dyDescent="0.3">
      <c r="Q538" s="147"/>
      <c r="R538" s="147"/>
      <c r="S538" s="147"/>
      <c r="T538" s="147"/>
    </row>
    <row r="539" spans="17:20" ht="14.25" customHeight="1" x14ac:dyDescent="0.3">
      <c r="Q539" s="147"/>
      <c r="R539" s="147"/>
      <c r="S539" s="147"/>
      <c r="T539" s="147"/>
    </row>
    <row r="540" spans="17:20" ht="14.25" customHeight="1" x14ac:dyDescent="0.3">
      <c r="Q540" s="147"/>
      <c r="R540" s="147"/>
      <c r="S540" s="147"/>
      <c r="T540" s="147"/>
    </row>
    <row r="541" spans="17:20" ht="14.25" customHeight="1" x14ac:dyDescent="0.3">
      <c r="Q541" s="147"/>
      <c r="R541" s="147"/>
      <c r="S541" s="147"/>
      <c r="T541" s="147"/>
    </row>
    <row r="542" spans="17:20" ht="14.25" customHeight="1" x14ac:dyDescent="0.3">
      <c r="Q542" s="147"/>
      <c r="R542" s="147"/>
      <c r="S542" s="147"/>
      <c r="T542" s="147"/>
    </row>
    <row r="543" spans="17:20" ht="14.25" customHeight="1" x14ac:dyDescent="0.3">
      <c r="Q543" s="147"/>
      <c r="R543" s="147"/>
      <c r="S543" s="147"/>
      <c r="T543" s="147"/>
    </row>
    <row r="544" spans="17:20" ht="14.25" customHeight="1" x14ac:dyDescent="0.3">
      <c r="Q544" s="147"/>
      <c r="R544" s="147"/>
      <c r="S544" s="147"/>
      <c r="T544" s="147"/>
    </row>
    <row r="545" spans="17:20" ht="14.25" customHeight="1" x14ac:dyDescent="0.3">
      <c r="Q545" s="147"/>
      <c r="R545" s="147"/>
      <c r="S545" s="147"/>
      <c r="T545" s="147"/>
    </row>
    <row r="546" spans="17:20" ht="14.25" customHeight="1" x14ac:dyDescent="0.3">
      <c r="Q546" s="147"/>
      <c r="R546" s="147"/>
      <c r="S546" s="147"/>
      <c r="T546" s="147"/>
    </row>
    <row r="547" spans="17:20" ht="14.25" customHeight="1" x14ac:dyDescent="0.3">
      <c r="Q547" s="147"/>
      <c r="R547" s="147"/>
      <c r="S547" s="147"/>
      <c r="T547" s="147"/>
    </row>
    <row r="548" spans="17:20" ht="14.25" customHeight="1" x14ac:dyDescent="0.3">
      <c r="Q548" s="147"/>
      <c r="R548" s="147"/>
      <c r="S548" s="147"/>
      <c r="T548" s="147"/>
    </row>
    <row r="549" spans="17:20" ht="14.25" customHeight="1" x14ac:dyDescent="0.3">
      <c r="Q549" s="147"/>
      <c r="R549" s="147"/>
      <c r="S549" s="147"/>
      <c r="T549" s="147"/>
    </row>
    <row r="550" spans="17:20" ht="14.25" customHeight="1" x14ac:dyDescent="0.3">
      <c r="Q550" s="147"/>
      <c r="R550" s="147"/>
      <c r="S550" s="147"/>
      <c r="T550" s="147"/>
    </row>
    <row r="551" spans="17:20" ht="14.25" customHeight="1" x14ac:dyDescent="0.3">
      <c r="Q551" s="147"/>
      <c r="R551" s="147"/>
      <c r="S551" s="147"/>
      <c r="T551" s="147"/>
    </row>
    <row r="552" spans="17:20" ht="14.25" customHeight="1" x14ac:dyDescent="0.3">
      <c r="Q552" s="147"/>
      <c r="R552" s="147"/>
      <c r="S552" s="147"/>
      <c r="T552" s="147"/>
    </row>
    <row r="553" spans="17:20" ht="14.25" customHeight="1" x14ac:dyDescent="0.3">
      <c r="Q553" s="147"/>
      <c r="R553" s="147"/>
      <c r="S553" s="147"/>
      <c r="T553" s="147"/>
    </row>
    <row r="554" spans="17:20" ht="14.25" customHeight="1" x14ac:dyDescent="0.3">
      <c r="Q554" s="147"/>
      <c r="R554" s="147"/>
      <c r="S554" s="147"/>
      <c r="T554" s="147"/>
    </row>
    <row r="555" spans="17:20" ht="14.25" customHeight="1" x14ac:dyDescent="0.3">
      <c r="Q555" s="147"/>
      <c r="R555" s="147"/>
      <c r="S555" s="147"/>
      <c r="T555" s="147"/>
    </row>
    <row r="556" spans="17:20" ht="14.25" customHeight="1" x14ac:dyDescent="0.3">
      <c r="Q556" s="147"/>
      <c r="R556" s="147"/>
      <c r="S556" s="147"/>
      <c r="T556" s="147"/>
    </row>
    <row r="557" spans="17:20" ht="14.25" customHeight="1" x14ac:dyDescent="0.3">
      <c r="Q557" s="147"/>
      <c r="R557" s="147"/>
      <c r="S557" s="147"/>
      <c r="T557" s="147"/>
    </row>
    <row r="558" spans="17:20" ht="14.25" customHeight="1" x14ac:dyDescent="0.3">
      <c r="Q558" s="147"/>
      <c r="R558" s="147"/>
      <c r="S558" s="147"/>
      <c r="T558" s="147"/>
    </row>
    <row r="559" spans="17:20" ht="14.25" customHeight="1" x14ac:dyDescent="0.3">
      <c r="Q559" s="147"/>
      <c r="R559" s="147"/>
      <c r="S559" s="147"/>
      <c r="T559" s="147"/>
    </row>
    <row r="560" spans="17:20" ht="14.25" customHeight="1" x14ac:dyDescent="0.3">
      <c r="Q560" s="147"/>
      <c r="R560" s="147"/>
      <c r="S560" s="147"/>
      <c r="T560" s="147"/>
    </row>
    <row r="561" spans="17:20" ht="14.25" customHeight="1" x14ac:dyDescent="0.3">
      <c r="Q561" s="147"/>
      <c r="R561" s="147"/>
      <c r="S561" s="147"/>
      <c r="T561" s="147"/>
    </row>
    <row r="562" spans="17:20" ht="14.25" customHeight="1" x14ac:dyDescent="0.3">
      <c r="Q562" s="147"/>
      <c r="R562" s="147"/>
      <c r="S562" s="147"/>
      <c r="T562" s="147"/>
    </row>
    <row r="563" spans="17:20" ht="14.25" customHeight="1" x14ac:dyDescent="0.3">
      <c r="Q563" s="147"/>
      <c r="R563" s="147"/>
      <c r="S563" s="147"/>
      <c r="T563" s="147"/>
    </row>
    <row r="564" spans="17:20" ht="14.25" customHeight="1" x14ac:dyDescent="0.3">
      <c r="Q564" s="147"/>
      <c r="R564" s="147"/>
      <c r="S564" s="147"/>
      <c r="T564" s="147"/>
    </row>
    <row r="565" spans="17:20" ht="14.25" customHeight="1" x14ac:dyDescent="0.3">
      <c r="Q565" s="147"/>
      <c r="R565" s="147"/>
      <c r="S565" s="147"/>
      <c r="T565" s="147"/>
    </row>
    <row r="566" spans="17:20" ht="14.25" customHeight="1" x14ac:dyDescent="0.3">
      <c r="Q566" s="147"/>
      <c r="R566" s="147"/>
      <c r="S566" s="147"/>
      <c r="T566" s="147"/>
    </row>
    <row r="567" spans="17:20" ht="14.25" customHeight="1" x14ac:dyDescent="0.3">
      <c r="Q567" s="147"/>
      <c r="R567" s="147"/>
      <c r="S567" s="147"/>
      <c r="T567" s="147"/>
    </row>
    <row r="568" spans="17:20" ht="14.25" customHeight="1" x14ac:dyDescent="0.3">
      <c r="Q568" s="147"/>
      <c r="R568" s="147"/>
      <c r="S568" s="147"/>
      <c r="T568" s="147"/>
    </row>
    <row r="569" spans="17:20" ht="14.25" customHeight="1" x14ac:dyDescent="0.3">
      <c r="Q569" s="147"/>
      <c r="R569" s="147"/>
      <c r="S569" s="147"/>
      <c r="T569" s="147"/>
    </row>
    <row r="570" spans="17:20" ht="14.25" customHeight="1" x14ac:dyDescent="0.3">
      <c r="Q570" s="147"/>
      <c r="R570" s="147"/>
      <c r="S570" s="147"/>
      <c r="T570" s="147"/>
    </row>
    <row r="571" spans="17:20" ht="14.25" customHeight="1" x14ac:dyDescent="0.3">
      <c r="Q571" s="147"/>
      <c r="R571" s="147"/>
      <c r="S571" s="147"/>
      <c r="T571" s="147"/>
    </row>
    <row r="572" spans="17:20" ht="14.25" customHeight="1" x14ac:dyDescent="0.3">
      <c r="Q572" s="147"/>
      <c r="R572" s="147"/>
      <c r="S572" s="147"/>
      <c r="T572" s="147"/>
    </row>
    <row r="573" spans="17:20" ht="14.25" customHeight="1" x14ac:dyDescent="0.3">
      <c r="Q573" s="147"/>
      <c r="R573" s="147"/>
      <c r="S573" s="147"/>
      <c r="T573" s="147"/>
    </row>
    <row r="574" spans="17:20" ht="14.25" customHeight="1" x14ac:dyDescent="0.3">
      <c r="Q574" s="147"/>
      <c r="R574" s="147"/>
      <c r="S574" s="147"/>
      <c r="T574" s="147"/>
    </row>
    <row r="575" spans="17:20" ht="14.25" customHeight="1" x14ac:dyDescent="0.3">
      <c r="Q575" s="147"/>
      <c r="R575" s="147"/>
      <c r="S575" s="147"/>
      <c r="T575" s="147"/>
    </row>
    <row r="576" spans="17:20" ht="14.25" customHeight="1" x14ac:dyDescent="0.3">
      <c r="Q576" s="147"/>
      <c r="R576" s="147"/>
      <c r="S576" s="147"/>
      <c r="T576" s="147"/>
    </row>
    <row r="577" spans="17:20" ht="14.25" customHeight="1" x14ac:dyDescent="0.3">
      <c r="Q577" s="147"/>
      <c r="R577" s="147"/>
      <c r="S577" s="147"/>
      <c r="T577" s="147"/>
    </row>
    <row r="578" spans="17:20" ht="14.25" customHeight="1" x14ac:dyDescent="0.3">
      <c r="Q578" s="147"/>
      <c r="R578" s="147"/>
      <c r="S578" s="147"/>
      <c r="T578" s="147"/>
    </row>
    <row r="579" spans="17:20" ht="14.25" customHeight="1" x14ac:dyDescent="0.3">
      <c r="Q579" s="147"/>
      <c r="R579" s="147"/>
      <c r="S579" s="147"/>
      <c r="T579" s="147"/>
    </row>
    <row r="580" spans="17:20" ht="14.25" customHeight="1" x14ac:dyDescent="0.3">
      <c r="Q580" s="147"/>
      <c r="R580" s="147"/>
      <c r="S580" s="147"/>
      <c r="T580" s="147"/>
    </row>
    <row r="581" spans="17:20" ht="14.25" customHeight="1" x14ac:dyDescent="0.3">
      <c r="Q581" s="147"/>
      <c r="R581" s="147"/>
      <c r="S581" s="147"/>
      <c r="T581" s="147"/>
    </row>
    <row r="582" spans="17:20" ht="14.25" customHeight="1" x14ac:dyDescent="0.3">
      <c r="Q582" s="147"/>
      <c r="R582" s="147"/>
      <c r="S582" s="147"/>
      <c r="T582" s="147"/>
    </row>
    <row r="583" spans="17:20" ht="14.25" customHeight="1" x14ac:dyDescent="0.3">
      <c r="Q583" s="147"/>
      <c r="R583" s="147"/>
      <c r="S583" s="147"/>
      <c r="T583" s="147"/>
    </row>
    <row r="584" spans="17:20" ht="14.25" customHeight="1" x14ac:dyDescent="0.3">
      <c r="Q584" s="147"/>
      <c r="R584" s="147"/>
      <c r="S584" s="147"/>
      <c r="T584" s="147"/>
    </row>
    <row r="585" spans="17:20" ht="14.25" customHeight="1" x14ac:dyDescent="0.3">
      <c r="Q585" s="147"/>
      <c r="R585" s="147"/>
      <c r="S585" s="147"/>
      <c r="T585" s="147"/>
    </row>
    <row r="586" spans="17:20" ht="14.25" customHeight="1" x14ac:dyDescent="0.3">
      <c r="Q586" s="147"/>
      <c r="R586" s="147"/>
      <c r="S586" s="147"/>
      <c r="T586" s="147"/>
    </row>
    <row r="587" spans="17:20" ht="14.25" customHeight="1" x14ac:dyDescent="0.3">
      <c r="Q587" s="147"/>
      <c r="R587" s="147"/>
      <c r="S587" s="147"/>
      <c r="T587" s="147"/>
    </row>
    <row r="588" spans="17:20" ht="14.25" customHeight="1" x14ac:dyDescent="0.3">
      <c r="Q588" s="147"/>
      <c r="R588" s="147"/>
      <c r="S588" s="147"/>
      <c r="T588" s="147"/>
    </row>
    <row r="589" spans="17:20" ht="14.25" customHeight="1" x14ac:dyDescent="0.3">
      <c r="Q589" s="147"/>
      <c r="R589" s="147"/>
      <c r="S589" s="147"/>
      <c r="T589" s="147"/>
    </row>
    <row r="590" spans="17:20" ht="14.25" customHeight="1" x14ac:dyDescent="0.3">
      <c r="Q590" s="147"/>
      <c r="R590" s="147"/>
      <c r="S590" s="147"/>
      <c r="T590" s="147"/>
    </row>
    <row r="591" spans="17:20" ht="14.25" customHeight="1" x14ac:dyDescent="0.3">
      <c r="Q591" s="147"/>
      <c r="R591" s="147"/>
      <c r="S591" s="147"/>
      <c r="T591" s="147"/>
    </row>
    <row r="592" spans="17:20" ht="14.25" customHeight="1" x14ac:dyDescent="0.3">
      <c r="Q592" s="147"/>
      <c r="R592" s="147"/>
      <c r="S592" s="147"/>
      <c r="T592" s="147"/>
    </row>
    <row r="593" spans="17:20" ht="14.25" customHeight="1" x14ac:dyDescent="0.3">
      <c r="Q593" s="147"/>
      <c r="R593" s="147"/>
      <c r="S593" s="147"/>
      <c r="T593" s="147"/>
    </row>
    <row r="594" spans="17:20" ht="14.25" customHeight="1" x14ac:dyDescent="0.3">
      <c r="Q594" s="147"/>
      <c r="R594" s="147"/>
      <c r="S594" s="147"/>
      <c r="T594" s="147"/>
    </row>
    <row r="595" spans="17:20" ht="14.25" customHeight="1" x14ac:dyDescent="0.3">
      <c r="Q595" s="147"/>
      <c r="R595" s="147"/>
      <c r="S595" s="147"/>
      <c r="T595" s="147"/>
    </row>
    <row r="596" spans="17:20" ht="14.25" customHeight="1" x14ac:dyDescent="0.3">
      <c r="Q596" s="147"/>
      <c r="R596" s="147"/>
      <c r="S596" s="147"/>
      <c r="T596" s="147"/>
    </row>
    <row r="597" spans="17:20" ht="14.25" customHeight="1" x14ac:dyDescent="0.3">
      <c r="Q597" s="147"/>
      <c r="R597" s="147"/>
      <c r="S597" s="147"/>
      <c r="T597" s="147"/>
    </row>
    <row r="598" spans="17:20" ht="14.25" customHeight="1" x14ac:dyDescent="0.3">
      <c r="Q598" s="147"/>
      <c r="R598" s="147"/>
      <c r="S598" s="147"/>
      <c r="T598" s="147"/>
    </row>
    <row r="599" spans="17:20" ht="14.25" customHeight="1" x14ac:dyDescent="0.3">
      <c r="Q599" s="147"/>
      <c r="R599" s="147"/>
      <c r="S599" s="147"/>
      <c r="T599" s="147"/>
    </row>
    <row r="600" spans="17:20" ht="14.25" customHeight="1" x14ac:dyDescent="0.3">
      <c r="Q600" s="147"/>
      <c r="R600" s="147"/>
      <c r="S600" s="147"/>
      <c r="T600" s="147"/>
    </row>
    <row r="601" spans="17:20" ht="14.25" customHeight="1" x14ac:dyDescent="0.3">
      <c r="Q601" s="147"/>
      <c r="R601" s="147"/>
      <c r="S601" s="147"/>
      <c r="T601" s="147"/>
    </row>
    <row r="602" spans="17:20" ht="14.25" customHeight="1" x14ac:dyDescent="0.3">
      <c r="Q602" s="147"/>
      <c r="R602" s="147"/>
      <c r="S602" s="147"/>
      <c r="T602" s="147"/>
    </row>
    <row r="603" spans="17:20" ht="14.25" customHeight="1" x14ac:dyDescent="0.3">
      <c r="Q603" s="147"/>
      <c r="R603" s="147"/>
      <c r="S603" s="147"/>
      <c r="T603" s="147"/>
    </row>
    <row r="604" spans="17:20" ht="14.25" customHeight="1" x14ac:dyDescent="0.3">
      <c r="Q604" s="147"/>
      <c r="R604" s="147"/>
      <c r="S604" s="147"/>
      <c r="T604" s="147"/>
    </row>
    <row r="605" spans="17:20" ht="14.25" customHeight="1" x14ac:dyDescent="0.3">
      <c r="Q605" s="147"/>
      <c r="R605" s="147"/>
      <c r="S605" s="147"/>
      <c r="T605" s="147"/>
    </row>
    <row r="606" spans="17:20" ht="14.25" customHeight="1" x14ac:dyDescent="0.3">
      <c r="Q606" s="147"/>
      <c r="R606" s="147"/>
      <c r="S606" s="147"/>
      <c r="T606" s="147"/>
    </row>
    <row r="607" spans="17:20" ht="14.25" customHeight="1" x14ac:dyDescent="0.3">
      <c r="Q607" s="147"/>
      <c r="R607" s="147"/>
      <c r="S607" s="147"/>
      <c r="T607" s="147"/>
    </row>
    <row r="608" spans="17:20" ht="14.25" customHeight="1" x14ac:dyDescent="0.3">
      <c r="Q608" s="147"/>
      <c r="R608" s="147"/>
      <c r="S608" s="147"/>
      <c r="T608" s="147"/>
    </row>
    <row r="609" spans="17:20" ht="14.25" customHeight="1" x14ac:dyDescent="0.3">
      <c r="Q609" s="147"/>
      <c r="R609" s="147"/>
      <c r="S609" s="147"/>
      <c r="T609" s="147"/>
    </row>
    <row r="610" spans="17:20" ht="14.25" customHeight="1" x14ac:dyDescent="0.3">
      <c r="Q610" s="147"/>
      <c r="R610" s="147"/>
      <c r="S610" s="147"/>
      <c r="T610" s="147"/>
    </row>
    <row r="611" spans="17:20" ht="14.25" customHeight="1" x14ac:dyDescent="0.3">
      <c r="Q611" s="147"/>
      <c r="R611" s="147"/>
      <c r="S611" s="147"/>
      <c r="T611" s="147"/>
    </row>
    <row r="612" spans="17:20" ht="14.25" customHeight="1" x14ac:dyDescent="0.3">
      <c r="Q612" s="147"/>
      <c r="R612" s="147"/>
      <c r="S612" s="147"/>
      <c r="T612" s="147"/>
    </row>
    <row r="613" spans="17:20" ht="14.25" customHeight="1" x14ac:dyDescent="0.3">
      <c r="Q613" s="147"/>
      <c r="R613" s="147"/>
      <c r="S613" s="147"/>
      <c r="T613" s="147"/>
    </row>
    <row r="614" spans="17:20" ht="14.25" customHeight="1" x14ac:dyDescent="0.3">
      <c r="Q614" s="147"/>
      <c r="R614" s="147"/>
      <c r="S614" s="147"/>
      <c r="T614" s="147"/>
    </row>
    <row r="615" spans="17:20" ht="14.25" customHeight="1" x14ac:dyDescent="0.3">
      <c r="Q615" s="147"/>
      <c r="R615" s="147"/>
      <c r="S615" s="147"/>
      <c r="T615" s="147"/>
    </row>
    <row r="616" spans="17:20" ht="14.25" customHeight="1" x14ac:dyDescent="0.3">
      <c r="Q616" s="147"/>
      <c r="R616" s="147"/>
      <c r="S616" s="147"/>
      <c r="T616" s="147"/>
    </row>
    <row r="617" spans="17:20" ht="14.25" customHeight="1" x14ac:dyDescent="0.3">
      <c r="Q617" s="147"/>
      <c r="R617" s="147"/>
      <c r="S617" s="147"/>
      <c r="T617" s="147"/>
    </row>
    <row r="618" spans="17:20" ht="14.25" customHeight="1" x14ac:dyDescent="0.3">
      <c r="Q618" s="147"/>
      <c r="R618" s="147"/>
      <c r="S618" s="147"/>
      <c r="T618" s="147"/>
    </row>
    <row r="619" spans="17:20" ht="14.25" customHeight="1" x14ac:dyDescent="0.3">
      <c r="Q619" s="147"/>
      <c r="R619" s="147"/>
      <c r="S619" s="147"/>
      <c r="T619" s="147"/>
    </row>
    <row r="620" spans="17:20" ht="14.25" customHeight="1" x14ac:dyDescent="0.3">
      <c r="Q620" s="147"/>
      <c r="R620" s="147"/>
      <c r="S620" s="147"/>
      <c r="T620" s="147"/>
    </row>
    <row r="621" spans="17:20" ht="14.25" customHeight="1" x14ac:dyDescent="0.3">
      <c r="Q621" s="147"/>
      <c r="R621" s="147"/>
      <c r="S621" s="147"/>
      <c r="T621" s="147"/>
    </row>
    <row r="622" spans="17:20" ht="14.25" customHeight="1" x14ac:dyDescent="0.3">
      <c r="Q622" s="147"/>
      <c r="R622" s="147"/>
      <c r="S622" s="147"/>
      <c r="T622" s="147"/>
    </row>
    <row r="623" spans="17:20" ht="14.25" customHeight="1" x14ac:dyDescent="0.3">
      <c r="Q623" s="147"/>
      <c r="R623" s="147"/>
      <c r="S623" s="147"/>
      <c r="T623" s="147"/>
    </row>
    <row r="624" spans="17:20" ht="14.25" customHeight="1" x14ac:dyDescent="0.3">
      <c r="Q624" s="147"/>
      <c r="R624" s="147"/>
      <c r="S624" s="147"/>
      <c r="T624" s="147"/>
    </row>
    <row r="625" spans="17:20" ht="14.25" customHeight="1" x14ac:dyDescent="0.3">
      <c r="Q625" s="147"/>
      <c r="R625" s="147"/>
      <c r="S625" s="147"/>
      <c r="T625" s="147"/>
    </row>
    <row r="626" spans="17:20" ht="14.25" customHeight="1" x14ac:dyDescent="0.3">
      <c r="Q626" s="147"/>
      <c r="R626" s="147"/>
      <c r="S626" s="147"/>
      <c r="T626" s="147"/>
    </row>
    <row r="627" spans="17:20" ht="14.25" customHeight="1" x14ac:dyDescent="0.3">
      <c r="Q627" s="147"/>
      <c r="R627" s="147"/>
      <c r="S627" s="147"/>
      <c r="T627" s="147"/>
    </row>
    <row r="628" spans="17:20" ht="14.25" customHeight="1" x14ac:dyDescent="0.3">
      <c r="Q628" s="147"/>
      <c r="R628" s="147"/>
      <c r="S628" s="147"/>
      <c r="T628" s="147"/>
    </row>
    <row r="629" spans="17:20" ht="14.25" customHeight="1" x14ac:dyDescent="0.3">
      <c r="Q629" s="147"/>
      <c r="R629" s="147"/>
      <c r="S629" s="147"/>
      <c r="T629" s="147"/>
    </row>
    <row r="630" spans="17:20" ht="14.25" customHeight="1" x14ac:dyDescent="0.3">
      <c r="Q630" s="147"/>
      <c r="R630" s="147"/>
      <c r="S630" s="147"/>
      <c r="T630" s="147"/>
    </row>
    <row r="631" spans="17:20" ht="14.25" customHeight="1" x14ac:dyDescent="0.3">
      <c r="Q631" s="147"/>
      <c r="R631" s="147"/>
      <c r="S631" s="147"/>
      <c r="T631" s="147"/>
    </row>
    <row r="632" spans="17:20" ht="14.25" customHeight="1" x14ac:dyDescent="0.3">
      <c r="Q632" s="147"/>
      <c r="R632" s="147"/>
      <c r="S632" s="147"/>
      <c r="T632" s="147"/>
    </row>
    <row r="633" spans="17:20" ht="14.25" customHeight="1" x14ac:dyDescent="0.3">
      <c r="Q633" s="147"/>
      <c r="R633" s="147"/>
      <c r="S633" s="147"/>
      <c r="T633" s="147"/>
    </row>
    <row r="634" spans="17:20" ht="14.25" customHeight="1" x14ac:dyDescent="0.3">
      <c r="Q634" s="147"/>
      <c r="R634" s="147"/>
      <c r="S634" s="147"/>
      <c r="T634" s="147"/>
    </row>
    <row r="635" spans="17:20" ht="14.25" customHeight="1" x14ac:dyDescent="0.3">
      <c r="Q635" s="147"/>
      <c r="R635" s="147"/>
      <c r="S635" s="147"/>
      <c r="T635" s="147"/>
    </row>
    <row r="636" spans="17:20" ht="14.25" customHeight="1" x14ac:dyDescent="0.3">
      <c r="Q636" s="147"/>
      <c r="R636" s="147"/>
      <c r="S636" s="147"/>
      <c r="T636" s="147"/>
    </row>
    <row r="637" spans="17:20" ht="14.25" customHeight="1" x14ac:dyDescent="0.3">
      <c r="Q637" s="147"/>
      <c r="R637" s="147"/>
      <c r="S637" s="147"/>
      <c r="T637" s="147"/>
    </row>
    <row r="638" spans="17:20" ht="14.25" customHeight="1" x14ac:dyDescent="0.3">
      <c r="Q638" s="147"/>
      <c r="R638" s="147"/>
      <c r="S638" s="147"/>
      <c r="T638" s="147"/>
    </row>
    <row r="639" spans="17:20" ht="14.25" customHeight="1" x14ac:dyDescent="0.3">
      <c r="Q639" s="147"/>
      <c r="R639" s="147"/>
      <c r="S639" s="147"/>
      <c r="T639" s="147"/>
    </row>
    <row r="640" spans="17:20" ht="14.25" customHeight="1" x14ac:dyDescent="0.3">
      <c r="Q640" s="147"/>
      <c r="R640" s="147"/>
      <c r="S640" s="147"/>
      <c r="T640" s="147"/>
    </row>
    <row r="641" spans="17:20" ht="14.25" customHeight="1" x14ac:dyDescent="0.3">
      <c r="Q641" s="147"/>
      <c r="R641" s="147"/>
      <c r="S641" s="147"/>
      <c r="T641" s="147"/>
    </row>
    <row r="642" spans="17:20" ht="14.25" customHeight="1" x14ac:dyDescent="0.3">
      <c r="Q642" s="147"/>
      <c r="R642" s="147"/>
      <c r="S642" s="147"/>
      <c r="T642" s="147"/>
    </row>
    <row r="643" spans="17:20" ht="14.25" customHeight="1" x14ac:dyDescent="0.3">
      <c r="Q643" s="147"/>
      <c r="R643" s="147"/>
      <c r="S643" s="147"/>
      <c r="T643" s="147"/>
    </row>
    <row r="644" spans="17:20" ht="14.25" customHeight="1" x14ac:dyDescent="0.3">
      <c r="Q644" s="147"/>
      <c r="R644" s="147"/>
      <c r="S644" s="147"/>
      <c r="T644" s="147"/>
    </row>
    <row r="645" spans="17:20" ht="14.25" customHeight="1" x14ac:dyDescent="0.3">
      <c r="Q645" s="147"/>
      <c r="R645" s="147"/>
      <c r="S645" s="147"/>
      <c r="T645" s="147"/>
    </row>
    <row r="646" spans="17:20" ht="14.25" customHeight="1" x14ac:dyDescent="0.3">
      <c r="Q646" s="147"/>
      <c r="R646" s="147"/>
      <c r="S646" s="147"/>
      <c r="T646" s="147"/>
    </row>
    <row r="647" spans="17:20" ht="14.25" customHeight="1" x14ac:dyDescent="0.3">
      <c r="Q647" s="147"/>
      <c r="R647" s="147"/>
      <c r="S647" s="147"/>
      <c r="T647" s="147"/>
    </row>
    <row r="648" spans="17:20" ht="14.25" customHeight="1" x14ac:dyDescent="0.3">
      <c r="Q648" s="147"/>
      <c r="R648" s="147"/>
      <c r="S648" s="147"/>
      <c r="T648" s="147"/>
    </row>
    <row r="649" spans="17:20" ht="14.25" customHeight="1" x14ac:dyDescent="0.3">
      <c r="Q649" s="147"/>
      <c r="R649" s="147"/>
      <c r="S649" s="147"/>
      <c r="T649" s="147"/>
    </row>
    <row r="650" spans="17:20" ht="14.25" customHeight="1" x14ac:dyDescent="0.3">
      <c r="Q650" s="147"/>
      <c r="R650" s="147"/>
      <c r="S650" s="147"/>
      <c r="T650" s="147"/>
    </row>
    <row r="651" spans="17:20" ht="14.25" customHeight="1" x14ac:dyDescent="0.3">
      <c r="Q651" s="147"/>
      <c r="R651" s="147"/>
      <c r="S651" s="147"/>
      <c r="T651" s="147"/>
    </row>
    <row r="652" spans="17:20" ht="14.25" customHeight="1" x14ac:dyDescent="0.3">
      <c r="Q652" s="147"/>
      <c r="R652" s="147"/>
      <c r="S652" s="147"/>
      <c r="T652" s="147"/>
    </row>
    <row r="653" spans="17:20" ht="14.25" customHeight="1" x14ac:dyDescent="0.3">
      <c r="Q653" s="147"/>
      <c r="R653" s="147"/>
      <c r="S653" s="147"/>
      <c r="T653" s="147"/>
    </row>
    <row r="654" spans="17:20" ht="14.25" customHeight="1" x14ac:dyDescent="0.3">
      <c r="Q654" s="147"/>
      <c r="R654" s="147"/>
      <c r="S654" s="147"/>
      <c r="T654" s="147"/>
    </row>
    <row r="655" spans="17:20" ht="14.25" customHeight="1" x14ac:dyDescent="0.3">
      <c r="Q655" s="147"/>
      <c r="R655" s="147"/>
      <c r="S655" s="147"/>
      <c r="T655" s="147"/>
    </row>
    <row r="656" spans="17:20" ht="14.25" customHeight="1" x14ac:dyDescent="0.3">
      <c r="Q656" s="147"/>
      <c r="R656" s="147"/>
      <c r="S656" s="147"/>
      <c r="T656" s="147"/>
    </row>
    <row r="657" spans="17:20" ht="14.25" customHeight="1" x14ac:dyDescent="0.3">
      <c r="Q657" s="147"/>
      <c r="R657" s="147"/>
      <c r="S657" s="147"/>
      <c r="T657" s="147"/>
    </row>
    <row r="658" spans="17:20" ht="14.25" customHeight="1" x14ac:dyDescent="0.3">
      <c r="Q658" s="147"/>
      <c r="R658" s="147"/>
      <c r="S658" s="147"/>
      <c r="T658" s="147"/>
    </row>
    <row r="659" spans="17:20" ht="14.25" customHeight="1" x14ac:dyDescent="0.3">
      <c r="Q659" s="147"/>
      <c r="R659" s="147"/>
      <c r="S659" s="147"/>
      <c r="T659" s="147"/>
    </row>
    <row r="660" spans="17:20" ht="14.25" customHeight="1" x14ac:dyDescent="0.3">
      <c r="Q660" s="147"/>
      <c r="R660" s="147"/>
      <c r="S660" s="147"/>
      <c r="T660" s="147"/>
    </row>
    <row r="661" spans="17:20" ht="14.25" customHeight="1" x14ac:dyDescent="0.3">
      <c r="Q661" s="147"/>
      <c r="R661" s="147"/>
      <c r="S661" s="147"/>
      <c r="T661" s="147"/>
    </row>
    <row r="662" spans="17:20" ht="14.25" customHeight="1" x14ac:dyDescent="0.3">
      <c r="Q662" s="147"/>
      <c r="R662" s="147"/>
      <c r="S662" s="147"/>
      <c r="T662" s="147"/>
    </row>
    <row r="663" spans="17:20" ht="14.25" customHeight="1" x14ac:dyDescent="0.3">
      <c r="Q663" s="147"/>
      <c r="R663" s="147"/>
      <c r="S663" s="147"/>
      <c r="T663" s="147"/>
    </row>
    <row r="664" spans="17:20" ht="14.25" customHeight="1" x14ac:dyDescent="0.3">
      <c r="Q664" s="147"/>
      <c r="R664" s="147"/>
      <c r="S664" s="147"/>
      <c r="T664" s="147"/>
    </row>
    <row r="665" spans="17:20" ht="14.25" customHeight="1" x14ac:dyDescent="0.3">
      <c r="Q665" s="147"/>
      <c r="R665" s="147"/>
      <c r="S665" s="147"/>
      <c r="T665" s="147"/>
    </row>
    <row r="666" spans="17:20" ht="14.25" customHeight="1" x14ac:dyDescent="0.3">
      <c r="Q666" s="147"/>
      <c r="R666" s="147"/>
      <c r="S666" s="147"/>
      <c r="T666" s="147"/>
    </row>
    <row r="667" spans="17:20" ht="14.25" customHeight="1" x14ac:dyDescent="0.3">
      <c r="Q667" s="147"/>
      <c r="R667" s="147"/>
      <c r="S667" s="147"/>
      <c r="T667" s="147"/>
    </row>
    <row r="668" spans="17:20" ht="14.25" customHeight="1" x14ac:dyDescent="0.3">
      <c r="Q668" s="147"/>
      <c r="R668" s="147"/>
      <c r="S668" s="147"/>
      <c r="T668" s="147"/>
    </row>
    <row r="669" spans="17:20" ht="14.25" customHeight="1" x14ac:dyDescent="0.3">
      <c r="Q669" s="147"/>
      <c r="R669" s="147"/>
      <c r="S669" s="147"/>
      <c r="T669" s="147"/>
    </row>
    <row r="670" spans="17:20" ht="14.25" customHeight="1" x14ac:dyDescent="0.3">
      <c r="Q670" s="147"/>
      <c r="R670" s="147"/>
      <c r="S670" s="147"/>
      <c r="T670" s="147"/>
    </row>
    <row r="671" spans="17:20" ht="14.25" customHeight="1" x14ac:dyDescent="0.3">
      <c r="Q671" s="147"/>
      <c r="R671" s="147"/>
      <c r="S671" s="147"/>
      <c r="T671" s="147"/>
    </row>
    <row r="672" spans="17:20" ht="14.25" customHeight="1" x14ac:dyDescent="0.3">
      <c r="Q672" s="147"/>
      <c r="R672" s="147"/>
      <c r="S672" s="147"/>
      <c r="T672" s="147"/>
    </row>
    <row r="673" spans="17:20" ht="14.25" customHeight="1" x14ac:dyDescent="0.3">
      <c r="Q673" s="147"/>
      <c r="R673" s="147"/>
      <c r="S673" s="147"/>
      <c r="T673" s="147"/>
    </row>
    <row r="674" spans="17:20" ht="14.25" customHeight="1" x14ac:dyDescent="0.3">
      <c r="Q674" s="147"/>
      <c r="R674" s="147"/>
      <c r="S674" s="147"/>
      <c r="T674" s="147"/>
    </row>
    <row r="675" spans="17:20" ht="14.25" customHeight="1" x14ac:dyDescent="0.3">
      <c r="Q675" s="147"/>
      <c r="R675" s="147"/>
      <c r="S675" s="147"/>
      <c r="T675" s="147"/>
    </row>
    <row r="676" spans="17:20" ht="14.25" customHeight="1" x14ac:dyDescent="0.3">
      <c r="Q676" s="147"/>
      <c r="R676" s="147"/>
      <c r="S676" s="147"/>
      <c r="T676" s="147"/>
    </row>
    <row r="677" spans="17:20" ht="14.25" customHeight="1" x14ac:dyDescent="0.3">
      <c r="Q677" s="147"/>
      <c r="R677" s="147"/>
      <c r="S677" s="147"/>
      <c r="T677" s="147"/>
    </row>
    <row r="678" spans="17:20" ht="14.25" customHeight="1" x14ac:dyDescent="0.3">
      <c r="Q678" s="147"/>
      <c r="R678" s="147"/>
      <c r="S678" s="147"/>
      <c r="T678" s="147"/>
    </row>
    <row r="679" spans="17:20" ht="14.25" customHeight="1" x14ac:dyDescent="0.3">
      <c r="Q679" s="147"/>
      <c r="R679" s="147"/>
      <c r="S679" s="147"/>
      <c r="T679" s="147"/>
    </row>
    <row r="680" spans="17:20" ht="14.25" customHeight="1" x14ac:dyDescent="0.3">
      <c r="Q680" s="147"/>
      <c r="R680" s="147"/>
      <c r="S680" s="147"/>
      <c r="T680" s="147"/>
    </row>
    <row r="681" spans="17:20" ht="14.25" customHeight="1" x14ac:dyDescent="0.3">
      <c r="Q681" s="147"/>
      <c r="R681" s="147"/>
      <c r="S681" s="147"/>
      <c r="T681" s="147"/>
    </row>
    <row r="682" spans="17:20" ht="14.25" customHeight="1" x14ac:dyDescent="0.3">
      <c r="Q682" s="147"/>
      <c r="R682" s="147"/>
      <c r="S682" s="147"/>
      <c r="T682" s="147"/>
    </row>
    <row r="683" spans="17:20" ht="14.25" customHeight="1" x14ac:dyDescent="0.3">
      <c r="Q683" s="147"/>
      <c r="R683" s="147"/>
      <c r="S683" s="147"/>
      <c r="T683" s="147"/>
    </row>
    <row r="684" spans="17:20" ht="14.25" customHeight="1" x14ac:dyDescent="0.3">
      <c r="Q684" s="147"/>
      <c r="R684" s="147"/>
      <c r="S684" s="147"/>
      <c r="T684" s="147"/>
    </row>
    <row r="685" spans="17:20" ht="14.25" customHeight="1" x14ac:dyDescent="0.3">
      <c r="Q685" s="147"/>
      <c r="R685" s="147"/>
      <c r="S685" s="147"/>
      <c r="T685" s="147"/>
    </row>
    <row r="686" spans="17:20" ht="14.25" customHeight="1" x14ac:dyDescent="0.3">
      <c r="Q686" s="147"/>
      <c r="R686" s="147"/>
      <c r="S686" s="147"/>
      <c r="T686" s="147"/>
    </row>
    <row r="687" spans="17:20" ht="14.25" customHeight="1" x14ac:dyDescent="0.3">
      <c r="Q687" s="147"/>
      <c r="R687" s="147"/>
      <c r="S687" s="147"/>
      <c r="T687" s="147"/>
    </row>
    <row r="688" spans="17:20" ht="14.25" customHeight="1" x14ac:dyDescent="0.3">
      <c r="Q688" s="147"/>
      <c r="R688" s="147"/>
      <c r="S688" s="147"/>
      <c r="T688" s="147"/>
    </row>
    <row r="689" spans="17:20" ht="14.25" customHeight="1" x14ac:dyDescent="0.3">
      <c r="Q689" s="147"/>
      <c r="R689" s="147"/>
      <c r="S689" s="147"/>
      <c r="T689" s="147"/>
    </row>
    <row r="690" spans="17:20" ht="14.25" customHeight="1" x14ac:dyDescent="0.3">
      <c r="Q690" s="147"/>
      <c r="R690" s="147"/>
      <c r="S690" s="147"/>
      <c r="T690" s="147"/>
    </row>
    <row r="691" spans="17:20" ht="14.25" customHeight="1" x14ac:dyDescent="0.3">
      <c r="Q691" s="147"/>
      <c r="R691" s="147"/>
      <c r="S691" s="147"/>
      <c r="T691" s="147"/>
    </row>
    <row r="692" spans="17:20" ht="14.25" customHeight="1" x14ac:dyDescent="0.3">
      <c r="Q692" s="147"/>
      <c r="R692" s="147"/>
      <c r="S692" s="147"/>
      <c r="T692" s="147"/>
    </row>
    <row r="693" spans="17:20" ht="14.25" customHeight="1" x14ac:dyDescent="0.3">
      <c r="Q693" s="147"/>
      <c r="R693" s="147"/>
      <c r="S693" s="147"/>
      <c r="T693" s="147"/>
    </row>
    <row r="694" spans="17:20" ht="14.25" customHeight="1" x14ac:dyDescent="0.3">
      <c r="Q694" s="147"/>
      <c r="R694" s="147"/>
      <c r="S694" s="147"/>
      <c r="T694" s="147"/>
    </row>
    <row r="695" spans="17:20" ht="14.25" customHeight="1" x14ac:dyDescent="0.3">
      <c r="Q695" s="147"/>
      <c r="R695" s="147"/>
      <c r="S695" s="147"/>
      <c r="T695" s="147"/>
    </row>
    <row r="696" spans="17:20" ht="14.25" customHeight="1" x14ac:dyDescent="0.3">
      <c r="Q696" s="147"/>
      <c r="R696" s="147"/>
      <c r="S696" s="147"/>
      <c r="T696" s="147"/>
    </row>
    <row r="697" spans="17:20" ht="14.25" customHeight="1" x14ac:dyDescent="0.3">
      <c r="Q697" s="147"/>
      <c r="R697" s="147"/>
      <c r="S697" s="147"/>
      <c r="T697" s="147"/>
    </row>
    <row r="698" spans="17:20" ht="14.25" customHeight="1" x14ac:dyDescent="0.3">
      <c r="Q698" s="147"/>
      <c r="R698" s="147"/>
      <c r="S698" s="147"/>
      <c r="T698" s="147"/>
    </row>
    <row r="699" spans="17:20" ht="14.25" customHeight="1" x14ac:dyDescent="0.3">
      <c r="Q699" s="147"/>
      <c r="R699" s="147"/>
      <c r="S699" s="147"/>
      <c r="T699" s="147"/>
    </row>
    <row r="700" spans="17:20" ht="14.25" customHeight="1" x14ac:dyDescent="0.3">
      <c r="Q700" s="147"/>
      <c r="R700" s="147"/>
      <c r="S700" s="147"/>
      <c r="T700" s="147"/>
    </row>
    <row r="701" spans="17:20" ht="14.25" customHeight="1" x14ac:dyDescent="0.3">
      <c r="Q701" s="147"/>
      <c r="R701" s="147"/>
      <c r="S701" s="147"/>
      <c r="T701" s="147"/>
    </row>
    <row r="702" spans="17:20" ht="14.25" customHeight="1" x14ac:dyDescent="0.3">
      <c r="Q702" s="147"/>
      <c r="R702" s="147"/>
      <c r="S702" s="147"/>
      <c r="T702" s="147"/>
    </row>
    <row r="703" spans="17:20" ht="14.25" customHeight="1" x14ac:dyDescent="0.3">
      <c r="Q703" s="147"/>
      <c r="R703" s="147"/>
      <c r="S703" s="147"/>
      <c r="T703" s="147"/>
    </row>
    <row r="704" spans="17:20" ht="14.25" customHeight="1" x14ac:dyDescent="0.3">
      <c r="Q704" s="147"/>
      <c r="R704" s="147"/>
      <c r="S704" s="147"/>
      <c r="T704" s="147"/>
    </row>
    <row r="705" spans="17:20" ht="14.25" customHeight="1" x14ac:dyDescent="0.3">
      <c r="Q705" s="147"/>
      <c r="R705" s="147"/>
      <c r="S705" s="147"/>
      <c r="T705" s="147"/>
    </row>
    <row r="706" spans="17:20" ht="14.25" customHeight="1" x14ac:dyDescent="0.3">
      <c r="Q706" s="147"/>
      <c r="R706" s="147"/>
      <c r="S706" s="147"/>
      <c r="T706" s="147"/>
    </row>
    <row r="707" spans="17:20" ht="14.25" customHeight="1" x14ac:dyDescent="0.3">
      <c r="Q707" s="147"/>
      <c r="R707" s="147"/>
      <c r="S707" s="147"/>
      <c r="T707" s="147"/>
    </row>
    <row r="708" spans="17:20" ht="14.25" customHeight="1" x14ac:dyDescent="0.3">
      <c r="Q708" s="147"/>
      <c r="R708" s="147"/>
      <c r="S708" s="147"/>
      <c r="T708" s="147"/>
    </row>
    <row r="709" spans="17:20" ht="14.25" customHeight="1" x14ac:dyDescent="0.3">
      <c r="Q709" s="147"/>
      <c r="R709" s="147"/>
      <c r="S709" s="147"/>
      <c r="T709" s="147"/>
    </row>
    <row r="710" spans="17:20" ht="14.25" customHeight="1" x14ac:dyDescent="0.3">
      <c r="Q710" s="147"/>
      <c r="R710" s="147"/>
      <c r="S710" s="147"/>
      <c r="T710" s="147"/>
    </row>
    <row r="711" spans="17:20" ht="14.25" customHeight="1" x14ac:dyDescent="0.3">
      <c r="Q711" s="147"/>
      <c r="R711" s="147"/>
      <c r="S711" s="147"/>
      <c r="T711" s="147"/>
    </row>
    <row r="712" spans="17:20" ht="14.25" customHeight="1" x14ac:dyDescent="0.3">
      <c r="Q712" s="147"/>
      <c r="R712" s="147"/>
      <c r="S712" s="147"/>
      <c r="T712" s="147"/>
    </row>
    <row r="713" spans="17:20" ht="14.25" customHeight="1" x14ac:dyDescent="0.3">
      <c r="Q713" s="147"/>
      <c r="R713" s="147"/>
      <c r="S713" s="147"/>
      <c r="T713" s="147"/>
    </row>
    <row r="714" spans="17:20" ht="14.25" customHeight="1" x14ac:dyDescent="0.3">
      <c r="Q714" s="147"/>
      <c r="R714" s="147"/>
      <c r="S714" s="147"/>
      <c r="T714" s="147"/>
    </row>
    <row r="715" spans="17:20" ht="14.25" customHeight="1" x14ac:dyDescent="0.3">
      <c r="Q715" s="147"/>
      <c r="R715" s="147"/>
      <c r="S715" s="147"/>
      <c r="T715" s="147"/>
    </row>
    <row r="716" spans="17:20" ht="14.25" customHeight="1" x14ac:dyDescent="0.3">
      <c r="Q716" s="147"/>
      <c r="R716" s="147"/>
      <c r="S716" s="147"/>
      <c r="T716" s="147"/>
    </row>
    <row r="717" spans="17:20" ht="14.25" customHeight="1" x14ac:dyDescent="0.3">
      <c r="Q717" s="147"/>
      <c r="R717" s="147"/>
      <c r="S717" s="147"/>
      <c r="T717" s="147"/>
    </row>
    <row r="718" spans="17:20" ht="14.25" customHeight="1" x14ac:dyDescent="0.3">
      <c r="Q718" s="147"/>
      <c r="R718" s="147"/>
      <c r="S718" s="147"/>
      <c r="T718" s="147"/>
    </row>
    <row r="719" spans="17:20" ht="14.25" customHeight="1" x14ac:dyDescent="0.3">
      <c r="Q719" s="147"/>
      <c r="R719" s="147"/>
      <c r="S719" s="147"/>
      <c r="T719" s="147"/>
    </row>
    <row r="720" spans="17:20" ht="14.25" customHeight="1" x14ac:dyDescent="0.3">
      <c r="Q720" s="147"/>
      <c r="R720" s="147"/>
      <c r="S720" s="147"/>
      <c r="T720" s="147"/>
    </row>
    <row r="721" spans="17:20" ht="14.25" customHeight="1" x14ac:dyDescent="0.3">
      <c r="Q721" s="147"/>
      <c r="R721" s="147"/>
      <c r="S721" s="147"/>
      <c r="T721" s="147"/>
    </row>
    <row r="722" spans="17:20" ht="14.25" customHeight="1" x14ac:dyDescent="0.3">
      <c r="Q722" s="147"/>
      <c r="R722" s="147"/>
      <c r="S722" s="147"/>
      <c r="T722" s="147"/>
    </row>
    <row r="723" spans="17:20" ht="14.25" customHeight="1" x14ac:dyDescent="0.3">
      <c r="Q723" s="147"/>
      <c r="R723" s="147"/>
      <c r="S723" s="147"/>
      <c r="T723" s="147"/>
    </row>
    <row r="724" spans="17:20" ht="14.25" customHeight="1" x14ac:dyDescent="0.3">
      <c r="Q724" s="147"/>
      <c r="R724" s="147"/>
      <c r="S724" s="147"/>
      <c r="T724" s="147"/>
    </row>
    <row r="725" spans="17:20" ht="14.25" customHeight="1" x14ac:dyDescent="0.3">
      <c r="Q725" s="147"/>
      <c r="R725" s="147"/>
      <c r="S725" s="147"/>
      <c r="T725" s="147"/>
    </row>
    <row r="726" spans="17:20" ht="14.25" customHeight="1" x14ac:dyDescent="0.3">
      <c r="Q726" s="147"/>
      <c r="R726" s="147"/>
      <c r="S726" s="147"/>
      <c r="T726" s="147"/>
    </row>
    <row r="727" spans="17:20" ht="14.25" customHeight="1" x14ac:dyDescent="0.3">
      <c r="Q727" s="147"/>
      <c r="R727" s="147"/>
      <c r="S727" s="147"/>
      <c r="T727" s="147"/>
    </row>
    <row r="728" spans="17:20" ht="14.25" customHeight="1" x14ac:dyDescent="0.3">
      <c r="Q728" s="147"/>
      <c r="R728" s="147"/>
      <c r="S728" s="147"/>
      <c r="T728" s="147"/>
    </row>
    <row r="729" spans="17:20" ht="14.25" customHeight="1" x14ac:dyDescent="0.3">
      <c r="Q729" s="147"/>
      <c r="R729" s="147"/>
      <c r="S729" s="147"/>
      <c r="T729" s="147"/>
    </row>
    <row r="730" spans="17:20" ht="14.25" customHeight="1" x14ac:dyDescent="0.3">
      <c r="Q730" s="147"/>
      <c r="R730" s="147"/>
      <c r="S730" s="147"/>
      <c r="T730" s="147"/>
    </row>
    <row r="731" spans="17:20" ht="14.25" customHeight="1" x14ac:dyDescent="0.3">
      <c r="Q731" s="147"/>
      <c r="R731" s="147"/>
      <c r="S731" s="147"/>
      <c r="T731" s="147"/>
    </row>
    <row r="732" spans="17:20" ht="14.25" customHeight="1" x14ac:dyDescent="0.3">
      <c r="Q732" s="147"/>
      <c r="R732" s="147"/>
      <c r="S732" s="147"/>
      <c r="T732" s="147"/>
    </row>
    <row r="733" spans="17:20" ht="14.25" customHeight="1" x14ac:dyDescent="0.3">
      <c r="Q733" s="147"/>
      <c r="R733" s="147"/>
      <c r="S733" s="147"/>
      <c r="T733" s="147"/>
    </row>
    <row r="734" spans="17:20" ht="14.25" customHeight="1" x14ac:dyDescent="0.3">
      <c r="Q734" s="147"/>
      <c r="R734" s="147"/>
      <c r="S734" s="147"/>
      <c r="T734" s="147"/>
    </row>
    <row r="735" spans="17:20" ht="14.25" customHeight="1" x14ac:dyDescent="0.3">
      <c r="Q735" s="147"/>
      <c r="R735" s="147"/>
      <c r="S735" s="147"/>
      <c r="T735" s="147"/>
    </row>
    <row r="736" spans="17:20" ht="14.25" customHeight="1" x14ac:dyDescent="0.3">
      <c r="Q736" s="147"/>
      <c r="R736" s="147"/>
      <c r="S736" s="147"/>
      <c r="T736" s="147"/>
    </row>
    <row r="737" spans="17:20" ht="14.25" customHeight="1" x14ac:dyDescent="0.3">
      <c r="Q737" s="147"/>
      <c r="R737" s="147"/>
      <c r="S737" s="147"/>
      <c r="T737" s="147"/>
    </row>
    <row r="738" spans="17:20" ht="14.25" customHeight="1" x14ac:dyDescent="0.3">
      <c r="Q738" s="147"/>
      <c r="R738" s="147"/>
      <c r="S738" s="147"/>
      <c r="T738" s="147"/>
    </row>
    <row r="739" spans="17:20" ht="14.25" customHeight="1" x14ac:dyDescent="0.3">
      <c r="Q739" s="147"/>
      <c r="R739" s="147"/>
      <c r="S739" s="147"/>
      <c r="T739" s="147"/>
    </row>
    <row r="740" spans="17:20" ht="14.25" customHeight="1" x14ac:dyDescent="0.3">
      <c r="Q740" s="147"/>
      <c r="R740" s="147"/>
      <c r="S740" s="147"/>
      <c r="T740" s="147"/>
    </row>
    <row r="741" spans="17:20" ht="14.25" customHeight="1" x14ac:dyDescent="0.3">
      <c r="Q741" s="147"/>
      <c r="R741" s="147"/>
      <c r="S741" s="147"/>
      <c r="T741" s="147"/>
    </row>
    <row r="742" spans="17:20" ht="14.25" customHeight="1" x14ac:dyDescent="0.3">
      <c r="Q742" s="147"/>
      <c r="R742" s="147"/>
      <c r="S742" s="147"/>
      <c r="T742" s="147"/>
    </row>
    <row r="743" spans="17:20" ht="14.25" customHeight="1" x14ac:dyDescent="0.3">
      <c r="Q743" s="147"/>
      <c r="R743" s="147"/>
      <c r="S743" s="147"/>
      <c r="T743" s="147"/>
    </row>
    <row r="744" spans="17:20" ht="14.25" customHeight="1" x14ac:dyDescent="0.3">
      <c r="Q744" s="147"/>
      <c r="R744" s="147"/>
      <c r="S744" s="147"/>
      <c r="T744" s="147"/>
    </row>
    <row r="745" spans="17:20" ht="14.25" customHeight="1" x14ac:dyDescent="0.3">
      <c r="Q745" s="147"/>
      <c r="R745" s="147"/>
      <c r="S745" s="147"/>
      <c r="T745" s="147"/>
    </row>
    <row r="746" spans="17:20" ht="14.25" customHeight="1" x14ac:dyDescent="0.3">
      <c r="Q746" s="147"/>
      <c r="R746" s="147"/>
      <c r="S746" s="147"/>
      <c r="T746" s="147"/>
    </row>
    <row r="747" spans="17:20" ht="14.25" customHeight="1" x14ac:dyDescent="0.3">
      <c r="Q747" s="147"/>
      <c r="R747" s="147"/>
      <c r="S747" s="147"/>
      <c r="T747" s="147"/>
    </row>
    <row r="748" spans="17:20" ht="14.25" customHeight="1" x14ac:dyDescent="0.3">
      <c r="Q748" s="147"/>
      <c r="R748" s="147"/>
      <c r="S748" s="147"/>
      <c r="T748" s="147"/>
    </row>
    <row r="749" spans="17:20" ht="14.25" customHeight="1" x14ac:dyDescent="0.3">
      <c r="Q749" s="147"/>
      <c r="R749" s="147"/>
      <c r="S749" s="147"/>
      <c r="T749" s="147"/>
    </row>
    <row r="750" spans="17:20" ht="14.25" customHeight="1" x14ac:dyDescent="0.3">
      <c r="Q750" s="147"/>
      <c r="R750" s="147"/>
      <c r="S750" s="147"/>
      <c r="T750" s="147"/>
    </row>
    <row r="751" spans="17:20" ht="14.25" customHeight="1" x14ac:dyDescent="0.3">
      <c r="Q751" s="147"/>
      <c r="R751" s="147"/>
      <c r="S751" s="147"/>
      <c r="T751" s="147"/>
    </row>
    <row r="752" spans="17:20" ht="14.25" customHeight="1" x14ac:dyDescent="0.3">
      <c r="Q752" s="147"/>
      <c r="R752" s="147"/>
      <c r="S752" s="147"/>
      <c r="T752" s="147"/>
    </row>
    <row r="753" spans="17:20" ht="14.25" customHeight="1" x14ac:dyDescent="0.3">
      <c r="Q753" s="147"/>
      <c r="R753" s="147"/>
      <c r="S753" s="147"/>
      <c r="T753" s="147"/>
    </row>
    <row r="754" spans="17:20" ht="14.25" customHeight="1" x14ac:dyDescent="0.3">
      <c r="Q754" s="147"/>
      <c r="R754" s="147"/>
      <c r="S754" s="147"/>
      <c r="T754" s="147"/>
    </row>
    <row r="755" spans="17:20" ht="14.25" customHeight="1" x14ac:dyDescent="0.3">
      <c r="Q755" s="147"/>
      <c r="R755" s="147"/>
      <c r="S755" s="147"/>
      <c r="T755" s="147"/>
    </row>
    <row r="756" spans="17:20" ht="14.25" customHeight="1" x14ac:dyDescent="0.3">
      <c r="Q756" s="147"/>
      <c r="R756" s="147"/>
      <c r="S756" s="147"/>
      <c r="T756" s="147"/>
    </row>
    <row r="757" spans="17:20" ht="14.25" customHeight="1" x14ac:dyDescent="0.3">
      <c r="Q757" s="147"/>
      <c r="R757" s="147"/>
      <c r="S757" s="147"/>
      <c r="T757" s="147"/>
    </row>
    <row r="758" spans="17:20" ht="14.25" customHeight="1" x14ac:dyDescent="0.3">
      <c r="Q758" s="147"/>
      <c r="R758" s="147"/>
      <c r="S758" s="147"/>
      <c r="T758" s="147"/>
    </row>
    <row r="759" spans="17:20" ht="14.25" customHeight="1" x14ac:dyDescent="0.3">
      <c r="Q759" s="147"/>
      <c r="R759" s="147"/>
      <c r="S759" s="147"/>
      <c r="T759" s="147"/>
    </row>
    <row r="760" spans="17:20" ht="14.25" customHeight="1" x14ac:dyDescent="0.3">
      <c r="Q760" s="147"/>
      <c r="R760" s="147"/>
      <c r="S760" s="147"/>
      <c r="T760" s="147"/>
    </row>
    <row r="761" spans="17:20" ht="14.25" customHeight="1" x14ac:dyDescent="0.3">
      <c r="Q761" s="147"/>
      <c r="R761" s="147"/>
      <c r="S761" s="147"/>
      <c r="T761" s="147"/>
    </row>
    <row r="762" spans="17:20" ht="14.25" customHeight="1" x14ac:dyDescent="0.3">
      <c r="Q762" s="147"/>
      <c r="R762" s="147"/>
      <c r="S762" s="147"/>
      <c r="T762" s="147"/>
    </row>
    <row r="763" spans="17:20" ht="14.25" customHeight="1" x14ac:dyDescent="0.3">
      <c r="Q763" s="147"/>
      <c r="R763" s="147"/>
      <c r="S763" s="147"/>
      <c r="T763" s="147"/>
    </row>
    <row r="764" spans="17:20" ht="14.25" customHeight="1" x14ac:dyDescent="0.3">
      <c r="Q764" s="147"/>
      <c r="R764" s="147"/>
      <c r="S764" s="147"/>
      <c r="T764" s="147"/>
    </row>
    <row r="765" spans="17:20" ht="14.25" customHeight="1" x14ac:dyDescent="0.3">
      <c r="Q765" s="147"/>
      <c r="R765" s="147"/>
      <c r="S765" s="147"/>
      <c r="T765" s="147"/>
    </row>
    <row r="766" spans="17:20" ht="14.25" customHeight="1" x14ac:dyDescent="0.3">
      <c r="Q766" s="147"/>
      <c r="R766" s="147"/>
      <c r="S766" s="147"/>
      <c r="T766" s="147"/>
    </row>
    <row r="767" spans="17:20" ht="14.25" customHeight="1" x14ac:dyDescent="0.3">
      <c r="Q767" s="147"/>
      <c r="R767" s="147"/>
      <c r="S767" s="147"/>
      <c r="T767" s="147"/>
    </row>
    <row r="768" spans="17:20" ht="14.25" customHeight="1" x14ac:dyDescent="0.3">
      <c r="Q768" s="147"/>
      <c r="R768" s="147"/>
      <c r="S768" s="147"/>
      <c r="T768" s="147"/>
    </row>
    <row r="769" spans="17:20" ht="14.25" customHeight="1" x14ac:dyDescent="0.3">
      <c r="Q769" s="147"/>
      <c r="R769" s="147"/>
      <c r="S769" s="147"/>
      <c r="T769" s="147"/>
    </row>
    <row r="770" spans="17:20" ht="14.25" customHeight="1" x14ac:dyDescent="0.3">
      <c r="Q770" s="147"/>
      <c r="R770" s="147"/>
      <c r="S770" s="147"/>
      <c r="T770" s="147"/>
    </row>
    <row r="771" spans="17:20" ht="14.25" customHeight="1" x14ac:dyDescent="0.3">
      <c r="Q771" s="147"/>
      <c r="R771" s="147"/>
      <c r="S771" s="147"/>
      <c r="T771" s="147"/>
    </row>
    <row r="772" spans="17:20" ht="14.25" customHeight="1" x14ac:dyDescent="0.3">
      <c r="Q772" s="147"/>
      <c r="R772" s="147"/>
      <c r="S772" s="147"/>
      <c r="T772" s="147"/>
    </row>
    <row r="773" spans="17:20" ht="14.25" customHeight="1" x14ac:dyDescent="0.3">
      <c r="Q773" s="147"/>
      <c r="R773" s="147"/>
      <c r="S773" s="147"/>
      <c r="T773" s="147"/>
    </row>
    <row r="774" spans="17:20" ht="14.25" customHeight="1" x14ac:dyDescent="0.3">
      <c r="Q774" s="147"/>
      <c r="R774" s="147"/>
      <c r="S774" s="147"/>
      <c r="T774" s="147"/>
    </row>
    <row r="775" spans="17:20" ht="14.25" customHeight="1" x14ac:dyDescent="0.3">
      <c r="Q775" s="147"/>
      <c r="R775" s="147"/>
      <c r="S775" s="147"/>
      <c r="T775" s="147"/>
    </row>
    <row r="776" spans="17:20" ht="14.25" customHeight="1" x14ac:dyDescent="0.3">
      <c r="Q776" s="147"/>
      <c r="R776" s="147"/>
      <c r="S776" s="147"/>
      <c r="T776" s="147"/>
    </row>
    <row r="777" spans="17:20" ht="14.25" customHeight="1" x14ac:dyDescent="0.3">
      <c r="Q777" s="147"/>
      <c r="R777" s="147"/>
      <c r="S777" s="147"/>
      <c r="T777" s="147"/>
    </row>
    <row r="778" spans="17:20" ht="14.25" customHeight="1" x14ac:dyDescent="0.3">
      <c r="Q778" s="147"/>
      <c r="R778" s="147"/>
      <c r="S778" s="147"/>
      <c r="T778" s="147"/>
    </row>
    <row r="779" spans="17:20" ht="14.25" customHeight="1" x14ac:dyDescent="0.3">
      <c r="Q779" s="147"/>
      <c r="R779" s="147"/>
      <c r="S779" s="147"/>
      <c r="T779" s="147"/>
    </row>
    <row r="780" spans="17:20" ht="14.25" customHeight="1" x14ac:dyDescent="0.3">
      <c r="Q780" s="147"/>
      <c r="R780" s="147"/>
      <c r="S780" s="147"/>
      <c r="T780" s="147"/>
    </row>
    <row r="781" spans="17:20" ht="14.25" customHeight="1" x14ac:dyDescent="0.3">
      <c r="Q781" s="147"/>
      <c r="R781" s="147"/>
      <c r="S781" s="147"/>
      <c r="T781" s="147"/>
    </row>
    <row r="782" spans="17:20" ht="14.25" customHeight="1" x14ac:dyDescent="0.3">
      <c r="Q782" s="147"/>
      <c r="R782" s="147"/>
      <c r="S782" s="147"/>
      <c r="T782" s="147"/>
    </row>
    <row r="783" spans="17:20" ht="14.25" customHeight="1" x14ac:dyDescent="0.3">
      <c r="Q783" s="147"/>
      <c r="R783" s="147"/>
      <c r="S783" s="147"/>
      <c r="T783" s="147"/>
    </row>
    <row r="784" spans="17:20" ht="14.25" customHeight="1" x14ac:dyDescent="0.3">
      <c r="Q784" s="147"/>
      <c r="R784" s="147"/>
      <c r="S784" s="147"/>
      <c r="T784" s="147"/>
    </row>
    <row r="785" spans="17:20" ht="14.25" customHeight="1" x14ac:dyDescent="0.3">
      <c r="Q785" s="147"/>
      <c r="R785" s="147"/>
      <c r="S785" s="147"/>
      <c r="T785" s="147"/>
    </row>
    <row r="786" spans="17:20" ht="14.25" customHeight="1" x14ac:dyDescent="0.3">
      <c r="Q786" s="147"/>
      <c r="R786" s="147"/>
      <c r="S786" s="147"/>
      <c r="T786" s="147"/>
    </row>
    <row r="787" spans="17:20" ht="14.25" customHeight="1" x14ac:dyDescent="0.3">
      <c r="Q787" s="147"/>
      <c r="R787" s="147"/>
      <c r="S787" s="147"/>
      <c r="T787" s="147"/>
    </row>
    <row r="788" spans="17:20" ht="14.25" customHeight="1" x14ac:dyDescent="0.3">
      <c r="Q788" s="147"/>
      <c r="R788" s="147"/>
      <c r="S788" s="147"/>
      <c r="T788" s="147"/>
    </row>
    <row r="789" spans="17:20" ht="14.25" customHeight="1" x14ac:dyDescent="0.3">
      <c r="Q789" s="147"/>
      <c r="R789" s="147"/>
      <c r="S789" s="147"/>
      <c r="T789" s="147"/>
    </row>
    <row r="790" spans="17:20" ht="14.25" customHeight="1" x14ac:dyDescent="0.3">
      <c r="Q790" s="147"/>
      <c r="R790" s="147"/>
      <c r="S790" s="147"/>
      <c r="T790" s="147"/>
    </row>
    <row r="791" spans="17:20" ht="14.25" customHeight="1" x14ac:dyDescent="0.3">
      <c r="Q791" s="147"/>
      <c r="R791" s="147"/>
      <c r="S791" s="147"/>
      <c r="T791" s="147"/>
    </row>
    <row r="792" spans="17:20" ht="14.25" customHeight="1" x14ac:dyDescent="0.3">
      <c r="Q792" s="147"/>
      <c r="R792" s="147"/>
      <c r="S792" s="147"/>
      <c r="T792" s="147"/>
    </row>
    <row r="793" spans="17:20" ht="14.25" customHeight="1" x14ac:dyDescent="0.3">
      <c r="Q793" s="147"/>
      <c r="R793" s="147"/>
      <c r="S793" s="147"/>
      <c r="T793" s="147"/>
    </row>
    <row r="794" spans="17:20" ht="14.25" customHeight="1" x14ac:dyDescent="0.3">
      <c r="Q794" s="147"/>
      <c r="R794" s="147"/>
      <c r="S794" s="147"/>
      <c r="T794" s="147"/>
    </row>
    <row r="795" spans="17:20" ht="14.25" customHeight="1" x14ac:dyDescent="0.3">
      <c r="Q795" s="147"/>
      <c r="R795" s="147"/>
      <c r="S795" s="147"/>
      <c r="T795" s="147"/>
    </row>
    <row r="796" spans="17:20" ht="14.25" customHeight="1" x14ac:dyDescent="0.3">
      <c r="Q796" s="147"/>
      <c r="R796" s="147"/>
      <c r="S796" s="147"/>
      <c r="T796" s="147"/>
    </row>
    <row r="797" spans="17:20" ht="14.25" customHeight="1" x14ac:dyDescent="0.3">
      <c r="Q797" s="147"/>
      <c r="R797" s="147"/>
      <c r="S797" s="147"/>
      <c r="T797" s="147"/>
    </row>
    <row r="798" spans="17:20" ht="14.25" customHeight="1" x14ac:dyDescent="0.3">
      <c r="Q798" s="147"/>
      <c r="R798" s="147"/>
      <c r="S798" s="147"/>
      <c r="T798" s="147"/>
    </row>
    <row r="799" spans="17:20" ht="14.25" customHeight="1" x14ac:dyDescent="0.3">
      <c r="Q799" s="147"/>
      <c r="R799" s="147"/>
      <c r="S799" s="147"/>
      <c r="T799" s="147"/>
    </row>
    <row r="800" spans="17:20" ht="14.25" customHeight="1" x14ac:dyDescent="0.3">
      <c r="Q800" s="147"/>
      <c r="R800" s="147"/>
      <c r="S800" s="147"/>
      <c r="T800" s="147"/>
    </row>
    <row r="801" spans="17:20" ht="14.25" customHeight="1" x14ac:dyDescent="0.3">
      <c r="Q801" s="147"/>
      <c r="R801" s="147"/>
      <c r="S801" s="147"/>
      <c r="T801" s="147"/>
    </row>
    <row r="802" spans="17:20" ht="14.25" customHeight="1" x14ac:dyDescent="0.3">
      <c r="Q802" s="147"/>
      <c r="R802" s="147"/>
      <c r="S802" s="147"/>
      <c r="T802" s="147"/>
    </row>
    <row r="803" spans="17:20" ht="14.25" customHeight="1" x14ac:dyDescent="0.3">
      <c r="Q803" s="147"/>
      <c r="R803" s="147"/>
      <c r="S803" s="147"/>
      <c r="T803" s="147"/>
    </row>
    <row r="804" spans="17:20" ht="14.25" customHeight="1" x14ac:dyDescent="0.3">
      <c r="Q804" s="147"/>
      <c r="R804" s="147"/>
      <c r="S804" s="147"/>
      <c r="T804" s="147"/>
    </row>
    <row r="805" spans="17:20" ht="14.25" customHeight="1" x14ac:dyDescent="0.3">
      <c r="Q805" s="147"/>
      <c r="R805" s="147"/>
      <c r="S805" s="147"/>
      <c r="T805" s="147"/>
    </row>
    <row r="806" spans="17:20" ht="14.25" customHeight="1" x14ac:dyDescent="0.3">
      <c r="Q806" s="147"/>
      <c r="R806" s="147"/>
      <c r="S806" s="147"/>
      <c r="T806" s="147"/>
    </row>
    <row r="807" spans="17:20" ht="14.25" customHeight="1" x14ac:dyDescent="0.3">
      <c r="Q807" s="147"/>
      <c r="R807" s="147"/>
      <c r="S807" s="147"/>
      <c r="T807" s="147"/>
    </row>
    <row r="808" spans="17:20" ht="14.25" customHeight="1" x14ac:dyDescent="0.3">
      <c r="Q808" s="147"/>
      <c r="R808" s="147"/>
      <c r="S808" s="147"/>
      <c r="T808" s="147"/>
    </row>
    <row r="809" spans="17:20" ht="14.25" customHeight="1" x14ac:dyDescent="0.3">
      <c r="Q809" s="147"/>
      <c r="R809" s="147"/>
      <c r="S809" s="147"/>
      <c r="T809" s="147"/>
    </row>
    <row r="810" spans="17:20" ht="14.25" customHeight="1" x14ac:dyDescent="0.3">
      <c r="Q810" s="147"/>
      <c r="R810" s="147"/>
      <c r="S810" s="147"/>
      <c r="T810" s="147"/>
    </row>
    <row r="811" spans="17:20" ht="14.25" customHeight="1" x14ac:dyDescent="0.3">
      <c r="Q811" s="147"/>
      <c r="R811" s="147"/>
      <c r="S811" s="147"/>
      <c r="T811" s="147"/>
    </row>
    <row r="812" spans="17:20" ht="14.25" customHeight="1" x14ac:dyDescent="0.3">
      <c r="Q812" s="147"/>
      <c r="R812" s="147"/>
      <c r="S812" s="147"/>
      <c r="T812" s="147"/>
    </row>
    <row r="813" spans="17:20" ht="14.25" customHeight="1" x14ac:dyDescent="0.3">
      <c r="Q813" s="147"/>
      <c r="R813" s="147"/>
      <c r="S813" s="147"/>
      <c r="T813" s="147"/>
    </row>
    <row r="814" spans="17:20" ht="14.25" customHeight="1" x14ac:dyDescent="0.3">
      <c r="Q814" s="147"/>
      <c r="R814" s="147"/>
      <c r="S814" s="147"/>
      <c r="T814" s="147"/>
    </row>
    <row r="815" spans="17:20" ht="14.25" customHeight="1" x14ac:dyDescent="0.3">
      <c r="Q815" s="147"/>
      <c r="R815" s="147"/>
      <c r="S815" s="147"/>
      <c r="T815" s="147"/>
    </row>
    <row r="816" spans="17:20" ht="14.25" customHeight="1" x14ac:dyDescent="0.3">
      <c r="Q816" s="147"/>
      <c r="R816" s="147"/>
      <c r="S816" s="147"/>
      <c r="T816" s="147"/>
    </row>
    <row r="817" spans="17:20" ht="14.25" customHeight="1" x14ac:dyDescent="0.3">
      <c r="Q817" s="147"/>
      <c r="R817" s="147"/>
      <c r="S817" s="147"/>
      <c r="T817" s="147"/>
    </row>
    <row r="818" spans="17:20" ht="14.25" customHeight="1" x14ac:dyDescent="0.3">
      <c r="Q818" s="147"/>
      <c r="R818" s="147"/>
      <c r="S818" s="147"/>
      <c r="T818" s="147"/>
    </row>
    <row r="819" spans="17:20" ht="14.25" customHeight="1" x14ac:dyDescent="0.3">
      <c r="Q819" s="147"/>
      <c r="R819" s="147"/>
      <c r="S819" s="147"/>
      <c r="T819" s="147"/>
    </row>
    <row r="820" spans="17:20" ht="14.25" customHeight="1" x14ac:dyDescent="0.3">
      <c r="Q820" s="147"/>
      <c r="R820" s="147"/>
      <c r="S820" s="147"/>
      <c r="T820" s="147"/>
    </row>
    <row r="821" spans="17:20" ht="14.25" customHeight="1" x14ac:dyDescent="0.3">
      <c r="Q821" s="147"/>
      <c r="R821" s="147"/>
      <c r="S821" s="147"/>
      <c r="T821" s="147"/>
    </row>
    <row r="822" spans="17:20" ht="14.25" customHeight="1" x14ac:dyDescent="0.3">
      <c r="Q822" s="147"/>
      <c r="R822" s="147"/>
      <c r="S822" s="147"/>
      <c r="T822" s="147"/>
    </row>
    <row r="823" spans="17:20" ht="14.25" customHeight="1" x14ac:dyDescent="0.3">
      <c r="Q823" s="147"/>
      <c r="R823" s="147"/>
      <c r="S823" s="147"/>
      <c r="T823" s="147"/>
    </row>
    <row r="824" spans="17:20" ht="14.25" customHeight="1" x14ac:dyDescent="0.3">
      <c r="Q824" s="147"/>
      <c r="R824" s="147"/>
      <c r="S824" s="147"/>
      <c r="T824" s="147"/>
    </row>
    <row r="825" spans="17:20" ht="14.25" customHeight="1" x14ac:dyDescent="0.3">
      <c r="Q825" s="147"/>
      <c r="R825" s="147"/>
      <c r="S825" s="147"/>
      <c r="T825" s="147"/>
    </row>
    <row r="826" spans="17:20" ht="14.25" customHeight="1" x14ac:dyDescent="0.3">
      <c r="Q826" s="147"/>
      <c r="R826" s="147"/>
      <c r="S826" s="147"/>
      <c r="T826" s="147"/>
    </row>
    <row r="827" spans="17:20" ht="14.25" customHeight="1" x14ac:dyDescent="0.3">
      <c r="Q827" s="147"/>
      <c r="R827" s="147"/>
      <c r="S827" s="147"/>
      <c r="T827" s="147"/>
    </row>
    <row r="828" spans="17:20" ht="14.25" customHeight="1" x14ac:dyDescent="0.3">
      <c r="Q828" s="147"/>
      <c r="R828" s="147"/>
      <c r="S828" s="147"/>
      <c r="T828" s="147"/>
    </row>
    <row r="829" spans="17:20" ht="14.25" customHeight="1" x14ac:dyDescent="0.3">
      <c r="Q829" s="147"/>
      <c r="R829" s="147"/>
      <c r="S829" s="147"/>
      <c r="T829" s="147"/>
    </row>
    <row r="830" spans="17:20" ht="14.25" customHeight="1" x14ac:dyDescent="0.3">
      <c r="Q830" s="147"/>
      <c r="R830" s="147"/>
      <c r="S830" s="147"/>
      <c r="T830" s="147"/>
    </row>
    <row r="831" spans="17:20" ht="14.25" customHeight="1" x14ac:dyDescent="0.3">
      <c r="Q831" s="147"/>
      <c r="R831" s="147"/>
      <c r="S831" s="147"/>
      <c r="T831" s="147"/>
    </row>
    <row r="832" spans="17:20" ht="14.25" customHeight="1" x14ac:dyDescent="0.3">
      <c r="Q832" s="147"/>
      <c r="R832" s="147"/>
      <c r="S832" s="147"/>
      <c r="T832" s="147"/>
    </row>
    <row r="833" spans="17:20" ht="14.25" customHeight="1" x14ac:dyDescent="0.3">
      <c r="Q833" s="147"/>
      <c r="R833" s="147"/>
      <c r="S833" s="147"/>
      <c r="T833" s="147"/>
    </row>
    <row r="834" spans="17:20" ht="14.25" customHeight="1" x14ac:dyDescent="0.3">
      <c r="Q834" s="147"/>
      <c r="R834" s="147"/>
      <c r="S834" s="147"/>
      <c r="T834" s="147"/>
    </row>
    <row r="835" spans="17:20" ht="14.25" customHeight="1" x14ac:dyDescent="0.3">
      <c r="Q835" s="147"/>
      <c r="R835" s="147"/>
      <c r="S835" s="147"/>
      <c r="T835" s="147"/>
    </row>
    <row r="836" spans="17:20" ht="14.25" customHeight="1" x14ac:dyDescent="0.3">
      <c r="Q836" s="147"/>
      <c r="R836" s="147"/>
      <c r="S836" s="147"/>
      <c r="T836" s="147"/>
    </row>
    <row r="837" spans="17:20" ht="14.25" customHeight="1" x14ac:dyDescent="0.3">
      <c r="Q837" s="147"/>
      <c r="R837" s="147"/>
      <c r="S837" s="147"/>
      <c r="T837" s="147"/>
    </row>
    <row r="838" spans="17:20" ht="14.25" customHeight="1" x14ac:dyDescent="0.3">
      <c r="Q838" s="147"/>
      <c r="R838" s="147"/>
      <c r="S838" s="147"/>
      <c r="T838" s="147"/>
    </row>
    <row r="839" spans="17:20" ht="14.25" customHeight="1" x14ac:dyDescent="0.3">
      <c r="Q839" s="147"/>
      <c r="R839" s="147"/>
      <c r="S839" s="147"/>
      <c r="T839" s="147"/>
    </row>
    <row r="840" spans="17:20" ht="14.25" customHeight="1" x14ac:dyDescent="0.3">
      <c r="Q840" s="147"/>
      <c r="R840" s="147"/>
      <c r="S840" s="147"/>
      <c r="T840" s="147"/>
    </row>
    <row r="841" spans="17:20" ht="14.25" customHeight="1" x14ac:dyDescent="0.3">
      <c r="Q841" s="147"/>
      <c r="R841" s="147"/>
      <c r="S841" s="147"/>
      <c r="T841" s="147"/>
    </row>
    <row r="842" spans="17:20" ht="14.25" customHeight="1" x14ac:dyDescent="0.3">
      <c r="Q842" s="147"/>
      <c r="R842" s="147"/>
      <c r="S842" s="147"/>
      <c r="T842" s="147"/>
    </row>
    <row r="843" spans="17:20" ht="14.25" customHeight="1" x14ac:dyDescent="0.3">
      <c r="Q843" s="147"/>
      <c r="R843" s="147"/>
      <c r="S843" s="147"/>
      <c r="T843" s="147"/>
    </row>
    <row r="844" spans="17:20" ht="14.25" customHeight="1" x14ac:dyDescent="0.3">
      <c r="Q844" s="147"/>
      <c r="R844" s="147"/>
      <c r="S844" s="147"/>
      <c r="T844" s="147"/>
    </row>
    <row r="845" spans="17:20" ht="14.25" customHeight="1" x14ac:dyDescent="0.3">
      <c r="Q845" s="147"/>
      <c r="R845" s="147"/>
      <c r="S845" s="147"/>
      <c r="T845" s="147"/>
    </row>
    <row r="846" spans="17:20" ht="14.25" customHeight="1" x14ac:dyDescent="0.3">
      <c r="Q846" s="147"/>
      <c r="R846" s="147"/>
      <c r="S846" s="147"/>
      <c r="T846" s="147"/>
    </row>
    <row r="847" spans="17:20" ht="14.25" customHeight="1" x14ac:dyDescent="0.3">
      <c r="Q847" s="147"/>
      <c r="R847" s="147"/>
      <c r="S847" s="147"/>
      <c r="T847" s="147"/>
    </row>
    <row r="848" spans="17:20" ht="14.25" customHeight="1" x14ac:dyDescent="0.3">
      <c r="Q848" s="147"/>
      <c r="R848" s="147"/>
      <c r="S848" s="147"/>
      <c r="T848" s="147"/>
    </row>
    <row r="849" spans="17:20" ht="14.25" customHeight="1" x14ac:dyDescent="0.3">
      <c r="Q849" s="147"/>
      <c r="R849" s="147"/>
      <c r="S849" s="147"/>
      <c r="T849" s="147"/>
    </row>
    <row r="850" spans="17:20" ht="14.25" customHeight="1" x14ac:dyDescent="0.3">
      <c r="Q850" s="147"/>
      <c r="R850" s="147"/>
      <c r="S850" s="147"/>
      <c r="T850" s="147"/>
    </row>
    <row r="851" spans="17:20" ht="14.25" customHeight="1" x14ac:dyDescent="0.3">
      <c r="Q851" s="147"/>
      <c r="R851" s="147"/>
      <c r="S851" s="147"/>
      <c r="T851" s="147"/>
    </row>
    <row r="852" spans="17:20" ht="14.25" customHeight="1" x14ac:dyDescent="0.3">
      <c r="Q852" s="147"/>
      <c r="R852" s="147"/>
      <c r="S852" s="147"/>
      <c r="T852" s="147"/>
    </row>
    <row r="853" spans="17:20" ht="14.25" customHeight="1" x14ac:dyDescent="0.3">
      <c r="Q853" s="147"/>
      <c r="R853" s="147"/>
      <c r="S853" s="147"/>
      <c r="T853" s="147"/>
    </row>
    <row r="854" spans="17:20" ht="14.25" customHeight="1" x14ac:dyDescent="0.3">
      <c r="Q854" s="147"/>
      <c r="R854" s="147"/>
      <c r="S854" s="147"/>
      <c r="T854" s="147"/>
    </row>
    <row r="855" spans="17:20" ht="14.25" customHeight="1" x14ac:dyDescent="0.3">
      <c r="Q855" s="147"/>
      <c r="R855" s="147"/>
      <c r="S855" s="147"/>
      <c r="T855" s="147"/>
    </row>
    <row r="856" spans="17:20" ht="14.25" customHeight="1" x14ac:dyDescent="0.3">
      <c r="Q856" s="147"/>
      <c r="R856" s="147"/>
      <c r="S856" s="147"/>
      <c r="T856" s="147"/>
    </row>
    <row r="857" spans="17:20" ht="14.25" customHeight="1" x14ac:dyDescent="0.3">
      <c r="Q857" s="147"/>
      <c r="R857" s="147"/>
      <c r="S857" s="147"/>
      <c r="T857" s="147"/>
    </row>
    <row r="858" spans="17:20" ht="14.25" customHeight="1" x14ac:dyDescent="0.3">
      <c r="Q858" s="147"/>
      <c r="R858" s="147"/>
      <c r="S858" s="147"/>
      <c r="T858" s="147"/>
    </row>
    <row r="859" spans="17:20" ht="14.25" customHeight="1" x14ac:dyDescent="0.3">
      <c r="Q859" s="147"/>
      <c r="R859" s="147"/>
      <c r="S859" s="147"/>
      <c r="T859" s="147"/>
    </row>
    <row r="860" spans="17:20" ht="14.25" customHeight="1" x14ac:dyDescent="0.3">
      <c r="Q860" s="147"/>
      <c r="R860" s="147"/>
      <c r="S860" s="147"/>
      <c r="T860" s="147"/>
    </row>
    <row r="861" spans="17:20" ht="14.25" customHeight="1" x14ac:dyDescent="0.3">
      <c r="Q861" s="147"/>
      <c r="R861" s="147"/>
      <c r="S861" s="147"/>
      <c r="T861" s="147"/>
    </row>
    <row r="862" spans="17:20" ht="14.25" customHeight="1" x14ac:dyDescent="0.3">
      <c r="Q862" s="147"/>
      <c r="R862" s="147"/>
      <c r="S862" s="147"/>
      <c r="T862" s="147"/>
    </row>
    <row r="863" spans="17:20" ht="14.25" customHeight="1" x14ac:dyDescent="0.3">
      <c r="Q863" s="147"/>
      <c r="R863" s="147"/>
      <c r="S863" s="147"/>
      <c r="T863" s="147"/>
    </row>
    <row r="864" spans="17:20" ht="14.25" customHeight="1" x14ac:dyDescent="0.3">
      <c r="Q864" s="147"/>
      <c r="R864" s="147"/>
      <c r="S864" s="147"/>
      <c r="T864" s="147"/>
    </row>
    <row r="865" spans="17:20" ht="14.25" customHeight="1" x14ac:dyDescent="0.3">
      <c r="Q865" s="147"/>
      <c r="R865" s="147"/>
      <c r="S865" s="147"/>
      <c r="T865" s="147"/>
    </row>
    <row r="866" spans="17:20" ht="14.25" customHeight="1" x14ac:dyDescent="0.3">
      <c r="Q866" s="147"/>
      <c r="R866" s="147"/>
      <c r="S866" s="147"/>
      <c r="T866" s="147"/>
    </row>
    <row r="867" spans="17:20" ht="14.25" customHeight="1" x14ac:dyDescent="0.3">
      <c r="Q867" s="147"/>
      <c r="R867" s="147"/>
      <c r="S867" s="147"/>
      <c r="T867" s="147"/>
    </row>
    <row r="868" spans="17:20" ht="14.25" customHeight="1" x14ac:dyDescent="0.3">
      <c r="Q868" s="147"/>
      <c r="R868" s="147"/>
      <c r="S868" s="147"/>
      <c r="T868" s="147"/>
    </row>
    <row r="869" spans="17:20" ht="14.25" customHeight="1" x14ac:dyDescent="0.3">
      <c r="Q869" s="147"/>
      <c r="R869" s="147"/>
      <c r="S869" s="147"/>
      <c r="T869" s="147"/>
    </row>
    <row r="870" spans="17:20" ht="14.25" customHeight="1" x14ac:dyDescent="0.3">
      <c r="Q870" s="147"/>
      <c r="R870" s="147"/>
      <c r="S870" s="147"/>
      <c r="T870" s="147"/>
    </row>
    <row r="871" spans="17:20" ht="14.25" customHeight="1" x14ac:dyDescent="0.3">
      <c r="Q871" s="147"/>
      <c r="R871" s="147"/>
      <c r="S871" s="147"/>
      <c r="T871" s="147"/>
    </row>
    <row r="872" spans="17:20" ht="14.25" customHeight="1" x14ac:dyDescent="0.3">
      <c r="Q872" s="147"/>
      <c r="R872" s="147"/>
      <c r="S872" s="147"/>
      <c r="T872" s="147"/>
    </row>
    <row r="873" spans="17:20" ht="14.25" customHeight="1" x14ac:dyDescent="0.3">
      <c r="Q873" s="147"/>
      <c r="R873" s="147"/>
      <c r="S873" s="147"/>
      <c r="T873" s="147"/>
    </row>
    <row r="874" spans="17:20" ht="14.25" customHeight="1" x14ac:dyDescent="0.3">
      <c r="Q874" s="147"/>
      <c r="R874" s="147"/>
      <c r="S874" s="147"/>
      <c r="T874" s="147"/>
    </row>
    <row r="875" spans="17:20" ht="14.25" customHeight="1" x14ac:dyDescent="0.3">
      <c r="Q875" s="147"/>
      <c r="R875" s="147"/>
      <c r="S875" s="147"/>
      <c r="T875" s="147"/>
    </row>
    <row r="876" spans="17:20" ht="14.25" customHeight="1" x14ac:dyDescent="0.3">
      <c r="Q876" s="147"/>
      <c r="R876" s="147"/>
      <c r="S876" s="147"/>
      <c r="T876" s="147"/>
    </row>
    <row r="877" spans="17:20" ht="14.25" customHeight="1" x14ac:dyDescent="0.3">
      <c r="Q877" s="147"/>
      <c r="R877" s="147"/>
      <c r="S877" s="147"/>
      <c r="T877" s="147"/>
    </row>
    <row r="878" spans="17:20" ht="14.25" customHeight="1" x14ac:dyDescent="0.3">
      <c r="Q878" s="147"/>
      <c r="R878" s="147"/>
      <c r="S878" s="147"/>
      <c r="T878" s="147"/>
    </row>
    <row r="879" spans="17:20" ht="14.25" customHeight="1" x14ac:dyDescent="0.3">
      <c r="Q879" s="147"/>
      <c r="R879" s="147"/>
      <c r="S879" s="147"/>
      <c r="T879" s="147"/>
    </row>
    <row r="880" spans="17:20" ht="14.25" customHeight="1" x14ac:dyDescent="0.3">
      <c r="Q880" s="147"/>
      <c r="R880" s="147"/>
      <c r="S880" s="147"/>
      <c r="T880" s="147"/>
    </row>
    <row r="881" spans="17:20" ht="14.25" customHeight="1" x14ac:dyDescent="0.3">
      <c r="Q881" s="147"/>
      <c r="R881" s="147"/>
      <c r="S881" s="147"/>
      <c r="T881" s="147"/>
    </row>
    <row r="882" spans="17:20" ht="14.25" customHeight="1" x14ac:dyDescent="0.3">
      <c r="Q882" s="147"/>
      <c r="R882" s="147"/>
      <c r="S882" s="147"/>
      <c r="T882" s="147"/>
    </row>
    <row r="883" spans="17:20" ht="14.25" customHeight="1" x14ac:dyDescent="0.3">
      <c r="Q883" s="147"/>
      <c r="R883" s="147"/>
      <c r="S883" s="147"/>
      <c r="T883" s="147"/>
    </row>
    <row r="884" spans="17:20" ht="14.25" customHeight="1" x14ac:dyDescent="0.3">
      <c r="Q884" s="147"/>
      <c r="R884" s="147"/>
      <c r="S884" s="147"/>
      <c r="T884" s="147"/>
    </row>
    <row r="885" spans="17:20" ht="14.25" customHeight="1" x14ac:dyDescent="0.3">
      <c r="Q885" s="147"/>
      <c r="R885" s="147"/>
      <c r="S885" s="147"/>
      <c r="T885" s="147"/>
    </row>
    <row r="886" spans="17:20" ht="14.25" customHeight="1" x14ac:dyDescent="0.3">
      <c r="Q886" s="147"/>
      <c r="R886" s="147"/>
      <c r="S886" s="147"/>
      <c r="T886" s="147"/>
    </row>
    <row r="887" spans="17:20" ht="14.25" customHeight="1" x14ac:dyDescent="0.3">
      <c r="Q887" s="147"/>
      <c r="R887" s="147"/>
      <c r="S887" s="147"/>
      <c r="T887" s="147"/>
    </row>
    <row r="888" spans="17:20" ht="14.25" customHeight="1" x14ac:dyDescent="0.3">
      <c r="Q888" s="147"/>
      <c r="R888" s="147"/>
      <c r="S888" s="147"/>
      <c r="T888" s="147"/>
    </row>
    <row r="889" spans="17:20" ht="14.25" customHeight="1" x14ac:dyDescent="0.3">
      <c r="Q889" s="147"/>
      <c r="R889" s="147"/>
      <c r="S889" s="147"/>
      <c r="T889" s="147"/>
    </row>
    <row r="890" spans="17:20" ht="14.25" customHeight="1" x14ac:dyDescent="0.3">
      <c r="Q890" s="147"/>
      <c r="R890" s="147"/>
      <c r="S890" s="147"/>
      <c r="T890" s="147"/>
    </row>
    <row r="891" spans="17:20" ht="14.25" customHeight="1" x14ac:dyDescent="0.3">
      <c r="Q891" s="147"/>
      <c r="R891" s="147"/>
      <c r="S891" s="147"/>
      <c r="T891" s="147"/>
    </row>
    <row r="892" spans="17:20" ht="14.25" customHeight="1" x14ac:dyDescent="0.3">
      <c r="Q892" s="147"/>
      <c r="R892" s="147"/>
      <c r="S892" s="147"/>
      <c r="T892" s="147"/>
    </row>
    <row r="893" spans="17:20" ht="14.25" customHeight="1" x14ac:dyDescent="0.3">
      <c r="Q893" s="147"/>
      <c r="R893" s="147"/>
      <c r="S893" s="147"/>
      <c r="T893" s="147"/>
    </row>
    <row r="894" spans="17:20" ht="14.25" customHeight="1" x14ac:dyDescent="0.3">
      <c r="Q894" s="147"/>
      <c r="R894" s="147"/>
      <c r="S894" s="147"/>
      <c r="T894" s="147"/>
    </row>
    <row r="895" spans="17:20" ht="14.25" customHeight="1" x14ac:dyDescent="0.3">
      <c r="Q895" s="147"/>
      <c r="R895" s="147"/>
      <c r="S895" s="147"/>
      <c r="T895" s="147"/>
    </row>
    <row r="896" spans="17:20" ht="14.25" customHeight="1" x14ac:dyDescent="0.3">
      <c r="Q896" s="147"/>
      <c r="R896" s="147"/>
      <c r="S896" s="147"/>
      <c r="T896" s="147"/>
    </row>
    <row r="897" spans="17:20" ht="14.25" customHeight="1" x14ac:dyDescent="0.3">
      <c r="Q897" s="147"/>
      <c r="R897" s="147"/>
      <c r="S897" s="147"/>
      <c r="T897" s="147"/>
    </row>
    <row r="898" spans="17:20" ht="14.25" customHeight="1" x14ac:dyDescent="0.3">
      <c r="Q898" s="147"/>
      <c r="R898" s="147"/>
      <c r="S898" s="147"/>
      <c r="T898" s="147"/>
    </row>
    <row r="899" spans="17:20" ht="14.25" customHeight="1" x14ac:dyDescent="0.3">
      <c r="Q899" s="147"/>
      <c r="R899" s="147"/>
      <c r="S899" s="147"/>
      <c r="T899" s="147"/>
    </row>
    <row r="900" spans="17:20" ht="14.25" customHeight="1" x14ac:dyDescent="0.3">
      <c r="Q900" s="147"/>
      <c r="R900" s="147"/>
      <c r="S900" s="147"/>
      <c r="T900" s="147"/>
    </row>
    <row r="901" spans="17:20" ht="14.25" customHeight="1" x14ac:dyDescent="0.3">
      <c r="Q901" s="147"/>
      <c r="R901" s="147"/>
      <c r="S901" s="147"/>
      <c r="T901" s="147"/>
    </row>
    <row r="902" spans="17:20" ht="14.25" customHeight="1" x14ac:dyDescent="0.3">
      <c r="Q902" s="147"/>
      <c r="R902" s="147"/>
      <c r="S902" s="147"/>
      <c r="T902" s="147"/>
    </row>
    <row r="903" spans="17:20" ht="14.25" customHeight="1" x14ac:dyDescent="0.3">
      <c r="Q903" s="147"/>
      <c r="R903" s="147"/>
      <c r="S903" s="147"/>
      <c r="T903" s="147"/>
    </row>
    <row r="904" spans="17:20" ht="14.25" customHeight="1" x14ac:dyDescent="0.3">
      <c r="Q904" s="147"/>
      <c r="R904" s="147"/>
      <c r="S904" s="147"/>
      <c r="T904" s="147"/>
    </row>
    <row r="905" spans="17:20" ht="14.25" customHeight="1" x14ac:dyDescent="0.3">
      <c r="Q905" s="147"/>
      <c r="R905" s="147"/>
      <c r="S905" s="147"/>
      <c r="T905" s="147"/>
    </row>
    <row r="906" spans="17:20" ht="14.25" customHeight="1" x14ac:dyDescent="0.3">
      <c r="Q906" s="147"/>
      <c r="R906" s="147"/>
      <c r="S906" s="147"/>
      <c r="T906" s="147"/>
    </row>
    <row r="907" spans="17:20" ht="14.25" customHeight="1" x14ac:dyDescent="0.3">
      <c r="Q907" s="147"/>
      <c r="R907" s="147"/>
      <c r="S907" s="147"/>
      <c r="T907" s="147"/>
    </row>
    <row r="908" spans="17:20" ht="14.25" customHeight="1" x14ac:dyDescent="0.3">
      <c r="Q908" s="147"/>
      <c r="R908" s="147"/>
      <c r="S908" s="147"/>
      <c r="T908" s="147"/>
    </row>
    <row r="909" spans="17:20" ht="14.25" customHeight="1" x14ac:dyDescent="0.3">
      <c r="Q909" s="147"/>
      <c r="R909" s="147"/>
      <c r="S909" s="147"/>
      <c r="T909" s="147"/>
    </row>
    <row r="910" spans="17:20" ht="14.25" customHeight="1" x14ac:dyDescent="0.3">
      <c r="Q910" s="147"/>
      <c r="R910" s="147"/>
      <c r="S910" s="147"/>
      <c r="T910" s="147"/>
    </row>
    <row r="911" spans="17:20" ht="14.25" customHeight="1" x14ac:dyDescent="0.3">
      <c r="Q911" s="147"/>
      <c r="R911" s="147"/>
      <c r="S911" s="147"/>
      <c r="T911" s="147"/>
    </row>
    <row r="912" spans="17:20" ht="14.25" customHeight="1" x14ac:dyDescent="0.3">
      <c r="Q912" s="147"/>
      <c r="R912" s="147"/>
      <c r="S912" s="147"/>
      <c r="T912" s="147"/>
    </row>
    <row r="913" spans="17:20" ht="14.25" customHeight="1" x14ac:dyDescent="0.3">
      <c r="Q913" s="147"/>
      <c r="R913" s="147"/>
      <c r="S913" s="147"/>
      <c r="T913" s="147"/>
    </row>
    <row r="914" spans="17:20" ht="14.25" customHeight="1" x14ac:dyDescent="0.3">
      <c r="Q914" s="147"/>
      <c r="R914" s="147"/>
      <c r="S914" s="147"/>
      <c r="T914" s="147"/>
    </row>
    <row r="915" spans="17:20" ht="14.25" customHeight="1" x14ac:dyDescent="0.3">
      <c r="Q915" s="147"/>
      <c r="R915" s="147"/>
      <c r="S915" s="147"/>
      <c r="T915" s="147"/>
    </row>
    <row r="916" spans="17:20" ht="14.25" customHeight="1" x14ac:dyDescent="0.3">
      <c r="Q916" s="147"/>
      <c r="R916" s="147"/>
      <c r="S916" s="147"/>
      <c r="T916" s="147"/>
    </row>
    <row r="917" spans="17:20" ht="14.25" customHeight="1" x14ac:dyDescent="0.3">
      <c r="Q917" s="147"/>
      <c r="R917" s="147"/>
      <c r="S917" s="147"/>
      <c r="T917" s="147"/>
    </row>
    <row r="918" spans="17:20" ht="14.25" customHeight="1" x14ac:dyDescent="0.3">
      <c r="Q918" s="147"/>
      <c r="R918" s="147"/>
      <c r="S918" s="147"/>
      <c r="T918" s="147"/>
    </row>
    <row r="919" spans="17:20" ht="14.25" customHeight="1" x14ac:dyDescent="0.3">
      <c r="Q919" s="147"/>
      <c r="R919" s="147"/>
      <c r="S919" s="147"/>
      <c r="T919" s="147"/>
    </row>
    <row r="920" spans="17:20" ht="14.25" customHeight="1" x14ac:dyDescent="0.3">
      <c r="Q920" s="147"/>
      <c r="R920" s="147"/>
      <c r="S920" s="147"/>
      <c r="T920" s="147"/>
    </row>
    <row r="921" spans="17:20" ht="14.25" customHeight="1" x14ac:dyDescent="0.3">
      <c r="Q921" s="147"/>
      <c r="R921" s="147"/>
      <c r="S921" s="147"/>
      <c r="T921" s="147"/>
    </row>
    <row r="922" spans="17:20" ht="14.25" customHeight="1" x14ac:dyDescent="0.3">
      <c r="Q922" s="147"/>
      <c r="R922" s="147"/>
      <c r="S922" s="147"/>
      <c r="T922" s="147"/>
    </row>
    <row r="923" spans="17:20" ht="14.25" customHeight="1" x14ac:dyDescent="0.3">
      <c r="Q923" s="147"/>
      <c r="R923" s="147"/>
      <c r="S923" s="147"/>
      <c r="T923" s="147"/>
    </row>
    <row r="924" spans="17:20" ht="14.25" customHeight="1" x14ac:dyDescent="0.3">
      <c r="Q924" s="147"/>
      <c r="R924" s="147"/>
      <c r="S924" s="147"/>
      <c r="T924" s="147"/>
    </row>
    <row r="925" spans="17:20" ht="14.25" customHeight="1" x14ac:dyDescent="0.3">
      <c r="Q925" s="147"/>
      <c r="R925" s="147"/>
      <c r="S925" s="147"/>
      <c r="T925" s="147"/>
    </row>
    <row r="926" spans="17:20" ht="14.25" customHeight="1" x14ac:dyDescent="0.3">
      <c r="Q926" s="147"/>
      <c r="R926" s="147"/>
      <c r="S926" s="147"/>
      <c r="T926" s="147"/>
    </row>
    <row r="927" spans="17:20" ht="14.25" customHeight="1" x14ac:dyDescent="0.3">
      <c r="Q927" s="147"/>
      <c r="R927" s="147"/>
      <c r="S927" s="147"/>
      <c r="T927" s="147"/>
    </row>
    <row r="928" spans="17:20" ht="14.25" customHeight="1" x14ac:dyDescent="0.3">
      <c r="Q928" s="147"/>
      <c r="R928" s="147"/>
      <c r="S928" s="147"/>
      <c r="T928" s="147"/>
    </row>
    <row r="929" spans="17:20" ht="14.25" customHeight="1" x14ac:dyDescent="0.3">
      <c r="Q929" s="147"/>
      <c r="R929" s="147"/>
      <c r="S929" s="147"/>
      <c r="T929" s="147"/>
    </row>
    <row r="930" spans="17:20" ht="14.25" customHeight="1" x14ac:dyDescent="0.3">
      <c r="Q930" s="147"/>
      <c r="R930" s="147"/>
      <c r="S930" s="147"/>
      <c r="T930" s="147"/>
    </row>
    <row r="931" spans="17:20" ht="14.25" customHeight="1" x14ac:dyDescent="0.3">
      <c r="Q931" s="147"/>
      <c r="R931" s="147"/>
      <c r="S931" s="147"/>
      <c r="T931" s="147"/>
    </row>
    <row r="932" spans="17:20" ht="14.25" customHeight="1" x14ac:dyDescent="0.3">
      <c r="Q932" s="147"/>
      <c r="R932" s="147"/>
      <c r="S932" s="147"/>
      <c r="T932" s="147"/>
    </row>
    <row r="933" spans="17:20" ht="14.25" customHeight="1" x14ac:dyDescent="0.3">
      <c r="Q933" s="147"/>
      <c r="R933" s="147"/>
      <c r="S933" s="147"/>
      <c r="T933" s="147"/>
    </row>
    <row r="934" spans="17:20" ht="14.25" customHeight="1" x14ac:dyDescent="0.3">
      <c r="Q934" s="147"/>
      <c r="R934" s="147"/>
      <c r="S934" s="147"/>
      <c r="T934" s="147"/>
    </row>
    <row r="935" spans="17:20" ht="14.25" customHeight="1" x14ac:dyDescent="0.3">
      <c r="Q935" s="147"/>
      <c r="R935" s="147"/>
      <c r="S935" s="147"/>
      <c r="T935" s="147"/>
    </row>
    <row r="936" spans="17:20" ht="14.25" customHeight="1" x14ac:dyDescent="0.3">
      <c r="Q936" s="147"/>
      <c r="R936" s="147"/>
      <c r="S936" s="147"/>
      <c r="T936" s="147"/>
    </row>
    <row r="937" spans="17:20" ht="14.25" customHeight="1" x14ac:dyDescent="0.3">
      <c r="Q937" s="147"/>
      <c r="R937" s="147"/>
      <c r="S937" s="147"/>
      <c r="T937" s="147"/>
    </row>
    <row r="938" spans="17:20" ht="14.25" customHeight="1" x14ac:dyDescent="0.3">
      <c r="Q938" s="147"/>
      <c r="R938" s="147"/>
      <c r="S938" s="147"/>
      <c r="T938" s="147"/>
    </row>
    <row r="939" spans="17:20" ht="14.25" customHeight="1" x14ac:dyDescent="0.3">
      <c r="Q939" s="147"/>
      <c r="R939" s="147"/>
      <c r="S939" s="147"/>
      <c r="T939" s="147"/>
    </row>
    <row r="940" spans="17:20" ht="14.25" customHeight="1" x14ac:dyDescent="0.3">
      <c r="Q940" s="147"/>
      <c r="R940" s="147"/>
      <c r="S940" s="147"/>
      <c r="T940" s="147"/>
    </row>
    <row r="941" spans="17:20" ht="14.25" customHeight="1" x14ac:dyDescent="0.3">
      <c r="Q941" s="147"/>
      <c r="R941" s="147"/>
      <c r="S941" s="147"/>
      <c r="T941" s="147"/>
    </row>
    <row r="942" spans="17:20" ht="14.25" customHeight="1" x14ac:dyDescent="0.3">
      <c r="Q942" s="147"/>
      <c r="R942" s="147"/>
      <c r="S942" s="147"/>
      <c r="T942" s="147"/>
    </row>
    <row r="943" spans="17:20" ht="14.25" customHeight="1" x14ac:dyDescent="0.3">
      <c r="Q943" s="147"/>
      <c r="R943" s="147"/>
      <c r="S943" s="147"/>
      <c r="T943" s="147"/>
    </row>
    <row r="944" spans="17:20" ht="14.25" customHeight="1" x14ac:dyDescent="0.3">
      <c r="Q944" s="147"/>
      <c r="R944" s="147"/>
      <c r="S944" s="147"/>
      <c r="T944" s="147"/>
    </row>
    <row r="945" spans="17:20" ht="14.25" customHeight="1" x14ac:dyDescent="0.3">
      <c r="Q945" s="147"/>
      <c r="R945" s="147"/>
      <c r="S945" s="147"/>
      <c r="T945" s="147"/>
    </row>
    <row r="946" spans="17:20" ht="14.25" customHeight="1" x14ac:dyDescent="0.3">
      <c r="Q946" s="147"/>
      <c r="R946" s="147"/>
      <c r="S946" s="147"/>
      <c r="T946" s="147"/>
    </row>
    <row r="947" spans="17:20" ht="14.25" customHeight="1" x14ac:dyDescent="0.3">
      <c r="Q947" s="147"/>
      <c r="R947" s="147"/>
      <c r="S947" s="147"/>
      <c r="T947" s="147"/>
    </row>
    <row r="948" spans="17:20" ht="14.25" customHeight="1" x14ac:dyDescent="0.3">
      <c r="Q948" s="147"/>
      <c r="R948" s="147"/>
      <c r="S948" s="147"/>
      <c r="T948" s="147"/>
    </row>
    <row r="949" spans="17:20" ht="14.25" customHeight="1" x14ac:dyDescent="0.3">
      <c r="Q949" s="147"/>
      <c r="R949" s="147"/>
      <c r="S949" s="147"/>
      <c r="T949" s="147"/>
    </row>
    <row r="950" spans="17:20" ht="14.25" customHeight="1" x14ac:dyDescent="0.3">
      <c r="Q950" s="147"/>
      <c r="R950" s="147"/>
      <c r="S950" s="147"/>
      <c r="T950" s="147"/>
    </row>
    <row r="951" spans="17:20" ht="14.25" customHeight="1" x14ac:dyDescent="0.3">
      <c r="Q951" s="147"/>
      <c r="R951" s="147"/>
      <c r="S951" s="147"/>
      <c r="T951" s="147"/>
    </row>
    <row r="952" spans="17:20" ht="14.25" customHeight="1" x14ac:dyDescent="0.3">
      <c r="Q952" s="147"/>
      <c r="R952" s="147"/>
      <c r="S952" s="147"/>
      <c r="T952" s="147"/>
    </row>
    <row r="953" spans="17:20" ht="14.25" customHeight="1" x14ac:dyDescent="0.3">
      <c r="Q953" s="147"/>
      <c r="R953" s="147"/>
      <c r="S953" s="147"/>
      <c r="T953" s="147"/>
    </row>
    <row r="954" spans="17:20" ht="14.25" customHeight="1" x14ac:dyDescent="0.3">
      <c r="Q954" s="147"/>
      <c r="R954" s="147"/>
      <c r="S954" s="147"/>
      <c r="T954" s="147"/>
    </row>
    <row r="955" spans="17:20" ht="14.25" customHeight="1" x14ac:dyDescent="0.3">
      <c r="Q955" s="147"/>
      <c r="R955" s="147"/>
      <c r="S955" s="147"/>
      <c r="T955" s="147"/>
    </row>
    <row r="956" spans="17:20" ht="14.25" customHeight="1" x14ac:dyDescent="0.3">
      <c r="Q956" s="147"/>
      <c r="R956" s="147"/>
      <c r="S956" s="147"/>
      <c r="T956" s="147"/>
    </row>
    <row r="957" spans="17:20" ht="14.25" customHeight="1" x14ac:dyDescent="0.3">
      <c r="Q957" s="147"/>
      <c r="R957" s="147"/>
      <c r="S957" s="147"/>
      <c r="T957" s="147"/>
    </row>
    <row r="958" spans="17:20" ht="14.25" customHeight="1" x14ac:dyDescent="0.3">
      <c r="Q958" s="147"/>
      <c r="R958" s="147"/>
      <c r="S958" s="147"/>
      <c r="T958" s="147"/>
    </row>
    <row r="959" spans="17:20" ht="14.25" customHeight="1" x14ac:dyDescent="0.3">
      <c r="Q959" s="147"/>
      <c r="R959" s="147"/>
      <c r="S959" s="147"/>
      <c r="T959" s="147"/>
    </row>
    <row r="960" spans="17:20" ht="14.25" customHeight="1" x14ac:dyDescent="0.3">
      <c r="Q960" s="147"/>
      <c r="R960" s="147"/>
      <c r="S960" s="147"/>
      <c r="T960" s="147"/>
    </row>
    <row r="961" spans="17:20" ht="14.25" customHeight="1" x14ac:dyDescent="0.3">
      <c r="Q961" s="147"/>
      <c r="R961" s="147"/>
      <c r="S961" s="147"/>
      <c r="T961" s="147"/>
    </row>
    <row r="962" spans="17:20" ht="14.25" customHeight="1" x14ac:dyDescent="0.3">
      <c r="Q962" s="147"/>
      <c r="R962" s="147"/>
      <c r="S962" s="147"/>
      <c r="T962" s="147"/>
    </row>
    <row r="963" spans="17:20" ht="14.25" customHeight="1" x14ac:dyDescent="0.3">
      <c r="Q963" s="147"/>
      <c r="R963" s="147"/>
      <c r="S963" s="147"/>
      <c r="T963" s="147"/>
    </row>
    <row r="964" spans="17:20" ht="14.25" customHeight="1" x14ac:dyDescent="0.3">
      <c r="Q964" s="147"/>
      <c r="R964" s="147"/>
      <c r="S964" s="147"/>
      <c r="T964" s="147"/>
    </row>
    <row r="965" spans="17:20" ht="14.25" customHeight="1" x14ac:dyDescent="0.3">
      <c r="Q965" s="147"/>
      <c r="R965" s="147"/>
      <c r="S965" s="147"/>
      <c r="T965" s="147"/>
    </row>
    <row r="966" spans="17:20" ht="14.25" customHeight="1" x14ac:dyDescent="0.3">
      <c r="Q966" s="147"/>
      <c r="R966" s="147"/>
      <c r="S966" s="147"/>
      <c r="T966" s="147"/>
    </row>
    <row r="967" spans="17:20" ht="14.25" customHeight="1" x14ac:dyDescent="0.3">
      <c r="Q967" s="147"/>
      <c r="R967" s="147"/>
      <c r="S967" s="147"/>
      <c r="T967" s="147"/>
    </row>
    <row r="968" spans="17:20" ht="14.25" customHeight="1" x14ac:dyDescent="0.3">
      <c r="Q968" s="147"/>
      <c r="R968" s="147"/>
      <c r="S968" s="147"/>
      <c r="T968" s="147"/>
    </row>
    <row r="969" spans="17:20" ht="14.25" customHeight="1" x14ac:dyDescent="0.3">
      <c r="Q969" s="147"/>
      <c r="R969" s="147"/>
      <c r="S969" s="147"/>
      <c r="T969" s="147"/>
    </row>
    <row r="970" spans="17:20" ht="14.25" customHeight="1" x14ac:dyDescent="0.3">
      <c r="Q970" s="147"/>
      <c r="R970" s="147"/>
      <c r="S970" s="147"/>
      <c r="T970" s="147"/>
    </row>
    <row r="971" spans="17:20" ht="14.25" customHeight="1" x14ac:dyDescent="0.3">
      <c r="Q971" s="147"/>
      <c r="R971" s="147"/>
      <c r="S971" s="147"/>
      <c r="T971" s="147"/>
    </row>
    <row r="972" spans="17:20" ht="14.25" customHeight="1" x14ac:dyDescent="0.3">
      <c r="Q972" s="147"/>
      <c r="R972" s="147"/>
      <c r="S972" s="147"/>
      <c r="T972" s="147"/>
    </row>
    <row r="973" spans="17:20" ht="14.25" customHeight="1" x14ac:dyDescent="0.3">
      <c r="Q973" s="147"/>
      <c r="R973" s="147"/>
      <c r="S973" s="147"/>
      <c r="T973" s="147"/>
    </row>
    <row r="974" spans="17:20" ht="14.25" customHeight="1" x14ac:dyDescent="0.3">
      <c r="Q974" s="147"/>
      <c r="R974" s="147"/>
      <c r="S974" s="147"/>
      <c r="T974" s="147"/>
    </row>
    <row r="975" spans="17:20" ht="14.25" customHeight="1" x14ac:dyDescent="0.3">
      <c r="Q975" s="147"/>
      <c r="R975" s="147"/>
      <c r="S975" s="147"/>
      <c r="T975" s="147"/>
    </row>
    <row r="976" spans="17:20" ht="14.25" customHeight="1" x14ac:dyDescent="0.3">
      <c r="Q976" s="147"/>
      <c r="R976" s="147"/>
      <c r="S976" s="147"/>
      <c r="T976" s="147"/>
    </row>
    <row r="977" spans="17:20" ht="14.25" customHeight="1" x14ac:dyDescent="0.3">
      <c r="Q977" s="147"/>
      <c r="R977" s="147"/>
      <c r="S977" s="147"/>
      <c r="T977" s="147"/>
    </row>
    <row r="978" spans="17:20" ht="14.25" customHeight="1" x14ac:dyDescent="0.3">
      <c r="Q978" s="147"/>
      <c r="R978" s="147"/>
      <c r="S978" s="147"/>
      <c r="T978" s="147"/>
    </row>
    <row r="979" spans="17:20" ht="14.25" customHeight="1" x14ac:dyDescent="0.3">
      <c r="Q979" s="147"/>
      <c r="R979" s="147"/>
      <c r="S979" s="147"/>
      <c r="T979" s="147"/>
    </row>
    <row r="980" spans="17:20" ht="14.25" customHeight="1" x14ac:dyDescent="0.3">
      <c r="Q980" s="147"/>
      <c r="R980" s="147"/>
      <c r="S980" s="147"/>
      <c r="T980" s="147"/>
    </row>
    <row r="981" spans="17:20" ht="14.25" customHeight="1" x14ac:dyDescent="0.3">
      <c r="Q981" s="147"/>
      <c r="R981" s="147"/>
      <c r="S981" s="147"/>
      <c r="T981" s="147"/>
    </row>
    <row r="982" spans="17:20" ht="14.25" customHeight="1" x14ac:dyDescent="0.3">
      <c r="Q982" s="147"/>
      <c r="R982" s="147"/>
      <c r="S982" s="147"/>
      <c r="T982" s="147"/>
    </row>
    <row r="983" spans="17:20" ht="14.25" customHeight="1" x14ac:dyDescent="0.3">
      <c r="Q983" s="147"/>
      <c r="R983" s="147"/>
      <c r="S983" s="147"/>
      <c r="T983" s="147"/>
    </row>
    <row r="984" spans="17:20" ht="14.25" customHeight="1" x14ac:dyDescent="0.3">
      <c r="Q984" s="147"/>
      <c r="R984" s="147"/>
      <c r="S984" s="147"/>
      <c r="T984" s="147"/>
    </row>
    <row r="985" spans="17:20" ht="14.25" customHeight="1" x14ac:dyDescent="0.3">
      <c r="Q985" s="147"/>
      <c r="R985" s="147"/>
      <c r="S985" s="147"/>
      <c r="T985" s="147"/>
    </row>
    <row r="986" spans="17:20" ht="14.25" customHeight="1" x14ac:dyDescent="0.3">
      <c r="Q986" s="147"/>
      <c r="R986" s="147"/>
      <c r="S986" s="147"/>
      <c r="T986" s="147"/>
    </row>
    <row r="987" spans="17:20" ht="14.25" customHeight="1" x14ac:dyDescent="0.3">
      <c r="Q987" s="147"/>
      <c r="R987" s="147"/>
      <c r="S987" s="147"/>
      <c r="T987" s="147"/>
    </row>
    <row r="988" spans="17:20" ht="14.25" customHeight="1" x14ac:dyDescent="0.3">
      <c r="Q988" s="147"/>
      <c r="R988" s="147"/>
      <c r="S988" s="147"/>
      <c r="T988" s="147"/>
    </row>
    <row r="989" spans="17:20" ht="14.25" customHeight="1" x14ac:dyDescent="0.3">
      <c r="Q989" s="147"/>
      <c r="R989" s="147"/>
      <c r="S989" s="147"/>
      <c r="T989" s="147"/>
    </row>
    <row r="990" spans="17:20" ht="14.25" customHeight="1" x14ac:dyDescent="0.3">
      <c r="Q990" s="147"/>
      <c r="R990" s="147"/>
      <c r="S990" s="147"/>
      <c r="T990" s="147"/>
    </row>
    <row r="991" spans="17:20" ht="14.25" customHeight="1" x14ac:dyDescent="0.3">
      <c r="Q991" s="147"/>
      <c r="R991" s="147"/>
      <c r="S991" s="147"/>
      <c r="T991" s="147"/>
    </row>
    <row r="992" spans="17:20" ht="14.25" customHeight="1" x14ac:dyDescent="0.3">
      <c r="Q992" s="147"/>
      <c r="R992" s="147"/>
      <c r="S992" s="147"/>
      <c r="T992" s="147"/>
    </row>
    <row r="993" spans="17:20" ht="14.25" customHeight="1" x14ac:dyDescent="0.3">
      <c r="Q993" s="147"/>
      <c r="R993" s="147"/>
      <c r="S993" s="147"/>
      <c r="T993" s="147"/>
    </row>
    <row r="994" spans="17:20" ht="14.25" customHeight="1" x14ac:dyDescent="0.3">
      <c r="Q994" s="147"/>
      <c r="R994" s="147"/>
      <c r="S994" s="147"/>
      <c r="T994" s="147"/>
    </row>
    <row r="995" spans="17:20" ht="14.25" customHeight="1" x14ac:dyDescent="0.3">
      <c r="Q995" s="147"/>
      <c r="R995" s="147"/>
      <c r="S995" s="147"/>
      <c r="T995" s="147"/>
    </row>
    <row r="996" spans="17:20" ht="14.25" customHeight="1" x14ac:dyDescent="0.3">
      <c r="Q996" s="147"/>
      <c r="R996" s="147"/>
      <c r="S996" s="147"/>
      <c r="T996" s="147"/>
    </row>
    <row r="997" spans="17:20" ht="14.25" customHeight="1" x14ac:dyDescent="0.3">
      <c r="Q997" s="147"/>
      <c r="R997" s="147"/>
      <c r="S997" s="147"/>
      <c r="T997" s="147"/>
    </row>
    <row r="998" spans="17:20" ht="14.25" customHeight="1" x14ac:dyDescent="0.3">
      <c r="Q998" s="147"/>
      <c r="R998" s="147"/>
      <c r="S998" s="147"/>
      <c r="T998" s="147"/>
    </row>
    <row r="999" spans="17:20" ht="14.25" customHeight="1" x14ac:dyDescent="0.3">
      <c r="Q999" s="147"/>
      <c r="R999" s="147"/>
      <c r="S999" s="147"/>
      <c r="T999" s="147"/>
    </row>
    <row r="1000" spans="17:20" ht="14.25" customHeight="1" x14ac:dyDescent="0.3">
      <c r="Q1000" s="147"/>
      <c r="R1000" s="147"/>
      <c r="S1000" s="147"/>
      <c r="T1000" s="147"/>
    </row>
    <row r="1001" spans="17:20" ht="14.25" customHeight="1" x14ac:dyDescent="0.3">
      <c r="Q1001" s="147"/>
      <c r="R1001" s="147"/>
      <c r="S1001" s="147"/>
      <c r="T1001" s="147"/>
    </row>
    <row r="1002" spans="17:20" ht="14.25" customHeight="1" x14ac:dyDescent="0.3">
      <c r="Q1002" s="147"/>
      <c r="R1002" s="147"/>
      <c r="S1002" s="147"/>
      <c r="T1002" s="147"/>
    </row>
    <row r="1003" spans="17:20" ht="14.25" customHeight="1" x14ac:dyDescent="0.3">
      <c r="Q1003" s="147"/>
      <c r="R1003" s="147"/>
      <c r="S1003" s="147"/>
      <c r="T1003" s="147"/>
    </row>
    <row r="1004" spans="17:20" ht="14.25" customHeight="1" x14ac:dyDescent="0.3">
      <c r="Q1004" s="147"/>
      <c r="R1004" s="147"/>
      <c r="S1004" s="147"/>
      <c r="T1004" s="147"/>
    </row>
    <row r="1005" spans="17:20" ht="14.25" customHeight="1" x14ac:dyDescent="0.3">
      <c r="Q1005" s="147"/>
      <c r="R1005" s="147"/>
      <c r="S1005" s="147"/>
      <c r="T1005" s="147"/>
    </row>
    <row r="1006" spans="17:20" ht="14.25" customHeight="1" x14ac:dyDescent="0.3">
      <c r="Q1006" s="147"/>
      <c r="R1006" s="147"/>
      <c r="S1006" s="147"/>
      <c r="T1006" s="147"/>
    </row>
    <row r="1007" spans="17:20" ht="14.25" customHeight="1" x14ac:dyDescent="0.3">
      <c r="Q1007" s="147"/>
      <c r="R1007" s="147"/>
      <c r="S1007" s="147"/>
      <c r="T1007" s="147"/>
    </row>
    <row r="1008" spans="17:20" ht="14.25" customHeight="1" x14ac:dyDescent="0.3">
      <c r="Q1008" s="147"/>
      <c r="R1008" s="147"/>
      <c r="S1008" s="147"/>
      <c r="T1008" s="147"/>
    </row>
    <row r="1009" spans="17:20" ht="14.25" customHeight="1" x14ac:dyDescent="0.3">
      <c r="Q1009" s="147"/>
      <c r="R1009" s="147"/>
      <c r="S1009" s="147"/>
      <c r="T1009" s="147"/>
    </row>
    <row r="1010" spans="17:20" ht="14.25" customHeight="1" x14ac:dyDescent="0.3">
      <c r="Q1010" s="147"/>
      <c r="R1010" s="147"/>
      <c r="S1010" s="147"/>
      <c r="T1010" s="147"/>
    </row>
    <row r="1011" spans="17:20" ht="14.25" customHeight="1" x14ac:dyDescent="0.3">
      <c r="Q1011" s="147"/>
      <c r="R1011" s="147"/>
      <c r="S1011" s="147"/>
      <c r="T1011" s="147"/>
    </row>
    <row r="1012" spans="17:20" ht="14.25" customHeight="1" x14ac:dyDescent="0.3">
      <c r="Q1012" s="147"/>
      <c r="R1012" s="147"/>
      <c r="S1012" s="147"/>
      <c r="T1012" s="147"/>
    </row>
    <row r="1013" spans="17:20" ht="14.25" customHeight="1" x14ac:dyDescent="0.3">
      <c r="Q1013" s="147"/>
      <c r="R1013" s="147"/>
      <c r="S1013" s="147"/>
      <c r="T1013" s="147"/>
    </row>
    <row r="1014" spans="17:20" ht="14.25" customHeight="1" x14ac:dyDescent="0.3">
      <c r="Q1014" s="147"/>
      <c r="R1014" s="147"/>
      <c r="S1014" s="147"/>
      <c r="T1014" s="147"/>
    </row>
    <row r="1015" spans="17:20" ht="14.25" customHeight="1" x14ac:dyDescent="0.3">
      <c r="Q1015" s="147"/>
      <c r="R1015" s="147"/>
      <c r="S1015" s="147"/>
      <c r="T1015" s="147"/>
    </row>
    <row r="1016" spans="17:20" ht="14.25" customHeight="1" x14ac:dyDescent="0.3">
      <c r="Q1016" s="147"/>
      <c r="R1016" s="147"/>
      <c r="S1016" s="147"/>
      <c r="T1016" s="147"/>
    </row>
    <row r="1017" spans="17:20" ht="14.25" customHeight="1" x14ac:dyDescent="0.3">
      <c r="Q1017" s="147"/>
      <c r="R1017" s="147"/>
      <c r="S1017" s="147"/>
      <c r="T1017" s="147"/>
    </row>
    <row r="1018" spans="17:20" ht="14.25" customHeight="1" x14ac:dyDescent="0.3">
      <c r="Q1018" s="147"/>
      <c r="R1018" s="147"/>
      <c r="S1018" s="147"/>
      <c r="T1018" s="147"/>
    </row>
    <row r="1019" spans="17:20" ht="14.25" customHeight="1" x14ac:dyDescent="0.3">
      <c r="Q1019" s="147"/>
      <c r="R1019" s="147"/>
      <c r="S1019" s="147"/>
      <c r="T1019" s="147"/>
    </row>
    <row r="1020" spans="17:20" ht="14.25" customHeight="1" x14ac:dyDescent="0.3">
      <c r="Q1020" s="147"/>
      <c r="R1020" s="147"/>
      <c r="S1020" s="147"/>
      <c r="T1020" s="147"/>
    </row>
    <row r="1021" spans="17:20" ht="14.25" customHeight="1" x14ac:dyDescent="0.3">
      <c r="Q1021" s="147"/>
      <c r="R1021" s="147"/>
      <c r="S1021" s="147"/>
      <c r="T1021" s="147"/>
    </row>
    <row r="1022" spans="17:20" ht="14.25" customHeight="1" x14ac:dyDescent="0.3">
      <c r="Q1022" s="147"/>
      <c r="R1022" s="147"/>
      <c r="S1022" s="147"/>
      <c r="T1022" s="147"/>
    </row>
    <row r="1023" spans="17:20" ht="14.25" customHeight="1" x14ac:dyDescent="0.3">
      <c r="Q1023" s="147"/>
      <c r="R1023" s="147"/>
      <c r="S1023" s="147"/>
      <c r="T1023" s="147"/>
    </row>
    <row r="1024" spans="17:20" ht="14.25" customHeight="1" x14ac:dyDescent="0.3">
      <c r="Q1024" s="147"/>
      <c r="R1024" s="147"/>
      <c r="S1024" s="147"/>
      <c r="T1024" s="147"/>
    </row>
    <row r="1025" spans="17:20" ht="14.25" customHeight="1" x14ac:dyDescent="0.3">
      <c r="Q1025" s="147"/>
      <c r="R1025" s="147"/>
      <c r="S1025" s="147"/>
      <c r="T1025" s="147"/>
    </row>
    <row r="1026" spans="17:20" ht="14.25" customHeight="1" x14ac:dyDescent="0.3">
      <c r="Q1026" s="147"/>
      <c r="R1026" s="147"/>
      <c r="S1026" s="147"/>
      <c r="T1026" s="147"/>
    </row>
    <row r="1027" spans="17:20" ht="14.25" customHeight="1" x14ac:dyDescent="0.3">
      <c r="Q1027" s="147"/>
      <c r="R1027" s="147"/>
      <c r="S1027" s="147"/>
      <c r="T1027" s="147"/>
    </row>
    <row r="1028" spans="17:20" ht="14.25" customHeight="1" x14ac:dyDescent="0.3">
      <c r="Q1028" s="147"/>
      <c r="R1028" s="147"/>
      <c r="S1028" s="147"/>
      <c r="T1028" s="147"/>
    </row>
    <row r="1029" spans="17:20" ht="14.25" customHeight="1" x14ac:dyDescent="0.3">
      <c r="Q1029" s="147"/>
      <c r="R1029" s="147"/>
      <c r="S1029" s="147"/>
      <c r="T1029" s="147"/>
    </row>
    <row r="1030" spans="17:20" ht="14.25" customHeight="1" x14ac:dyDescent="0.3">
      <c r="Q1030" s="147"/>
      <c r="R1030" s="147"/>
      <c r="S1030" s="147"/>
      <c r="T1030" s="147"/>
    </row>
    <row r="1031" spans="17:20" ht="14.25" customHeight="1" x14ac:dyDescent="0.3">
      <c r="Q1031" s="147"/>
      <c r="R1031" s="147"/>
      <c r="S1031" s="147"/>
      <c r="T1031" s="147"/>
    </row>
    <row r="1032" spans="17:20" ht="14.25" customHeight="1" x14ac:dyDescent="0.3">
      <c r="Q1032" s="147"/>
      <c r="R1032" s="147"/>
      <c r="S1032" s="147"/>
      <c r="T1032" s="147"/>
    </row>
    <row r="1033" spans="17:20" ht="14.25" customHeight="1" x14ac:dyDescent="0.3">
      <c r="Q1033" s="147"/>
      <c r="R1033" s="147"/>
      <c r="S1033" s="147"/>
      <c r="T1033" s="147"/>
    </row>
    <row r="1034" spans="17:20" ht="14.25" customHeight="1" x14ac:dyDescent="0.3">
      <c r="Q1034" s="147"/>
      <c r="R1034" s="147"/>
      <c r="S1034" s="147"/>
      <c r="T1034" s="147"/>
    </row>
    <row r="1035" spans="17:20" ht="14.25" customHeight="1" x14ac:dyDescent="0.3">
      <c r="Q1035" s="147"/>
      <c r="R1035" s="147"/>
      <c r="S1035" s="147"/>
      <c r="T1035" s="147"/>
    </row>
    <row r="1036" spans="17:20" ht="14.25" customHeight="1" x14ac:dyDescent="0.3">
      <c r="Q1036" s="147"/>
      <c r="R1036" s="147"/>
      <c r="S1036" s="147"/>
      <c r="T1036" s="147"/>
    </row>
    <row r="1037" spans="17:20" ht="14.25" customHeight="1" x14ac:dyDescent="0.3">
      <c r="Q1037" s="147"/>
      <c r="R1037" s="147"/>
      <c r="S1037" s="147"/>
      <c r="T1037" s="147"/>
    </row>
    <row r="1038" spans="17:20" ht="14.25" customHeight="1" x14ac:dyDescent="0.3">
      <c r="Q1038" s="147"/>
      <c r="R1038" s="147"/>
      <c r="S1038" s="147"/>
      <c r="T1038" s="147"/>
    </row>
    <row r="1039" spans="17:20" ht="14.25" customHeight="1" x14ac:dyDescent="0.3">
      <c r="Q1039" s="147"/>
      <c r="R1039" s="147"/>
      <c r="S1039" s="147"/>
      <c r="T1039" s="147"/>
    </row>
    <row r="1040" spans="17:20" ht="14.25" customHeight="1" x14ac:dyDescent="0.3">
      <c r="Q1040" s="147"/>
      <c r="R1040" s="147"/>
      <c r="S1040" s="147"/>
      <c r="T1040" s="147"/>
    </row>
    <row r="1041" spans="17:20" ht="14.25" customHeight="1" x14ac:dyDescent="0.3">
      <c r="Q1041" s="147"/>
      <c r="R1041" s="147"/>
      <c r="S1041" s="147"/>
      <c r="T1041" s="147"/>
    </row>
    <row r="1042" spans="17:20" ht="14.25" customHeight="1" x14ac:dyDescent="0.3">
      <c r="Q1042" s="147"/>
      <c r="R1042" s="147"/>
      <c r="S1042" s="147"/>
      <c r="T1042" s="147"/>
    </row>
    <row r="1043" spans="17:20" ht="14.25" customHeight="1" x14ac:dyDescent="0.3">
      <c r="Q1043" s="147"/>
      <c r="R1043" s="147"/>
      <c r="S1043" s="147"/>
      <c r="T1043" s="147"/>
    </row>
    <row r="1044" spans="17:20" ht="14.25" customHeight="1" x14ac:dyDescent="0.3">
      <c r="Q1044" s="147"/>
      <c r="R1044" s="147"/>
      <c r="S1044" s="147"/>
      <c r="T1044" s="147"/>
    </row>
    <row r="1045" spans="17:20" ht="14.25" customHeight="1" x14ac:dyDescent="0.3">
      <c r="Q1045" s="147"/>
      <c r="R1045" s="147"/>
      <c r="S1045" s="147"/>
      <c r="T1045" s="147"/>
    </row>
    <row r="1046" spans="17:20" ht="14.25" customHeight="1" x14ac:dyDescent="0.3">
      <c r="Q1046" s="147"/>
      <c r="R1046" s="147"/>
      <c r="S1046" s="147"/>
      <c r="T1046" s="147"/>
    </row>
    <row r="1047" spans="17:20" ht="14.25" customHeight="1" x14ac:dyDescent="0.3">
      <c r="Q1047" s="147"/>
      <c r="R1047" s="147"/>
      <c r="S1047" s="147"/>
      <c r="T1047" s="147"/>
    </row>
    <row r="1048" spans="17:20" ht="14.25" customHeight="1" x14ac:dyDescent="0.3">
      <c r="Q1048" s="147"/>
      <c r="R1048" s="147"/>
      <c r="S1048" s="147"/>
      <c r="T1048" s="147"/>
    </row>
    <row r="1049" spans="17:20" ht="14.25" customHeight="1" x14ac:dyDescent="0.3">
      <c r="Q1049" s="147"/>
      <c r="R1049" s="147"/>
      <c r="S1049" s="147"/>
      <c r="T1049" s="147"/>
    </row>
    <row r="1050" spans="17:20" ht="14.25" customHeight="1" x14ac:dyDescent="0.3">
      <c r="Q1050" s="147"/>
      <c r="R1050" s="147"/>
      <c r="S1050" s="147"/>
      <c r="T1050" s="147"/>
    </row>
    <row r="1051" spans="17:20" ht="14.25" customHeight="1" x14ac:dyDescent="0.3">
      <c r="Q1051" s="147"/>
      <c r="R1051" s="147"/>
      <c r="S1051" s="147"/>
      <c r="T1051" s="147"/>
    </row>
    <row r="1052" spans="17:20" ht="14.25" customHeight="1" x14ac:dyDescent="0.3">
      <c r="Q1052" s="147"/>
      <c r="R1052" s="147"/>
      <c r="S1052" s="147"/>
      <c r="T1052" s="147"/>
    </row>
    <row r="1053" spans="17:20" ht="14.25" customHeight="1" x14ac:dyDescent="0.3">
      <c r="Q1053" s="147"/>
      <c r="R1053" s="147"/>
      <c r="S1053" s="147"/>
      <c r="T1053" s="147"/>
    </row>
    <row r="1054" spans="17:20" ht="14.25" customHeight="1" x14ac:dyDescent="0.3">
      <c r="Q1054" s="147"/>
      <c r="R1054" s="147"/>
      <c r="S1054" s="147"/>
      <c r="T1054" s="147"/>
    </row>
    <row r="1055" spans="17:20" ht="14.25" customHeight="1" x14ac:dyDescent="0.3">
      <c r="Q1055" s="147"/>
      <c r="R1055" s="147"/>
      <c r="S1055" s="147"/>
      <c r="T1055" s="147"/>
    </row>
  </sheetData>
  <conditionalFormatting sqref="L5:L42">
    <cfRule type="cellIs" dxfId="6" priority="1" operator="greaterThanOrEqual">
      <formula>"44%"</formula>
    </cfRule>
  </conditionalFormatting>
  <conditionalFormatting sqref="L5:L42">
    <cfRule type="cellIs" dxfId="5" priority="2" operator="between">
      <formula>"30%"</formula>
      <formula>"44%"</formula>
    </cfRule>
  </conditionalFormatting>
  <conditionalFormatting sqref="L5:L42">
    <cfRule type="cellIs" dxfId="4" priority="3" operator="lessThanOrEqual">
      <formula>"29.00%"</formula>
    </cfRule>
  </conditionalFormatting>
  <conditionalFormatting sqref="P5:P42 T5:T42 X5:X42 AB5:AB42">
    <cfRule type="cellIs" dxfId="3" priority="4" operator="greaterThanOrEqual">
      <formula>"45%"</formula>
    </cfRule>
  </conditionalFormatting>
  <conditionalFormatting sqref="P5:P42 T5:T42 X5:X42 AB5:AB42">
    <cfRule type="cellIs" dxfId="2" priority="5" operator="between">
      <formula>"30%"</formula>
      <formula>"45%"</formula>
    </cfRule>
  </conditionalFormatting>
  <conditionalFormatting sqref="P5:P42 T5:T42 X5:X42 AB5:AB42">
    <cfRule type="cellIs" dxfId="1" priority="6" operator="between">
      <formula>"30%"</formula>
      <formula>"12%"</formula>
    </cfRule>
  </conditionalFormatting>
  <conditionalFormatting sqref="P5:P42 T5:T42 X5:X42 AB5:AB42">
    <cfRule type="cellIs" dxfId="0" priority="7" operator="lessThanOrEqual">
      <formula>"12%"</formula>
    </cfRule>
  </conditionalFormatting>
  <dataValidations count="1">
    <dataValidation type="list" allowBlank="1" showErrorMessage="1" sqref="A48:D178 B179:D184 A185:D185" xr:uid="{00000000-0002-0000-0900-000000000000}">
      <formula1>#REF!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CAF50"/>
    <outlinePr summaryBelow="0" summaryRight="0"/>
  </sheetPr>
  <dimension ref="A1:K997"/>
  <sheetViews>
    <sheetView workbookViewId="0"/>
  </sheetViews>
  <sheetFormatPr baseColWidth="10" defaultColWidth="14.44140625" defaultRowHeight="15" customHeight="1" x14ac:dyDescent="0.3"/>
  <cols>
    <col min="1" max="1" width="11.33203125" customWidth="1"/>
    <col min="2" max="3" width="14.6640625" customWidth="1"/>
    <col min="4" max="4" width="15.5546875" customWidth="1"/>
    <col min="5" max="5" width="16.88671875" customWidth="1"/>
    <col min="6" max="6" width="14.6640625" customWidth="1"/>
    <col min="7" max="7" width="15.5546875" customWidth="1"/>
    <col min="8" max="8" width="24.5546875" customWidth="1"/>
    <col min="9" max="9" width="15.109375" customWidth="1"/>
    <col min="10" max="10" width="11.109375" customWidth="1"/>
    <col min="11" max="11" width="44.6640625" customWidth="1"/>
  </cols>
  <sheetData>
    <row r="1" spans="1:11" x14ac:dyDescent="0.3">
      <c r="A1" s="30" t="s">
        <v>422</v>
      </c>
      <c r="B1" s="31" t="s">
        <v>950</v>
      </c>
      <c r="C1" s="31" t="s">
        <v>488</v>
      </c>
      <c r="D1" s="31" t="s">
        <v>489</v>
      </c>
      <c r="E1" s="31" t="s">
        <v>490</v>
      </c>
      <c r="F1" s="31" t="s">
        <v>491</v>
      </c>
      <c r="G1" s="31" t="s">
        <v>492</v>
      </c>
      <c r="H1" s="31" t="s">
        <v>951</v>
      </c>
      <c r="I1" s="31" t="s">
        <v>493</v>
      </c>
      <c r="J1" s="31" t="s">
        <v>494</v>
      </c>
      <c r="K1" s="30" t="s">
        <v>196</v>
      </c>
    </row>
    <row r="2" spans="1:11" x14ac:dyDescent="0.3">
      <c r="A2" s="209">
        <v>46097</v>
      </c>
      <c r="B2" s="29" t="str">
        <f t="shared" ref="B2:B20" si="0">TEXT(A2,"dddd")</f>
        <v>lunes</v>
      </c>
      <c r="C2" s="210">
        <v>125000</v>
      </c>
      <c r="D2" s="29">
        <f>SUMIFS(Ventas!$E$2:$E$1002,Ventas!$F$2:$F$1002,Ventas!$K2,Ventas!$A$2:$A$1002,$A2)</f>
        <v>75000</v>
      </c>
      <c r="E2" s="29">
        <f>SUMIFS(Ventas!$E$2:$E$1002,Ventas!$F$2:$F$1002,Ventas!$K4,Ventas!$A$2:$A$1002,$A2)</f>
        <v>0</v>
      </c>
      <c r="F2" s="29">
        <f>SUMIFS(Ventas!$E$2:$E$1002,Ventas!$F$2:$F$1002,Ventas!$K3,Ventas!$A$2:$A$1002,$A2)</f>
        <v>0</v>
      </c>
      <c r="G2" s="29">
        <f>SUMIFS(Gastos!$C$2:$C$1010,Gastos!$E$2:$E$1010,"Efectivo",Gastos!$A$2:$A$1010,A2)</f>
        <v>0</v>
      </c>
      <c r="H2" s="210"/>
      <c r="I2" s="210"/>
      <c r="J2" s="29">
        <f>I2-(C2+D2-G2-H2)</f>
        <v>-200000</v>
      </c>
      <c r="K2" s="25"/>
    </row>
    <row r="3" spans="1:11" x14ac:dyDescent="0.3">
      <c r="A3" s="209">
        <v>46098</v>
      </c>
      <c r="B3" s="29" t="str">
        <f t="shared" si="0"/>
        <v>martes</v>
      </c>
      <c r="C3" s="210"/>
      <c r="D3" s="29">
        <f>SUMIFS(Ventas!$E$2:$E$1002,Ventas!$F$2:$F$1002,Ventas!$K3,Ventas!$A$2:$A$1002,$A3)</f>
        <v>200000</v>
      </c>
      <c r="E3" s="29">
        <f>SUMIFS(Ventas!$E$2:$E$1002,Ventas!$F$2:$F$1002,Ventas!$K5,Ventas!$A$2:$A$1002,$A3)</f>
        <v>0</v>
      </c>
      <c r="F3" s="29">
        <f>SUMIFS(Ventas!$E$2:$E$1002,Ventas!$F$2:$F$1002,Ventas!$K4,Ventas!$A$2:$A$1002,$A3)</f>
        <v>0</v>
      </c>
      <c r="G3" s="29">
        <f>SUMIFS(Gastos!$C$2:$C$1010,Gastos!$E$2:$E$1010,"Efectivo",Gastos!$A$2:$A$1010,A3)</f>
        <v>0</v>
      </c>
      <c r="H3" s="210"/>
      <c r="I3" s="210"/>
      <c r="J3" s="29">
        <f t="shared" ref="J3:J20" si="1">I3-(C3+D3-G3)</f>
        <v>-200000</v>
      </c>
      <c r="K3" s="25"/>
    </row>
    <row r="4" spans="1:11" x14ac:dyDescent="0.3">
      <c r="A4" s="209">
        <v>46099</v>
      </c>
      <c r="B4" s="29" t="str">
        <f t="shared" si="0"/>
        <v>miércoles</v>
      </c>
      <c r="C4" s="210"/>
      <c r="D4" s="29">
        <f>SUMIFS(Ventas!$E$2:$E$1002,Ventas!$F$2:$F$1002,Ventas!$K4,Ventas!$A$2:$A$1002,$A4)</f>
        <v>0</v>
      </c>
      <c r="E4" s="29">
        <f>SUMIFS(Ventas!$E$2:$E$1002,Ventas!$F$2:$F$1002,Ventas!$K6,Ventas!$A$2:$A$1002,$A4)</f>
        <v>0</v>
      </c>
      <c r="F4" s="29">
        <f>SUMIFS(Ventas!$E$2:$E$1002,Ventas!$F$2:$F$1002,Ventas!$K5,Ventas!$A$2:$A$1002,$A4)</f>
        <v>0</v>
      </c>
      <c r="G4" s="29">
        <f>SUMIFS(Gastos!$C$2:$C$1010,Gastos!$E$2:$E$1010,"Efectivo",Gastos!$A$2:$A$1010,A4)</f>
        <v>0</v>
      </c>
      <c r="H4" s="210"/>
      <c r="I4" s="210"/>
      <c r="J4" s="29">
        <f t="shared" si="1"/>
        <v>0</v>
      </c>
      <c r="K4" s="25"/>
    </row>
    <row r="5" spans="1:11" x14ac:dyDescent="0.3">
      <c r="A5" s="209">
        <v>46100</v>
      </c>
      <c r="B5" s="29" t="str">
        <f t="shared" si="0"/>
        <v>jueves</v>
      </c>
      <c r="C5" s="210"/>
      <c r="D5" s="29">
        <f>SUMIFS(Ventas!$E$2:$E$1002,Ventas!$F$2:$F$1002,Ventas!$K5,Ventas!$A$2:$A$1002,$A5)</f>
        <v>0</v>
      </c>
      <c r="E5" s="29">
        <f>SUMIFS(Ventas!$E$2:$E$1002,Ventas!$F$2:$F$1002,Ventas!$K8,Ventas!$A$2:$A$1002,$A5)</f>
        <v>0</v>
      </c>
      <c r="F5" s="29">
        <f>SUMIFS(Ventas!$E$2:$E$1002,Ventas!$F$2:$F$1002,Ventas!$K6,Ventas!$A$2:$A$1002,$A5)</f>
        <v>0</v>
      </c>
      <c r="G5" s="29">
        <f>SUMIFS(Gastos!$C$2:$C$1010,Gastos!$E$2:$E$1010,"Efectivo",Gastos!$A$2:$A$1010,A5)</f>
        <v>0</v>
      </c>
      <c r="H5" s="210"/>
      <c r="I5" s="210"/>
      <c r="J5" s="29">
        <f t="shared" si="1"/>
        <v>0</v>
      </c>
      <c r="K5" s="25"/>
    </row>
    <row r="6" spans="1:11" x14ac:dyDescent="0.3">
      <c r="A6" s="209">
        <v>46101</v>
      </c>
      <c r="B6" s="29" t="str">
        <f t="shared" si="0"/>
        <v>viernes</v>
      </c>
      <c r="C6" s="210"/>
      <c r="D6" s="29">
        <f>SUMIFS(Ventas!$E$2:$E$1002,Ventas!$F$2:$F$1002,Ventas!$K6,Ventas!$A$2:$A$1002,$A6)</f>
        <v>0</v>
      </c>
      <c r="E6" s="29">
        <f>SUMIFS(Ventas!$E$2:$E$1002,Ventas!$F$2:$F$1002,Ventas!$K9,Ventas!$A$2:$A$1002,$A6)</f>
        <v>0</v>
      </c>
      <c r="F6" s="29">
        <f>SUMIFS(Ventas!$E$2:$E$1002,Ventas!$F$2:$F$1002,Ventas!$K8,Ventas!$A$2:$A$1002,$A6)</f>
        <v>0</v>
      </c>
      <c r="G6" s="29">
        <f>SUMIFS(Gastos!$C$2:$C$1010,Gastos!$E$2:$E$1010,"Efectivo",Gastos!$A$2:$A$1010,A6)</f>
        <v>148000</v>
      </c>
      <c r="H6" s="210"/>
      <c r="I6" s="210"/>
      <c r="J6" s="29">
        <f t="shared" si="1"/>
        <v>148000</v>
      </c>
      <c r="K6" s="25"/>
    </row>
    <row r="7" spans="1:11" x14ac:dyDescent="0.3">
      <c r="A7" s="209">
        <v>46102</v>
      </c>
      <c r="B7" s="29" t="str">
        <f t="shared" si="0"/>
        <v>sábado</v>
      </c>
      <c r="C7" s="210"/>
      <c r="D7" s="29">
        <f>SUMIFS(Ventas!$E$2:$E$1002,Ventas!$F$2:$F$1002,Ventas!$K8,Ventas!$A$2:$A$1002,$A7)</f>
        <v>0</v>
      </c>
      <c r="E7" s="29">
        <f>SUMIFS(Ventas!$E$2:$E$1002,Ventas!$F$2:$F$1002,Ventas!$K10,Ventas!$A$2:$A$1002,$A7)</f>
        <v>0</v>
      </c>
      <c r="F7" s="29">
        <f>SUMIFS(Ventas!$E$2:$E$1002,Ventas!$F$2:$F$1002,Ventas!$K9,Ventas!$A$2:$A$1002,$A7)</f>
        <v>0</v>
      </c>
      <c r="G7" s="29">
        <f>SUMIFS(Gastos!$C$2:$C$1010,Gastos!$E$2:$E$1010,"Efectivo",Gastos!$A$2:$A$1010,A7)</f>
        <v>0</v>
      </c>
      <c r="H7" s="210"/>
      <c r="I7" s="210"/>
      <c r="J7" s="29">
        <f t="shared" si="1"/>
        <v>0</v>
      </c>
      <c r="K7" s="25"/>
    </row>
    <row r="8" spans="1:11" x14ac:dyDescent="0.3">
      <c r="A8" s="209">
        <v>46104</v>
      </c>
      <c r="B8" s="29" t="str">
        <f t="shared" si="0"/>
        <v>lunes</v>
      </c>
      <c r="C8" s="210"/>
      <c r="D8" s="29">
        <f>SUMIFS(Ventas!$E$2:$E$1002,Ventas!$F$2:$F$1002,Ventas!$K9,Ventas!$A$2:$A$1002,$A8)</f>
        <v>0</v>
      </c>
      <c r="E8" s="29">
        <f>SUMIFS(Ventas!$E$2:$E$1002,Ventas!$F$2:$F$1002,Ventas!$K11,Ventas!$A$2:$A$1002,$A8)</f>
        <v>0</v>
      </c>
      <c r="F8" s="29">
        <f>SUMIFS(Ventas!$E$2:$E$1002,Ventas!$F$2:$F$1002,Ventas!$K10,Ventas!$A$2:$A$1002,$A8)</f>
        <v>0</v>
      </c>
      <c r="G8" s="29">
        <f>SUMIFS(Gastos!$C$2:$C$1010,Gastos!$E$2:$E$1010,"Efectivo",Gastos!$A$2:$A$1010,A8)</f>
        <v>0</v>
      </c>
      <c r="H8" s="210"/>
      <c r="I8" s="210"/>
      <c r="J8" s="29">
        <f t="shared" si="1"/>
        <v>0</v>
      </c>
    </row>
    <row r="9" spans="1:11" x14ac:dyDescent="0.3">
      <c r="A9" s="209">
        <v>46105</v>
      </c>
      <c r="B9" s="29" t="str">
        <f t="shared" si="0"/>
        <v>martes</v>
      </c>
      <c r="C9" s="210"/>
      <c r="D9" s="29">
        <f>SUMIFS(Ventas!$E$2:$E$1002,Ventas!$F$2:$F$1002,Ventas!$K10,Ventas!$A$2:$A$1002,$A9)</f>
        <v>0</v>
      </c>
      <c r="E9" s="29">
        <f>SUMIFS(Ventas!$E$2:$E$1002,Ventas!$F$2:$F$1002,Ventas!$K12,Ventas!$A$2:$A$1002,$A9)</f>
        <v>0</v>
      </c>
      <c r="F9" s="29">
        <f>SUMIFS(Ventas!$E$2:$E$1002,Ventas!$F$2:$F$1002,Ventas!$K11,Ventas!$A$2:$A$1002,$A9)</f>
        <v>0</v>
      </c>
      <c r="G9" s="29">
        <f>SUMIFS(Gastos!$C$2:$C$1010,Gastos!$E$2:$E$1010,"Efectivo",Gastos!$A$2:$A$1010,A9)</f>
        <v>92000</v>
      </c>
      <c r="H9" s="210"/>
      <c r="I9" s="210"/>
      <c r="J9" s="29">
        <f t="shared" si="1"/>
        <v>92000</v>
      </c>
    </row>
    <row r="10" spans="1:11" x14ac:dyDescent="0.3">
      <c r="A10" s="209">
        <v>46106</v>
      </c>
      <c r="B10" s="29" t="str">
        <f t="shared" si="0"/>
        <v>miércoles</v>
      </c>
      <c r="C10" s="210"/>
      <c r="D10" s="29">
        <f>SUMIFS(Ventas!$E$2:$E$1002,Ventas!$F$2:$F$1002,Ventas!$K11,Ventas!$A$2:$A$1002,$A10)</f>
        <v>0</v>
      </c>
      <c r="E10" s="29">
        <f>SUMIFS(Ventas!$E$2:$E$1002,Ventas!$F$2:$F$1002,Ventas!$K13,Ventas!$A$2:$A$1002,$A10)</f>
        <v>0</v>
      </c>
      <c r="F10" s="29">
        <f>SUMIFS(Ventas!$E$2:$E$1002,Ventas!$F$2:$F$1002,Ventas!$K12,Ventas!$A$2:$A$1002,$A10)</f>
        <v>0</v>
      </c>
      <c r="G10" s="29">
        <f>SUMIFS(Gastos!$C$2:$C$1010,Gastos!$E$2:$E$1010,"Efectivo",Gastos!$A$2:$A$1010,A10)</f>
        <v>0</v>
      </c>
      <c r="H10" s="210"/>
      <c r="I10" s="210"/>
      <c r="J10" s="29">
        <f t="shared" si="1"/>
        <v>0</v>
      </c>
    </row>
    <row r="11" spans="1:11" x14ac:dyDescent="0.3">
      <c r="A11" s="209">
        <v>46107</v>
      </c>
      <c r="B11" s="29" t="str">
        <f t="shared" si="0"/>
        <v>jueves</v>
      </c>
      <c r="C11" s="210"/>
      <c r="D11" s="29">
        <f>SUMIFS(Ventas!$E$2:$E$1002,Ventas!$F$2:$F$1002,Ventas!$K12,Ventas!$A$2:$A$1002,$A11)</f>
        <v>0</v>
      </c>
      <c r="E11" s="29">
        <f>SUMIFS(Ventas!$E$2:$E$1002,Ventas!$F$2:$F$1002,Ventas!$K14,Ventas!$A$2:$A$1002,$A11)</f>
        <v>0</v>
      </c>
      <c r="F11" s="29">
        <f>SUMIFS(Ventas!$E$2:$E$1002,Ventas!$F$2:$F$1002,Ventas!$K13,Ventas!$A$2:$A$1002,$A11)</f>
        <v>0</v>
      </c>
      <c r="G11" s="29">
        <f>SUMIFS(Gastos!$C$2:$C$1010,Gastos!$E$2:$E$1010,"Efectivo",Gastos!$A$2:$A$1010,A11)</f>
        <v>0</v>
      </c>
      <c r="H11" s="210"/>
      <c r="I11" s="210"/>
      <c r="J11" s="29">
        <f t="shared" si="1"/>
        <v>0</v>
      </c>
    </row>
    <row r="12" spans="1:11" x14ac:dyDescent="0.3">
      <c r="A12" s="209">
        <v>46108</v>
      </c>
      <c r="B12" s="29" t="str">
        <f t="shared" si="0"/>
        <v>viernes</v>
      </c>
      <c r="C12" s="210"/>
      <c r="D12" s="29">
        <f>SUMIFS(Ventas!$E$2:$E$1002,Ventas!$F$2:$F$1002,Ventas!$K13,Ventas!$A$2:$A$1002,$A12)</f>
        <v>0</v>
      </c>
      <c r="E12" s="29">
        <f>SUMIFS(Ventas!$E$2:$E$1002,Ventas!$F$2:$F$1002,Ventas!$K15,Ventas!$A$2:$A$1002,$A12)</f>
        <v>0</v>
      </c>
      <c r="F12" s="29">
        <f>SUMIFS(Ventas!$E$2:$E$1002,Ventas!$F$2:$F$1002,Ventas!$K14,Ventas!$A$2:$A$1002,$A12)</f>
        <v>0</v>
      </c>
      <c r="G12" s="29">
        <f>SUMIFS(Gastos!$C$2:$C$1010,Gastos!$E$2:$E$1010,"Efectivo",Gastos!$A$2:$A$1010,A12)</f>
        <v>0</v>
      </c>
      <c r="H12" s="210"/>
      <c r="I12" s="210"/>
      <c r="J12" s="29">
        <f t="shared" si="1"/>
        <v>0</v>
      </c>
    </row>
    <row r="13" spans="1:11" x14ac:dyDescent="0.3">
      <c r="A13" s="209">
        <v>46109</v>
      </c>
      <c r="B13" s="29" t="str">
        <f t="shared" si="0"/>
        <v>sábado</v>
      </c>
      <c r="C13" s="210"/>
      <c r="D13" s="29">
        <f>SUMIFS(Ventas!$E$2:$E$1002,Ventas!$F$2:$F$1002,Ventas!$K14,Ventas!$A$2:$A$1002,$A13)</f>
        <v>0</v>
      </c>
      <c r="E13" s="29">
        <f>SUMIFS(Ventas!$E$2:$E$1002,Ventas!$F$2:$F$1002,Ventas!$K16,Ventas!$A$2:$A$1002,$A13)</f>
        <v>0</v>
      </c>
      <c r="F13" s="29">
        <f>SUMIFS(Ventas!$E$2:$E$1002,Ventas!$F$2:$F$1002,Ventas!$K15,Ventas!$A$2:$A$1002,$A13)</f>
        <v>0</v>
      </c>
      <c r="G13" s="29">
        <f>SUMIFS(Gastos!$C$2:$C$1010,Gastos!$E$2:$E$1010,"Efectivo",Gastos!$A$2:$A$1010,A13)</f>
        <v>0</v>
      </c>
      <c r="H13" s="210"/>
      <c r="I13" s="210"/>
      <c r="J13" s="29">
        <f t="shared" si="1"/>
        <v>0</v>
      </c>
    </row>
    <row r="14" spans="1:11" x14ac:dyDescent="0.3">
      <c r="A14" s="209">
        <v>46111</v>
      </c>
      <c r="B14" s="29" t="str">
        <f t="shared" si="0"/>
        <v>lunes</v>
      </c>
      <c r="C14" s="210"/>
      <c r="D14" s="29">
        <f>SUMIFS(Ventas!$E$2:$E$1002,Ventas!$F$2:$F$1002,Ventas!$K15,Ventas!$A$2:$A$1002,$A14)</f>
        <v>0</v>
      </c>
      <c r="E14" s="29">
        <f>SUMIFS(Ventas!$E$2:$E$1002,Ventas!$F$2:$F$1002,Ventas!$K17,Ventas!$A$2:$A$1002,$A14)</f>
        <v>0</v>
      </c>
      <c r="F14" s="29">
        <f>SUMIFS(Ventas!$E$2:$E$1002,Ventas!$F$2:$F$1002,Ventas!$K16,Ventas!$A$2:$A$1002,$A14)</f>
        <v>0</v>
      </c>
      <c r="G14" s="29">
        <f>SUMIFS(Gastos!$C$2:$C$1010,Gastos!$E$2:$E$1010,"Efectivo",Gastos!$A$2:$A$1010,A14)</f>
        <v>0</v>
      </c>
      <c r="H14" s="210"/>
      <c r="I14" s="210"/>
      <c r="J14" s="29">
        <f t="shared" si="1"/>
        <v>0</v>
      </c>
    </row>
    <row r="15" spans="1:11" x14ac:dyDescent="0.3">
      <c r="A15" s="209">
        <v>46112</v>
      </c>
      <c r="B15" s="29" t="str">
        <f t="shared" si="0"/>
        <v>martes</v>
      </c>
      <c r="C15" s="210"/>
      <c r="D15" s="29">
        <f>SUMIFS(Ventas!$E$2:$E$1002,Ventas!$F$2:$F$1002,Ventas!$K16,Ventas!$A$2:$A$1002,$A15)</f>
        <v>0</v>
      </c>
      <c r="E15" s="29">
        <f>SUMIFS(Ventas!$E$2:$E$1002,Ventas!$F$2:$F$1002,Ventas!$K18,Ventas!$A$2:$A$1002,$A15)</f>
        <v>0</v>
      </c>
      <c r="F15" s="29">
        <f>SUMIFS(Ventas!$E$2:$E$1002,Ventas!$F$2:$F$1002,Ventas!$K17,Ventas!$A$2:$A$1002,$A15)</f>
        <v>0</v>
      </c>
      <c r="G15" s="29">
        <f>SUMIFS(Gastos!$C$2:$C$1010,Gastos!$E$2:$E$1010,"Efectivo",Gastos!$A$2:$A$1010,A15)</f>
        <v>0</v>
      </c>
      <c r="H15" s="210"/>
      <c r="I15" s="210"/>
      <c r="J15" s="29">
        <f t="shared" si="1"/>
        <v>0</v>
      </c>
    </row>
    <row r="16" spans="1:11" x14ac:dyDescent="0.3">
      <c r="A16" s="209">
        <v>46113</v>
      </c>
      <c r="B16" s="29" t="str">
        <f t="shared" si="0"/>
        <v>miércoles</v>
      </c>
      <c r="C16" s="210"/>
      <c r="D16" s="29">
        <f>SUMIFS(Ventas!$E$2:$E$1002,Ventas!$F$2:$F$1002,Ventas!$K17,Ventas!$A$2:$A$1002,$A16)</f>
        <v>0</v>
      </c>
      <c r="E16" s="29">
        <f>SUMIFS(Ventas!$E$2:$E$1002,Ventas!$F$2:$F$1002,Ventas!$K19,Ventas!$A$2:$A$1002,$A16)</f>
        <v>0</v>
      </c>
      <c r="F16" s="29">
        <f>SUMIFS(Ventas!$E$2:$E$1002,Ventas!$F$2:$F$1002,Ventas!$K18,Ventas!$A$2:$A$1002,$A16)</f>
        <v>75000</v>
      </c>
      <c r="G16" s="29">
        <f>SUMIFS(Gastos!$C$2:$C$1010,Gastos!$E$2:$E$1010,"Efectivo",Gastos!$A$2:$A$1010,A16)</f>
        <v>0</v>
      </c>
      <c r="H16" s="210"/>
      <c r="I16" s="210"/>
      <c r="J16" s="29">
        <f t="shared" si="1"/>
        <v>0</v>
      </c>
    </row>
    <row r="17" spans="1:10" x14ac:dyDescent="0.3">
      <c r="A17" s="209">
        <v>46114</v>
      </c>
      <c r="B17" s="29" t="str">
        <f t="shared" si="0"/>
        <v>jueves</v>
      </c>
      <c r="C17" s="210"/>
      <c r="D17" s="29">
        <f>SUMIFS(Ventas!$E$2:$E$1002,Ventas!$F$2:$F$1002,Ventas!$K18,Ventas!$A$2:$A$1002,$A17)</f>
        <v>0</v>
      </c>
      <c r="E17" s="29">
        <f>SUMIFS(Ventas!$E$2:$E$1002,Ventas!$F$2:$F$1002,Ventas!$K21,Ventas!$A$2:$A$1002,$A17)</f>
        <v>0</v>
      </c>
      <c r="F17" s="29">
        <f>SUMIFS(Ventas!$E$2:$E$1002,Ventas!$F$2:$F$1002,Ventas!$K19,Ventas!$A$2:$A$1002,$A17)</f>
        <v>0</v>
      </c>
      <c r="G17" s="29">
        <f>SUMIFS(Gastos!$C$2:$C$1010,Gastos!$E$2:$E$1010,"Efectivo",Gastos!$A$2:$A$1010,A17)</f>
        <v>0</v>
      </c>
      <c r="H17" s="210"/>
      <c r="I17" s="210"/>
      <c r="J17" s="29">
        <f t="shared" si="1"/>
        <v>0</v>
      </c>
    </row>
    <row r="18" spans="1:10" x14ac:dyDescent="0.3">
      <c r="A18" s="209">
        <v>46115</v>
      </c>
      <c r="B18" s="29" t="str">
        <f t="shared" si="0"/>
        <v>viernes</v>
      </c>
      <c r="C18" s="210"/>
      <c r="D18" s="29">
        <f>SUMIFS(Ventas!$E$2:$E$1002,Ventas!$F$2:$F$1002,Ventas!$K19,Ventas!$A$2:$A$1002,$A18)</f>
        <v>0</v>
      </c>
      <c r="E18" s="29">
        <f>SUMIFS(Ventas!$E$2:$E$1002,Ventas!$F$2:$F$1002,#REF!,Ventas!$A$2:$A$1002,$A18)</f>
        <v>0</v>
      </c>
      <c r="F18" s="29">
        <f>SUMIFS(Ventas!$E$2:$E$1002,Ventas!$F$2:$F$1002,Ventas!$K21,Ventas!$A$2:$A$1002,$A18)</f>
        <v>0</v>
      </c>
      <c r="G18" s="29">
        <f>SUMIFS(Gastos!$C$2:$C$1010,Gastos!$E$2:$E$1010,"Efectivo",Gastos!$A$2:$A$1010,A18)</f>
        <v>0</v>
      </c>
      <c r="H18" s="210"/>
      <c r="I18" s="210"/>
      <c r="J18" s="29">
        <f t="shared" si="1"/>
        <v>0</v>
      </c>
    </row>
    <row r="19" spans="1:10" x14ac:dyDescent="0.3">
      <c r="A19" s="209">
        <v>46116</v>
      </c>
      <c r="B19" s="29" t="str">
        <f t="shared" si="0"/>
        <v>sábado</v>
      </c>
      <c r="C19" s="210"/>
      <c r="D19" s="29">
        <f>SUMIFS(Ventas!$E$2:$E$1002,Ventas!$F$2:$F$1002,Ventas!$K21,Ventas!$A$2:$A$1002,$A19)</f>
        <v>0</v>
      </c>
      <c r="E19" s="29">
        <f>SUMIFS(Ventas!$E$2:$E$1002,Ventas!$F$2:$F$1002,#REF!,Ventas!$A$2:$A$1002,$A19)</f>
        <v>0</v>
      </c>
      <c r="F19" s="29">
        <f>SUMIFS(Ventas!$E$2:$E$1002,Ventas!$F$2:$F$1002,#REF!,Ventas!$A$2:$A$1002,$A19)</f>
        <v>0</v>
      </c>
      <c r="G19" s="29">
        <f>SUMIFS(Gastos!$C$2:$C$1010,Gastos!$E$2:$E$1010,"Efectivo",Gastos!$A$2:$A$1010,A19)</f>
        <v>0</v>
      </c>
      <c r="H19" s="210"/>
      <c r="I19" s="210"/>
      <c r="J19" s="29">
        <f t="shared" si="1"/>
        <v>0</v>
      </c>
    </row>
    <row r="20" spans="1:10" x14ac:dyDescent="0.3">
      <c r="A20" s="209">
        <v>46118</v>
      </c>
      <c r="B20" s="29" t="str">
        <f t="shared" si="0"/>
        <v>lunes</v>
      </c>
      <c r="C20" s="210"/>
      <c r="D20" s="29">
        <f>SUMIFS(Ventas!$E$2:$E$1002,Ventas!$F$2:$F$1002,#REF!,Ventas!$A$2:$A$1002,$A20)</f>
        <v>0</v>
      </c>
      <c r="E20" s="29">
        <f>SUMIFS(Ventas!$E$2:$E$1002,Ventas!$F$2:$F$1002,Ventas!$K22,Ventas!$A$2:$A$1002,$A20)</f>
        <v>0</v>
      </c>
      <c r="F20" s="29">
        <f>SUMIFS(Ventas!$E$2:$E$1002,Ventas!$F$2:$F$1002,#REF!,Ventas!$A$2:$A$1002,$A20)</f>
        <v>0</v>
      </c>
      <c r="G20" s="29">
        <f>SUMIFS(Gastos!$C$2:$C$1010,Gastos!$E$2:$E$1010,"Efectivo",Gastos!$A$2:$A$1010,A20)</f>
        <v>10000</v>
      </c>
      <c r="H20" s="210"/>
      <c r="I20" s="210"/>
      <c r="J20" s="29">
        <f t="shared" si="1"/>
        <v>10000</v>
      </c>
    </row>
    <row r="21" spans="1:10" x14ac:dyDescent="0.3">
      <c r="B21" s="16"/>
      <c r="C21" s="60"/>
      <c r="D21" s="16"/>
      <c r="E21" s="16"/>
      <c r="F21" s="16"/>
      <c r="G21" s="16"/>
      <c r="H21" s="60"/>
      <c r="I21" s="60"/>
      <c r="J21" s="16"/>
    </row>
    <row r="22" spans="1:10" x14ac:dyDescent="0.3">
      <c r="B22" s="16"/>
      <c r="C22" s="60"/>
      <c r="D22" s="16"/>
      <c r="E22" s="16"/>
      <c r="F22" s="16"/>
      <c r="G22" s="16"/>
      <c r="H22" s="60"/>
      <c r="I22" s="60"/>
      <c r="J22" s="16"/>
    </row>
    <row r="23" spans="1:10" x14ac:dyDescent="0.3">
      <c r="B23" s="16"/>
      <c r="C23" s="60"/>
      <c r="D23" s="16"/>
      <c r="E23" s="16"/>
      <c r="F23" s="16"/>
      <c r="G23" s="16"/>
      <c r="H23" s="60"/>
      <c r="I23" s="60"/>
      <c r="J23" s="16"/>
    </row>
    <row r="24" spans="1:10" x14ac:dyDescent="0.3">
      <c r="B24" s="16"/>
      <c r="C24" s="60"/>
      <c r="D24" s="16"/>
      <c r="E24" s="16"/>
      <c r="F24" s="16"/>
      <c r="G24" s="16"/>
      <c r="H24" s="60"/>
      <c r="I24" s="60"/>
      <c r="J24" s="16"/>
    </row>
    <row r="25" spans="1:10" x14ac:dyDescent="0.3">
      <c r="B25" s="16"/>
      <c r="C25" s="60"/>
      <c r="D25" s="16"/>
      <c r="E25" s="16"/>
      <c r="F25" s="16"/>
      <c r="G25" s="16"/>
      <c r="H25" s="60"/>
      <c r="I25" s="60"/>
      <c r="J25" s="16"/>
    </row>
    <row r="26" spans="1:10" x14ac:dyDescent="0.3">
      <c r="B26" s="16"/>
      <c r="C26" s="60"/>
      <c r="D26" s="16"/>
      <c r="E26" s="16"/>
      <c r="F26" s="16"/>
      <c r="G26" s="16"/>
      <c r="H26" s="60"/>
      <c r="I26" s="60"/>
      <c r="J26" s="16"/>
    </row>
    <row r="27" spans="1:10" x14ac:dyDescent="0.3">
      <c r="B27" s="16"/>
      <c r="C27" s="60"/>
      <c r="D27" s="16"/>
      <c r="E27" s="16"/>
      <c r="F27" s="16"/>
      <c r="G27" s="16"/>
      <c r="H27" s="60"/>
      <c r="I27" s="60"/>
      <c r="J27" s="16"/>
    </row>
    <row r="28" spans="1:10" x14ac:dyDescent="0.3">
      <c r="B28" s="16"/>
      <c r="C28" s="60"/>
      <c r="D28" s="16"/>
      <c r="E28" s="16"/>
      <c r="F28" s="16"/>
      <c r="G28" s="16"/>
      <c r="H28" s="60"/>
      <c r="I28" s="60"/>
      <c r="J28" s="16"/>
    </row>
    <row r="29" spans="1:10" x14ac:dyDescent="0.3">
      <c r="B29" s="16"/>
      <c r="C29" s="60"/>
      <c r="D29" s="16"/>
      <c r="E29" s="16"/>
      <c r="F29" s="16"/>
      <c r="G29" s="16"/>
      <c r="H29" s="60"/>
      <c r="I29" s="60"/>
      <c r="J29" s="16"/>
    </row>
    <row r="30" spans="1:10" x14ac:dyDescent="0.3">
      <c r="B30" s="16"/>
      <c r="C30" s="60"/>
      <c r="D30" s="16"/>
      <c r="E30" s="16"/>
      <c r="F30" s="16"/>
      <c r="G30" s="16"/>
      <c r="H30" s="60"/>
      <c r="I30" s="60"/>
      <c r="J30" s="16"/>
    </row>
    <row r="31" spans="1:10" x14ac:dyDescent="0.3">
      <c r="B31" s="16"/>
      <c r="C31" s="60"/>
      <c r="D31" s="16"/>
      <c r="E31" s="16"/>
      <c r="F31" s="16"/>
      <c r="G31" s="16"/>
      <c r="H31" s="60"/>
      <c r="I31" s="60"/>
      <c r="J31" s="16"/>
    </row>
    <row r="32" spans="1:10" x14ac:dyDescent="0.3">
      <c r="B32" s="16"/>
      <c r="C32" s="60"/>
      <c r="D32" s="16"/>
      <c r="E32" s="16"/>
      <c r="F32" s="16"/>
      <c r="G32" s="16"/>
      <c r="H32" s="60"/>
      <c r="I32" s="60"/>
      <c r="J32" s="16"/>
    </row>
    <row r="33" spans="2:10" x14ac:dyDescent="0.3">
      <c r="B33" s="16"/>
      <c r="C33" s="60"/>
      <c r="D33" s="16"/>
      <c r="E33" s="16"/>
      <c r="F33" s="16"/>
      <c r="G33" s="16"/>
      <c r="H33" s="60"/>
      <c r="I33" s="60"/>
      <c r="J33" s="16"/>
    </row>
    <row r="34" spans="2:10" x14ac:dyDescent="0.3">
      <c r="B34" s="16"/>
      <c r="C34" s="60"/>
      <c r="D34" s="16"/>
      <c r="E34" s="16"/>
      <c r="F34" s="16"/>
      <c r="G34" s="16"/>
      <c r="H34" s="60"/>
      <c r="I34" s="60"/>
      <c r="J34" s="16"/>
    </row>
    <row r="35" spans="2:10" x14ac:dyDescent="0.3">
      <c r="B35" s="16"/>
      <c r="C35" s="60"/>
      <c r="D35" s="16"/>
      <c r="E35" s="16"/>
      <c r="F35" s="16"/>
      <c r="G35" s="16"/>
      <c r="H35" s="60"/>
      <c r="I35" s="60"/>
      <c r="J35" s="16"/>
    </row>
    <row r="36" spans="2:10" x14ac:dyDescent="0.3">
      <c r="B36" s="16"/>
      <c r="C36" s="60"/>
      <c r="D36" s="16"/>
      <c r="E36" s="16"/>
      <c r="F36" s="16"/>
      <c r="G36" s="16"/>
      <c r="H36" s="60"/>
      <c r="I36" s="60"/>
      <c r="J36" s="16"/>
    </row>
    <row r="37" spans="2:10" x14ac:dyDescent="0.3">
      <c r="B37" s="16"/>
      <c r="C37" s="60"/>
      <c r="D37" s="16"/>
      <c r="E37" s="16"/>
      <c r="F37" s="16"/>
      <c r="G37" s="16"/>
      <c r="H37" s="60"/>
      <c r="I37" s="60"/>
      <c r="J37" s="16"/>
    </row>
    <row r="38" spans="2:10" x14ac:dyDescent="0.3">
      <c r="B38" s="16"/>
      <c r="C38" s="60"/>
      <c r="D38" s="16"/>
      <c r="E38" s="16"/>
      <c r="F38" s="16"/>
      <c r="G38" s="16"/>
      <c r="H38" s="60"/>
      <c r="I38" s="60"/>
      <c r="J38" s="16"/>
    </row>
    <row r="39" spans="2:10" x14ac:dyDescent="0.3">
      <c r="B39" s="16"/>
      <c r="C39" s="60"/>
      <c r="D39" s="16"/>
      <c r="E39" s="16"/>
      <c r="F39" s="16"/>
      <c r="G39" s="16"/>
      <c r="H39" s="60"/>
      <c r="I39" s="60"/>
      <c r="J39" s="16"/>
    </row>
    <row r="40" spans="2:10" x14ac:dyDescent="0.3">
      <c r="B40" s="16"/>
      <c r="C40" s="60"/>
      <c r="D40" s="16"/>
      <c r="E40" s="16"/>
      <c r="F40" s="16"/>
      <c r="G40" s="16"/>
      <c r="H40" s="60"/>
      <c r="I40" s="60"/>
      <c r="J40" s="16"/>
    </row>
    <row r="41" spans="2:10" x14ac:dyDescent="0.3">
      <c r="B41" s="16"/>
      <c r="C41" s="60"/>
      <c r="D41" s="16"/>
      <c r="E41" s="16"/>
      <c r="F41" s="16"/>
      <c r="G41" s="16"/>
      <c r="H41" s="60"/>
      <c r="I41" s="60"/>
      <c r="J41" s="16"/>
    </row>
    <row r="42" spans="2:10" x14ac:dyDescent="0.3">
      <c r="B42" s="16"/>
      <c r="C42" s="60"/>
      <c r="D42" s="16"/>
      <c r="E42" s="16"/>
      <c r="F42" s="16"/>
      <c r="G42" s="16"/>
      <c r="H42" s="60"/>
      <c r="I42" s="60"/>
      <c r="J42" s="16"/>
    </row>
    <row r="43" spans="2:10" x14ac:dyDescent="0.3">
      <c r="B43" s="16"/>
      <c r="C43" s="60"/>
      <c r="D43" s="16"/>
      <c r="E43" s="16"/>
      <c r="F43" s="16"/>
      <c r="G43" s="16"/>
      <c r="H43" s="60"/>
      <c r="I43" s="60"/>
      <c r="J43" s="16"/>
    </row>
    <row r="44" spans="2:10" x14ac:dyDescent="0.3">
      <c r="B44" s="16"/>
      <c r="C44" s="60"/>
      <c r="D44" s="16"/>
      <c r="E44" s="16"/>
      <c r="F44" s="16"/>
      <c r="G44" s="16"/>
      <c r="H44" s="60"/>
      <c r="I44" s="60"/>
      <c r="J44" s="16"/>
    </row>
    <row r="45" spans="2:10" x14ac:dyDescent="0.3">
      <c r="B45" s="16"/>
      <c r="C45" s="60"/>
      <c r="D45" s="16"/>
      <c r="E45" s="16"/>
      <c r="F45" s="16"/>
      <c r="G45" s="16"/>
      <c r="H45" s="60"/>
      <c r="I45" s="60"/>
      <c r="J45" s="16"/>
    </row>
    <row r="46" spans="2:10" x14ac:dyDescent="0.3">
      <c r="B46" s="16"/>
      <c r="C46" s="60"/>
      <c r="D46" s="16"/>
      <c r="E46" s="16"/>
      <c r="F46" s="16"/>
      <c r="G46" s="16"/>
      <c r="H46" s="60"/>
      <c r="I46" s="60"/>
      <c r="J46" s="16"/>
    </row>
    <row r="47" spans="2:10" x14ac:dyDescent="0.3">
      <c r="B47" s="16"/>
      <c r="C47" s="60"/>
      <c r="D47" s="16"/>
      <c r="E47" s="16"/>
      <c r="F47" s="16"/>
      <c r="G47" s="16"/>
      <c r="H47" s="60"/>
      <c r="I47" s="60"/>
      <c r="J47" s="16"/>
    </row>
    <row r="48" spans="2:10" x14ac:dyDescent="0.3">
      <c r="B48" s="16"/>
      <c r="C48" s="60"/>
      <c r="D48" s="16"/>
      <c r="E48" s="16"/>
      <c r="F48" s="16"/>
      <c r="G48" s="16"/>
      <c r="H48" s="60"/>
      <c r="I48" s="60"/>
      <c r="J48" s="16"/>
    </row>
    <row r="49" spans="2:10" x14ac:dyDescent="0.3">
      <c r="B49" s="16"/>
      <c r="C49" s="60"/>
      <c r="D49" s="16"/>
      <c r="E49" s="16"/>
      <c r="F49" s="16"/>
      <c r="G49" s="16"/>
      <c r="H49" s="60"/>
      <c r="I49" s="60"/>
      <c r="J49" s="16"/>
    </row>
    <row r="50" spans="2:10" x14ac:dyDescent="0.3">
      <c r="B50" s="16"/>
      <c r="C50" s="60"/>
      <c r="D50" s="16"/>
      <c r="E50" s="16"/>
      <c r="F50" s="16"/>
      <c r="G50" s="16"/>
      <c r="H50" s="60"/>
      <c r="I50" s="60"/>
      <c r="J50" s="16"/>
    </row>
    <row r="51" spans="2:10" x14ac:dyDescent="0.3">
      <c r="B51" s="16"/>
      <c r="C51" s="60"/>
      <c r="D51" s="16"/>
      <c r="E51" s="16"/>
      <c r="F51" s="16"/>
      <c r="G51" s="16"/>
      <c r="H51" s="60"/>
      <c r="I51" s="60"/>
      <c r="J51" s="16"/>
    </row>
    <row r="52" spans="2:10" x14ac:dyDescent="0.3">
      <c r="B52" s="16"/>
      <c r="C52" s="60"/>
      <c r="D52" s="16"/>
      <c r="E52" s="16"/>
      <c r="F52" s="16"/>
      <c r="G52" s="16"/>
      <c r="H52" s="60"/>
      <c r="I52" s="60"/>
      <c r="J52" s="16"/>
    </row>
    <row r="53" spans="2:10" x14ac:dyDescent="0.3">
      <c r="B53" s="16"/>
      <c r="C53" s="60"/>
      <c r="D53" s="16"/>
      <c r="E53" s="16"/>
      <c r="F53" s="16"/>
      <c r="G53" s="16"/>
      <c r="H53" s="60"/>
      <c r="I53" s="60"/>
      <c r="J53" s="16"/>
    </row>
    <row r="54" spans="2:10" x14ac:dyDescent="0.3">
      <c r="B54" s="16"/>
      <c r="C54" s="60"/>
      <c r="D54" s="16"/>
      <c r="E54" s="16"/>
      <c r="F54" s="16"/>
      <c r="G54" s="16"/>
      <c r="H54" s="60"/>
      <c r="I54" s="60"/>
      <c r="J54" s="16"/>
    </row>
    <row r="55" spans="2:10" x14ac:dyDescent="0.3">
      <c r="B55" s="16"/>
      <c r="C55" s="60"/>
      <c r="D55" s="16"/>
      <c r="E55" s="16"/>
      <c r="F55" s="16"/>
      <c r="G55" s="16"/>
      <c r="H55" s="60"/>
      <c r="I55" s="60"/>
      <c r="J55" s="16"/>
    </row>
    <row r="56" spans="2:10" x14ac:dyDescent="0.3">
      <c r="B56" s="16"/>
      <c r="C56" s="60"/>
      <c r="D56" s="16"/>
      <c r="E56" s="16"/>
      <c r="F56" s="16"/>
      <c r="G56" s="16"/>
      <c r="H56" s="60"/>
      <c r="I56" s="60"/>
      <c r="J56" s="16"/>
    </row>
    <row r="57" spans="2:10" x14ac:dyDescent="0.3">
      <c r="B57" s="16"/>
      <c r="C57" s="60"/>
      <c r="D57" s="16"/>
      <c r="E57" s="16"/>
      <c r="F57" s="16"/>
      <c r="G57" s="16"/>
      <c r="H57" s="60"/>
      <c r="I57" s="60"/>
      <c r="J57" s="16"/>
    </row>
    <row r="58" spans="2:10" x14ac:dyDescent="0.3">
      <c r="B58" s="16"/>
      <c r="C58" s="60"/>
      <c r="D58" s="16"/>
      <c r="E58" s="16"/>
      <c r="F58" s="16"/>
      <c r="G58" s="16"/>
      <c r="H58" s="60"/>
      <c r="I58" s="60"/>
      <c r="J58" s="16"/>
    </row>
    <row r="59" spans="2:10" x14ac:dyDescent="0.3">
      <c r="B59" s="16"/>
      <c r="C59" s="60"/>
      <c r="D59" s="16"/>
      <c r="E59" s="16"/>
      <c r="F59" s="16"/>
      <c r="G59" s="16"/>
      <c r="H59" s="60"/>
      <c r="I59" s="60"/>
      <c r="J59" s="16"/>
    </row>
    <row r="60" spans="2:10" x14ac:dyDescent="0.3">
      <c r="B60" s="16"/>
      <c r="C60" s="60"/>
      <c r="D60" s="16"/>
      <c r="E60" s="16"/>
      <c r="F60" s="16"/>
      <c r="G60" s="16"/>
      <c r="H60" s="60"/>
      <c r="I60" s="60"/>
      <c r="J60" s="16"/>
    </row>
    <row r="61" spans="2:10" x14ac:dyDescent="0.3">
      <c r="B61" s="16"/>
      <c r="C61" s="60"/>
      <c r="D61" s="16"/>
      <c r="E61" s="16"/>
      <c r="F61" s="16"/>
      <c r="G61" s="16"/>
      <c r="H61" s="60"/>
      <c r="I61" s="60"/>
      <c r="J61" s="16"/>
    </row>
    <row r="62" spans="2:10" x14ac:dyDescent="0.3">
      <c r="B62" s="16"/>
      <c r="C62" s="60"/>
      <c r="D62" s="16"/>
      <c r="E62" s="16"/>
      <c r="F62" s="16"/>
      <c r="G62" s="16"/>
      <c r="H62" s="60"/>
      <c r="I62" s="60"/>
      <c r="J62" s="16"/>
    </row>
    <row r="63" spans="2:10" x14ac:dyDescent="0.3">
      <c r="B63" s="16"/>
      <c r="C63" s="60"/>
      <c r="D63" s="16"/>
      <c r="E63" s="16"/>
      <c r="F63" s="16"/>
      <c r="G63" s="16"/>
      <c r="H63" s="60"/>
      <c r="I63" s="60"/>
      <c r="J63" s="16"/>
    </row>
    <row r="64" spans="2:10" x14ac:dyDescent="0.3">
      <c r="B64" s="16"/>
      <c r="C64" s="60"/>
      <c r="D64" s="16"/>
      <c r="E64" s="16"/>
      <c r="F64" s="16"/>
      <c r="G64" s="16"/>
      <c r="H64" s="60"/>
      <c r="I64" s="60"/>
      <c r="J64" s="16"/>
    </row>
    <row r="65" spans="2:10" x14ac:dyDescent="0.3">
      <c r="B65" s="16"/>
      <c r="C65" s="60"/>
      <c r="D65" s="16"/>
      <c r="E65" s="16"/>
      <c r="F65" s="16"/>
      <c r="G65" s="16"/>
      <c r="H65" s="60"/>
      <c r="I65" s="60"/>
      <c r="J65" s="16"/>
    </row>
    <row r="66" spans="2:10" x14ac:dyDescent="0.3">
      <c r="B66" s="16"/>
      <c r="C66" s="60"/>
      <c r="D66" s="16"/>
      <c r="E66" s="16"/>
      <c r="F66" s="16"/>
      <c r="G66" s="16"/>
      <c r="H66" s="60"/>
      <c r="I66" s="60"/>
      <c r="J66" s="16"/>
    </row>
    <row r="67" spans="2:10" x14ac:dyDescent="0.3">
      <c r="B67" s="16"/>
      <c r="C67" s="60"/>
      <c r="D67" s="16"/>
      <c r="E67" s="16"/>
      <c r="F67" s="16"/>
      <c r="G67" s="16"/>
      <c r="H67" s="60"/>
      <c r="I67" s="60"/>
      <c r="J67" s="16"/>
    </row>
    <row r="68" spans="2:10" x14ac:dyDescent="0.3">
      <c r="B68" s="16"/>
      <c r="C68" s="60"/>
      <c r="D68" s="16"/>
      <c r="E68" s="16"/>
      <c r="F68" s="16"/>
      <c r="G68" s="16"/>
      <c r="H68" s="60"/>
      <c r="I68" s="60"/>
      <c r="J68" s="16"/>
    </row>
    <row r="69" spans="2:10" x14ac:dyDescent="0.3">
      <c r="B69" s="16"/>
      <c r="C69" s="60"/>
      <c r="D69" s="16"/>
      <c r="E69" s="16"/>
      <c r="F69" s="16"/>
      <c r="G69" s="16"/>
      <c r="H69" s="60"/>
      <c r="I69" s="60"/>
      <c r="J69" s="16"/>
    </row>
    <row r="70" spans="2:10" x14ac:dyDescent="0.3">
      <c r="B70" s="16"/>
      <c r="C70" s="60"/>
      <c r="D70" s="16"/>
      <c r="E70" s="16"/>
      <c r="F70" s="16"/>
      <c r="G70" s="16"/>
      <c r="H70" s="60"/>
      <c r="I70" s="60"/>
      <c r="J70" s="16"/>
    </row>
    <row r="71" spans="2:10" x14ac:dyDescent="0.3">
      <c r="B71" s="16"/>
      <c r="C71" s="60"/>
      <c r="D71" s="16"/>
      <c r="E71" s="16"/>
      <c r="F71" s="16"/>
      <c r="G71" s="16"/>
      <c r="H71" s="60"/>
      <c r="I71" s="60"/>
      <c r="J71" s="16"/>
    </row>
    <row r="72" spans="2:10" x14ac:dyDescent="0.3">
      <c r="B72" s="16"/>
      <c r="C72" s="60"/>
      <c r="D72" s="16"/>
      <c r="E72" s="16"/>
      <c r="F72" s="16"/>
      <c r="G72" s="16"/>
      <c r="H72" s="60"/>
      <c r="I72" s="60"/>
      <c r="J72" s="16"/>
    </row>
    <row r="73" spans="2:10" x14ac:dyDescent="0.3">
      <c r="B73" s="16"/>
      <c r="C73" s="60"/>
      <c r="D73" s="16"/>
      <c r="E73" s="16"/>
      <c r="F73" s="16"/>
      <c r="G73" s="16"/>
      <c r="H73" s="60"/>
      <c r="I73" s="60"/>
      <c r="J73" s="16"/>
    </row>
    <row r="74" spans="2:10" x14ac:dyDescent="0.3">
      <c r="B74" s="16"/>
      <c r="C74" s="60"/>
      <c r="D74" s="16"/>
      <c r="E74" s="16"/>
      <c r="F74" s="16"/>
      <c r="G74" s="16"/>
      <c r="H74" s="60"/>
      <c r="I74" s="60"/>
      <c r="J74" s="16"/>
    </row>
    <row r="75" spans="2:10" x14ac:dyDescent="0.3">
      <c r="B75" s="16"/>
      <c r="C75" s="60"/>
      <c r="D75" s="16"/>
      <c r="E75" s="16"/>
      <c r="F75" s="16"/>
      <c r="G75" s="16"/>
      <c r="H75" s="60"/>
      <c r="I75" s="60"/>
      <c r="J75" s="16"/>
    </row>
    <row r="76" spans="2:10" x14ac:dyDescent="0.3">
      <c r="B76" s="16"/>
      <c r="C76" s="60"/>
      <c r="D76" s="16"/>
      <c r="E76" s="16"/>
      <c r="F76" s="16"/>
      <c r="G76" s="16"/>
      <c r="H76" s="60"/>
      <c r="I76" s="60"/>
      <c r="J76" s="16"/>
    </row>
    <row r="77" spans="2:10" x14ac:dyDescent="0.3">
      <c r="B77" s="16"/>
      <c r="C77" s="60"/>
      <c r="D77" s="16"/>
      <c r="E77" s="16"/>
      <c r="F77" s="16"/>
      <c r="G77" s="16"/>
      <c r="H77" s="60"/>
      <c r="I77" s="60"/>
      <c r="J77" s="16"/>
    </row>
    <row r="78" spans="2:10" x14ac:dyDescent="0.3">
      <c r="B78" s="16"/>
      <c r="C78" s="60"/>
      <c r="D78" s="16"/>
      <c r="E78" s="16"/>
      <c r="F78" s="16"/>
      <c r="G78" s="16"/>
      <c r="H78" s="60"/>
      <c r="I78" s="60"/>
      <c r="J78" s="16"/>
    </row>
    <row r="79" spans="2:10" x14ac:dyDescent="0.3">
      <c r="B79" s="16"/>
      <c r="C79" s="60"/>
      <c r="D79" s="16"/>
      <c r="E79" s="16"/>
      <c r="F79" s="16"/>
      <c r="G79" s="16"/>
      <c r="H79" s="60"/>
      <c r="I79" s="60"/>
      <c r="J79" s="16"/>
    </row>
    <row r="80" spans="2:10" x14ac:dyDescent="0.3">
      <c r="B80" s="16"/>
      <c r="C80" s="60"/>
      <c r="D80" s="16"/>
      <c r="E80" s="16"/>
      <c r="F80" s="16"/>
      <c r="G80" s="16"/>
      <c r="H80" s="60"/>
      <c r="I80" s="60"/>
      <c r="J80" s="16"/>
    </row>
    <row r="81" spans="2:10" x14ac:dyDescent="0.3">
      <c r="B81" s="16"/>
      <c r="C81" s="60"/>
      <c r="D81" s="16"/>
      <c r="E81" s="16"/>
      <c r="F81" s="16"/>
      <c r="G81" s="16"/>
      <c r="H81" s="60"/>
      <c r="I81" s="60"/>
      <c r="J81" s="16"/>
    </row>
    <row r="82" spans="2:10" x14ac:dyDescent="0.3">
      <c r="B82" s="16"/>
      <c r="C82" s="60"/>
      <c r="D82" s="16"/>
      <c r="E82" s="16"/>
      <c r="F82" s="16"/>
      <c r="G82" s="16"/>
      <c r="H82" s="60"/>
      <c r="I82" s="60"/>
      <c r="J82" s="16"/>
    </row>
    <row r="83" spans="2:10" x14ac:dyDescent="0.3">
      <c r="B83" s="16"/>
      <c r="C83" s="60"/>
      <c r="D83" s="16"/>
      <c r="E83" s="16"/>
      <c r="F83" s="16"/>
      <c r="G83" s="16"/>
      <c r="H83" s="60"/>
      <c r="I83" s="60"/>
      <c r="J83" s="16"/>
    </row>
    <row r="84" spans="2:10" x14ac:dyDescent="0.3">
      <c r="B84" s="16"/>
      <c r="C84" s="60"/>
      <c r="D84" s="16"/>
      <c r="E84" s="16"/>
      <c r="F84" s="16"/>
      <c r="G84" s="16"/>
      <c r="H84" s="60"/>
      <c r="I84" s="60"/>
      <c r="J84" s="16"/>
    </row>
    <row r="85" spans="2:10" x14ac:dyDescent="0.3">
      <c r="B85" s="16"/>
      <c r="C85" s="60"/>
      <c r="D85" s="16"/>
      <c r="E85" s="16"/>
      <c r="F85" s="16"/>
      <c r="G85" s="16"/>
      <c r="H85" s="60"/>
      <c r="I85" s="60"/>
      <c r="J85" s="16"/>
    </row>
    <row r="86" spans="2:10" x14ac:dyDescent="0.3">
      <c r="B86" s="16"/>
      <c r="C86" s="60"/>
      <c r="D86" s="16"/>
      <c r="E86" s="16"/>
      <c r="F86" s="16"/>
      <c r="G86" s="16"/>
      <c r="H86" s="60"/>
      <c r="I86" s="60"/>
      <c r="J86" s="16"/>
    </row>
    <row r="87" spans="2:10" x14ac:dyDescent="0.3">
      <c r="B87" s="16"/>
      <c r="C87" s="60"/>
      <c r="D87" s="16"/>
      <c r="E87" s="16"/>
      <c r="F87" s="16"/>
      <c r="G87" s="16"/>
      <c r="H87" s="60"/>
      <c r="I87" s="60"/>
      <c r="J87" s="16"/>
    </row>
    <row r="88" spans="2:10" x14ac:dyDescent="0.3">
      <c r="B88" s="16"/>
      <c r="C88" s="60"/>
      <c r="D88" s="16"/>
      <c r="E88" s="16"/>
      <c r="F88" s="16"/>
      <c r="G88" s="16"/>
      <c r="H88" s="60"/>
      <c r="I88" s="60"/>
      <c r="J88" s="16"/>
    </row>
    <row r="89" spans="2:10" x14ac:dyDescent="0.3">
      <c r="B89" s="16"/>
      <c r="C89" s="60"/>
      <c r="D89" s="16"/>
      <c r="E89" s="16"/>
      <c r="F89" s="16"/>
      <c r="G89" s="16"/>
      <c r="H89" s="60"/>
      <c r="I89" s="60"/>
      <c r="J89" s="16"/>
    </row>
    <row r="90" spans="2:10" x14ac:dyDescent="0.3">
      <c r="B90" s="16"/>
      <c r="C90" s="60"/>
      <c r="D90" s="16"/>
      <c r="E90" s="16"/>
      <c r="F90" s="16"/>
      <c r="G90" s="16"/>
      <c r="H90" s="60"/>
      <c r="I90" s="60"/>
      <c r="J90" s="16"/>
    </row>
    <row r="91" spans="2:10" x14ac:dyDescent="0.3">
      <c r="B91" s="16"/>
      <c r="C91" s="60"/>
      <c r="D91" s="16"/>
      <c r="E91" s="16"/>
      <c r="F91" s="16"/>
      <c r="G91" s="16"/>
      <c r="H91" s="60"/>
      <c r="I91" s="60"/>
      <c r="J91" s="16"/>
    </row>
    <row r="92" spans="2:10" x14ac:dyDescent="0.3">
      <c r="B92" s="16"/>
      <c r="C92" s="60"/>
      <c r="D92" s="16"/>
      <c r="E92" s="16"/>
      <c r="F92" s="16"/>
      <c r="G92" s="16"/>
      <c r="H92" s="60"/>
      <c r="I92" s="60"/>
      <c r="J92" s="16"/>
    </row>
    <row r="93" spans="2:10" x14ac:dyDescent="0.3">
      <c r="B93" s="16"/>
      <c r="C93" s="60"/>
      <c r="D93" s="16"/>
      <c r="E93" s="16"/>
      <c r="F93" s="16"/>
      <c r="G93" s="16"/>
      <c r="H93" s="60"/>
      <c r="I93" s="60"/>
      <c r="J93" s="16"/>
    </row>
    <row r="94" spans="2:10" x14ac:dyDescent="0.3">
      <c r="B94" s="16"/>
      <c r="C94" s="60"/>
      <c r="D94" s="16"/>
      <c r="E94" s="16"/>
      <c r="F94" s="16"/>
      <c r="G94" s="16"/>
      <c r="H94" s="60"/>
      <c r="I94" s="60"/>
      <c r="J94" s="16"/>
    </row>
    <row r="95" spans="2:10" x14ac:dyDescent="0.3">
      <c r="B95" s="16"/>
      <c r="C95" s="60"/>
      <c r="D95" s="16"/>
      <c r="E95" s="16"/>
      <c r="F95" s="16"/>
      <c r="G95" s="16"/>
      <c r="H95" s="60"/>
      <c r="I95" s="60"/>
      <c r="J95" s="16"/>
    </row>
    <row r="96" spans="2:10" x14ac:dyDescent="0.3">
      <c r="B96" s="16"/>
      <c r="C96" s="60"/>
      <c r="D96" s="16"/>
      <c r="E96" s="16"/>
      <c r="F96" s="16"/>
      <c r="G96" s="16"/>
      <c r="H96" s="60"/>
      <c r="I96" s="60"/>
      <c r="J96" s="16"/>
    </row>
    <row r="97" spans="2:10" x14ac:dyDescent="0.3">
      <c r="B97" s="16"/>
      <c r="C97" s="60"/>
      <c r="D97" s="16"/>
      <c r="E97" s="16"/>
      <c r="F97" s="16"/>
      <c r="G97" s="16"/>
      <c r="H97" s="60"/>
      <c r="I97" s="60"/>
      <c r="J97" s="16"/>
    </row>
    <row r="98" spans="2:10" x14ac:dyDescent="0.3">
      <c r="B98" s="16"/>
      <c r="C98" s="60"/>
      <c r="D98" s="16"/>
      <c r="E98" s="16"/>
      <c r="F98" s="16"/>
      <c r="G98" s="16"/>
      <c r="H98" s="60"/>
      <c r="I98" s="60"/>
      <c r="J98" s="16"/>
    </row>
    <row r="99" spans="2:10" x14ac:dyDescent="0.3">
      <c r="B99" s="16"/>
      <c r="C99" s="60"/>
      <c r="D99" s="16"/>
      <c r="E99" s="16"/>
      <c r="F99" s="16"/>
      <c r="G99" s="16"/>
      <c r="H99" s="60"/>
      <c r="I99" s="60"/>
      <c r="J99" s="16"/>
    </row>
    <row r="100" spans="2:10" x14ac:dyDescent="0.3">
      <c r="B100" s="16"/>
      <c r="C100" s="60"/>
      <c r="D100" s="16"/>
      <c r="E100" s="16"/>
      <c r="F100" s="16"/>
      <c r="G100" s="16"/>
      <c r="H100" s="60"/>
      <c r="I100" s="60"/>
      <c r="J100" s="16"/>
    </row>
    <row r="101" spans="2:10" x14ac:dyDescent="0.3">
      <c r="B101" s="16"/>
      <c r="C101" s="60"/>
      <c r="D101" s="16"/>
      <c r="E101" s="16"/>
      <c r="F101" s="16"/>
      <c r="G101" s="16"/>
      <c r="H101" s="60"/>
      <c r="I101" s="60"/>
      <c r="J101" s="16"/>
    </row>
    <row r="102" spans="2:10" x14ac:dyDescent="0.3">
      <c r="B102" s="16"/>
      <c r="C102" s="60"/>
      <c r="D102" s="16"/>
      <c r="E102" s="16"/>
      <c r="F102" s="16"/>
      <c r="G102" s="16"/>
      <c r="H102" s="60"/>
      <c r="I102" s="60"/>
      <c r="J102" s="16"/>
    </row>
    <row r="103" spans="2:10" x14ac:dyDescent="0.3">
      <c r="B103" s="16"/>
      <c r="C103" s="60"/>
      <c r="D103" s="16"/>
      <c r="E103" s="16"/>
      <c r="F103" s="16"/>
      <c r="G103" s="16"/>
      <c r="H103" s="60"/>
      <c r="I103" s="60"/>
      <c r="J103" s="16"/>
    </row>
    <row r="104" spans="2:10" x14ac:dyDescent="0.3">
      <c r="B104" s="16"/>
      <c r="C104" s="60"/>
      <c r="D104" s="16"/>
      <c r="E104" s="16"/>
      <c r="F104" s="16"/>
      <c r="G104" s="16"/>
      <c r="H104" s="60"/>
      <c r="I104" s="60"/>
      <c r="J104" s="16"/>
    </row>
    <row r="105" spans="2:10" x14ac:dyDescent="0.3">
      <c r="B105" s="16"/>
      <c r="C105" s="60"/>
      <c r="D105" s="16"/>
      <c r="E105" s="16"/>
      <c r="F105" s="16"/>
      <c r="G105" s="16"/>
      <c r="H105" s="60"/>
      <c r="I105" s="60"/>
      <c r="J105" s="16"/>
    </row>
    <row r="106" spans="2:10" x14ac:dyDescent="0.3">
      <c r="B106" s="16"/>
      <c r="C106" s="60"/>
      <c r="D106" s="16"/>
      <c r="E106" s="16"/>
      <c r="F106" s="16"/>
      <c r="G106" s="16"/>
      <c r="H106" s="60"/>
      <c r="I106" s="60"/>
      <c r="J106" s="16"/>
    </row>
    <row r="107" spans="2:10" x14ac:dyDescent="0.3">
      <c r="B107" s="16"/>
      <c r="C107" s="60"/>
      <c r="D107" s="16"/>
      <c r="E107" s="16"/>
      <c r="F107" s="16"/>
      <c r="G107" s="16"/>
      <c r="H107" s="60"/>
      <c r="I107" s="60"/>
      <c r="J107" s="16"/>
    </row>
    <row r="108" spans="2:10" x14ac:dyDescent="0.3">
      <c r="B108" s="16"/>
      <c r="C108" s="60"/>
      <c r="D108" s="16"/>
      <c r="E108" s="16"/>
      <c r="F108" s="16"/>
      <c r="G108" s="16"/>
      <c r="H108" s="60"/>
      <c r="I108" s="60"/>
      <c r="J108" s="16"/>
    </row>
    <row r="109" spans="2:10" x14ac:dyDescent="0.3">
      <c r="B109" s="16"/>
      <c r="C109" s="60"/>
      <c r="D109" s="16"/>
      <c r="E109" s="16"/>
      <c r="F109" s="16"/>
      <c r="G109" s="16"/>
      <c r="H109" s="60"/>
      <c r="I109" s="60"/>
      <c r="J109" s="16"/>
    </row>
    <row r="110" spans="2:10" x14ac:dyDescent="0.3">
      <c r="B110" s="16"/>
      <c r="C110" s="60"/>
      <c r="D110" s="16"/>
      <c r="E110" s="16"/>
      <c r="F110" s="16"/>
      <c r="G110" s="16"/>
      <c r="H110" s="60"/>
      <c r="I110" s="60"/>
      <c r="J110" s="16"/>
    </row>
    <row r="111" spans="2:10" x14ac:dyDescent="0.3">
      <c r="B111" s="16"/>
      <c r="C111" s="60"/>
      <c r="D111" s="16"/>
      <c r="E111" s="16"/>
      <c r="F111" s="16"/>
      <c r="G111" s="16"/>
      <c r="H111" s="60"/>
      <c r="I111" s="60"/>
      <c r="J111" s="16"/>
    </row>
    <row r="112" spans="2:10" x14ac:dyDescent="0.3">
      <c r="B112" s="16"/>
      <c r="C112" s="60"/>
      <c r="D112" s="16"/>
      <c r="E112" s="16"/>
      <c r="F112" s="16"/>
      <c r="G112" s="16"/>
      <c r="H112" s="60"/>
      <c r="I112" s="60"/>
      <c r="J112" s="16"/>
    </row>
    <row r="113" spans="2:10" x14ac:dyDescent="0.3">
      <c r="B113" s="16"/>
      <c r="C113" s="60"/>
      <c r="D113" s="16"/>
      <c r="E113" s="16"/>
      <c r="F113" s="16"/>
      <c r="G113" s="16"/>
      <c r="H113" s="60"/>
      <c r="I113" s="60"/>
      <c r="J113" s="16"/>
    </row>
    <row r="114" spans="2:10" x14ac:dyDescent="0.3">
      <c r="B114" s="16"/>
      <c r="C114" s="60"/>
      <c r="D114" s="16"/>
      <c r="E114" s="16"/>
      <c r="F114" s="16"/>
      <c r="G114" s="16"/>
      <c r="H114" s="60"/>
      <c r="I114" s="60"/>
      <c r="J114" s="16"/>
    </row>
    <row r="115" spans="2:10" x14ac:dyDescent="0.3">
      <c r="B115" s="16"/>
      <c r="C115" s="60"/>
      <c r="D115" s="16"/>
      <c r="E115" s="16"/>
      <c r="F115" s="16"/>
      <c r="G115" s="16"/>
      <c r="H115" s="60"/>
      <c r="I115" s="60"/>
      <c r="J115" s="16"/>
    </row>
    <row r="116" spans="2:10" x14ac:dyDescent="0.3">
      <c r="B116" s="16"/>
      <c r="C116" s="60"/>
      <c r="D116" s="16"/>
      <c r="E116" s="16"/>
      <c r="F116" s="16"/>
      <c r="G116" s="16"/>
      <c r="H116" s="60"/>
      <c r="I116" s="60"/>
      <c r="J116" s="16"/>
    </row>
    <row r="117" spans="2:10" x14ac:dyDescent="0.3">
      <c r="B117" s="16"/>
      <c r="C117" s="60"/>
      <c r="D117" s="16"/>
      <c r="E117" s="16"/>
      <c r="F117" s="16"/>
      <c r="G117" s="16"/>
      <c r="H117" s="60"/>
      <c r="I117" s="60"/>
      <c r="J117" s="16"/>
    </row>
    <row r="118" spans="2:10" x14ac:dyDescent="0.3">
      <c r="B118" s="16"/>
      <c r="C118" s="60"/>
      <c r="D118" s="16"/>
      <c r="E118" s="16"/>
      <c r="F118" s="16"/>
      <c r="G118" s="16"/>
      <c r="H118" s="60"/>
      <c r="I118" s="60"/>
      <c r="J118" s="16"/>
    </row>
    <row r="119" spans="2:10" x14ac:dyDescent="0.3">
      <c r="B119" s="16"/>
      <c r="C119" s="60"/>
      <c r="D119" s="16"/>
      <c r="E119" s="16"/>
      <c r="F119" s="16"/>
      <c r="G119" s="16"/>
      <c r="H119" s="60"/>
      <c r="I119" s="60"/>
      <c r="J119" s="16"/>
    </row>
    <row r="120" spans="2:10" x14ac:dyDescent="0.3">
      <c r="B120" s="16"/>
      <c r="C120" s="60"/>
      <c r="D120" s="16"/>
      <c r="E120" s="16"/>
      <c r="F120" s="16"/>
      <c r="G120" s="16"/>
      <c r="H120" s="60"/>
      <c r="I120" s="60"/>
      <c r="J120" s="16"/>
    </row>
    <row r="121" spans="2:10" x14ac:dyDescent="0.3">
      <c r="B121" s="16"/>
      <c r="C121" s="60"/>
      <c r="D121" s="16"/>
      <c r="E121" s="16"/>
      <c r="F121" s="16"/>
      <c r="G121" s="16"/>
      <c r="H121" s="60"/>
      <c r="I121" s="60"/>
      <c r="J121" s="16"/>
    </row>
    <row r="122" spans="2:10" x14ac:dyDescent="0.3">
      <c r="B122" s="16"/>
      <c r="C122" s="60"/>
      <c r="D122" s="16"/>
      <c r="E122" s="16"/>
      <c r="F122" s="16"/>
      <c r="G122" s="16"/>
      <c r="H122" s="60"/>
      <c r="I122" s="60"/>
      <c r="J122" s="16"/>
    </row>
    <row r="123" spans="2:10" x14ac:dyDescent="0.3">
      <c r="B123" s="16"/>
      <c r="C123" s="60"/>
      <c r="D123" s="16"/>
      <c r="E123" s="16"/>
      <c r="F123" s="16"/>
      <c r="G123" s="16"/>
      <c r="H123" s="60"/>
      <c r="I123" s="60"/>
      <c r="J123" s="16"/>
    </row>
    <row r="124" spans="2:10" x14ac:dyDescent="0.3">
      <c r="B124" s="16"/>
      <c r="C124" s="60"/>
      <c r="D124" s="16"/>
      <c r="E124" s="16"/>
      <c r="F124" s="16"/>
      <c r="G124" s="16"/>
      <c r="H124" s="60"/>
      <c r="I124" s="60"/>
      <c r="J124" s="16"/>
    </row>
    <row r="125" spans="2:10" x14ac:dyDescent="0.3">
      <c r="B125" s="16"/>
      <c r="C125" s="60"/>
      <c r="D125" s="16"/>
      <c r="E125" s="16"/>
      <c r="F125" s="16"/>
      <c r="G125" s="16"/>
      <c r="H125" s="60"/>
      <c r="I125" s="60"/>
      <c r="J125" s="16"/>
    </row>
    <row r="126" spans="2:10" x14ac:dyDescent="0.3">
      <c r="B126" s="16"/>
      <c r="C126" s="60"/>
      <c r="D126" s="16"/>
      <c r="E126" s="16"/>
      <c r="F126" s="16"/>
      <c r="G126" s="16"/>
      <c r="H126" s="60"/>
      <c r="I126" s="60"/>
      <c r="J126" s="16"/>
    </row>
    <row r="127" spans="2:10" x14ac:dyDescent="0.3">
      <c r="B127" s="16"/>
      <c r="C127" s="60"/>
      <c r="D127" s="16"/>
      <c r="E127" s="16"/>
      <c r="F127" s="16"/>
      <c r="G127" s="16"/>
      <c r="H127" s="60"/>
      <c r="I127" s="60"/>
      <c r="J127" s="16"/>
    </row>
    <row r="128" spans="2:10" x14ac:dyDescent="0.3">
      <c r="B128" s="16"/>
      <c r="C128" s="60"/>
      <c r="D128" s="16"/>
      <c r="E128" s="16"/>
      <c r="F128" s="16"/>
      <c r="G128" s="16"/>
      <c r="H128" s="60"/>
      <c r="I128" s="60"/>
      <c r="J128" s="16"/>
    </row>
    <row r="129" spans="2:10" x14ac:dyDescent="0.3">
      <c r="B129" s="16"/>
      <c r="C129" s="60"/>
      <c r="D129" s="16"/>
      <c r="E129" s="16"/>
      <c r="F129" s="16"/>
      <c r="G129" s="16"/>
      <c r="H129" s="60"/>
      <c r="I129" s="60"/>
      <c r="J129" s="16"/>
    </row>
    <row r="130" spans="2:10" x14ac:dyDescent="0.3">
      <c r="B130" s="16"/>
      <c r="C130" s="60"/>
      <c r="D130" s="16"/>
      <c r="E130" s="16"/>
      <c r="F130" s="16"/>
      <c r="G130" s="16"/>
      <c r="H130" s="60"/>
      <c r="I130" s="60"/>
      <c r="J130" s="16"/>
    </row>
    <row r="131" spans="2:10" x14ac:dyDescent="0.3">
      <c r="B131" s="16"/>
      <c r="C131" s="60"/>
      <c r="D131" s="16"/>
      <c r="E131" s="16"/>
      <c r="F131" s="16"/>
      <c r="G131" s="16"/>
      <c r="H131" s="60"/>
      <c r="I131" s="60"/>
      <c r="J131" s="16"/>
    </row>
    <row r="132" spans="2:10" x14ac:dyDescent="0.3">
      <c r="B132" s="16"/>
      <c r="C132" s="60"/>
      <c r="D132" s="16"/>
      <c r="E132" s="16"/>
      <c r="F132" s="16"/>
      <c r="G132" s="16"/>
      <c r="H132" s="60"/>
      <c r="I132" s="60"/>
      <c r="J132" s="16"/>
    </row>
    <row r="133" spans="2:10" x14ac:dyDescent="0.3">
      <c r="B133" s="16"/>
      <c r="C133" s="60"/>
      <c r="D133" s="16"/>
      <c r="E133" s="16"/>
      <c r="F133" s="16"/>
      <c r="G133" s="16"/>
      <c r="H133" s="60"/>
      <c r="I133" s="60"/>
      <c r="J133" s="16"/>
    </row>
    <row r="134" spans="2:10" x14ac:dyDescent="0.3">
      <c r="B134" s="16"/>
      <c r="C134" s="60"/>
      <c r="D134" s="16"/>
      <c r="E134" s="16"/>
      <c r="F134" s="16"/>
      <c r="G134" s="16"/>
      <c r="H134" s="60"/>
      <c r="I134" s="60"/>
      <c r="J134" s="16"/>
    </row>
    <row r="135" spans="2:10" x14ac:dyDescent="0.3">
      <c r="B135" s="16"/>
      <c r="C135" s="60"/>
      <c r="D135" s="16"/>
      <c r="E135" s="16"/>
      <c r="F135" s="16"/>
      <c r="G135" s="16"/>
      <c r="H135" s="60"/>
      <c r="I135" s="60"/>
      <c r="J135" s="16"/>
    </row>
    <row r="136" spans="2:10" x14ac:dyDescent="0.3">
      <c r="B136" s="16"/>
      <c r="C136" s="60"/>
      <c r="D136" s="16"/>
      <c r="E136" s="16"/>
      <c r="F136" s="16"/>
      <c r="G136" s="16"/>
      <c r="H136" s="60"/>
      <c r="I136" s="60"/>
      <c r="J136" s="16"/>
    </row>
    <row r="137" spans="2:10" x14ac:dyDescent="0.3">
      <c r="B137" s="16"/>
      <c r="C137" s="60"/>
      <c r="D137" s="16"/>
      <c r="E137" s="16"/>
      <c r="F137" s="16"/>
      <c r="G137" s="16"/>
      <c r="H137" s="60"/>
      <c r="I137" s="60"/>
      <c r="J137" s="16"/>
    </row>
    <row r="138" spans="2:10" x14ac:dyDescent="0.3">
      <c r="B138" s="16"/>
      <c r="C138" s="60"/>
      <c r="D138" s="16"/>
      <c r="E138" s="16"/>
      <c r="F138" s="16"/>
      <c r="G138" s="16"/>
      <c r="H138" s="60"/>
      <c r="I138" s="60"/>
      <c r="J138" s="16"/>
    </row>
    <row r="139" spans="2:10" x14ac:dyDescent="0.3">
      <c r="B139" s="16"/>
      <c r="C139" s="60"/>
      <c r="D139" s="16"/>
      <c r="E139" s="16"/>
      <c r="F139" s="16"/>
      <c r="G139" s="16"/>
      <c r="H139" s="60"/>
      <c r="I139" s="60"/>
      <c r="J139" s="16"/>
    </row>
    <row r="140" spans="2:10" x14ac:dyDescent="0.3">
      <c r="B140" s="16"/>
      <c r="C140" s="60"/>
      <c r="D140" s="16"/>
      <c r="E140" s="16"/>
      <c r="F140" s="16"/>
      <c r="G140" s="16"/>
      <c r="H140" s="60"/>
      <c r="I140" s="60"/>
      <c r="J140" s="16"/>
    </row>
    <row r="141" spans="2:10" x14ac:dyDescent="0.3">
      <c r="B141" s="16"/>
      <c r="C141" s="60"/>
      <c r="D141" s="16"/>
      <c r="E141" s="16"/>
      <c r="F141" s="16"/>
      <c r="G141" s="16"/>
      <c r="H141" s="60"/>
      <c r="I141" s="60"/>
      <c r="J141" s="16"/>
    </row>
    <row r="142" spans="2:10" x14ac:dyDescent="0.3">
      <c r="B142" s="16"/>
      <c r="C142" s="60"/>
      <c r="D142" s="16"/>
      <c r="E142" s="16"/>
      <c r="F142" s="16"/>
      <c r="G142" s="16"/>
      <c r="H142" s="60"/>
      <c r="I142" s="60"/>
      <c r="J142" s="16"/>
    </row>
    <row r="143" spans="2:10" x14ac:dyDescent="0.3">
      <c r="B143" s="16"/>
      <c r="C143" s="60"/>
      <c r="D143" s="16"/>
      <c r="E143" s="16"/>
      <c r="F143" s="16"/>
      <c r="G143" s="16"/>
      <c r="H143" s="60"/>
      <c r="I143" s="60"/>
      <c r="J143" s="16"/>
    </row>
    <row r="144" spans="2:10" x14ac:dyDescent="0.3">
      <c r="B144" s="16"/>
      <c r="C144" s="60"/>
      <c r="D144" s="16"/>
      <c r="E144" s="16"/>
      <c r="F144" s="16"/>
      <c r="G144" s="16"/>
      <c r="H144" s="60"/>
      <c r="I144" s="60"/>
      <c r="J144" s="16"/>
    </row>
    <row r="145" spans="2:10" x14ac:dyDescent="0.3">
      <c r="B145" s="16"/>
      <c r="C145" s="60"/>
      <c r="D145" s="16"/>
      <c r="E145" s="16"/>
      <c r="F145" s="16"/>
      <c r="G145" s="16"/>
      <c r="H145" s="60"/>
      <c r="I145" s="60"/>
      <c r="J145" s="16"/>
    </row>
    <row r="146" spans="2:10" x14ac:dyDescent="0.3">
      <c r="B146" s="16"/>
      <c r="C146" s="60"/>
      <c r="D146" s="16"/>
      <c r="E146" s="16"/>
      <c r="F146" s="16"/>
      <c r="G146" s="16"/>
      <c r="H146" s="60"/>
      <c r="I146" s="60"/>
      <c r="J146" s="16"/>
    </row>
    <row r="147" spans="2:10" x14ac:dyDescent="0.3">
      <c r="B147" s="16"/>
      <c r="C147" s="60"/>
      <c r="D147" s="16"/>
      <c r="E147" s="16"/>
      <c r="F147" s="16"/>
      <c r="G147" s="16"/>
      <c r="H147" s="60"/>
      <c r="I147" s="60"/>
      <c r="J147" s="16"/>
    </row>
    <row r="148" spans="2:10" x14ac:dyDescent="0.3">
      <c r="B148" s="16"/>
      <c r="C148" s="60"/>
      <c r="D148" s="16"/>
      <c r="E148" s="16"/>
      <c r="F148" s="16"/>
      <c r="G148" s="16"/>
      <c r="H148" s="60"/>
      <c r="I148" s="60"/>
      <c r="J148" s="16"/>
    </row>
    <row r="149" spans="2:10" x14ac:dyDescent="0.3">
      <c r="B149" s="16"/>
      <c r="C149" s="60"/>
      <c r="D149" s="16"/>
      <c r="E149" s="16"/>
      <c r="F149" s="16"/>
      <c r="G149" s="16"/>
      <c r="H149" s="60"/>
      <c r="I149" s="60"/>
      <c r="J149" s="16"/>
    </row>
    <row r="150" spans="2:10" x14ac:dyDescent="0.3">
      <c r="B150" s="16"/>
      <c r="C150" s="60"/>
      <c r="D150" s="16"/>
      <c r="E150" s="16"/>
      <c r="F150" s="16"/>
      <c r="G150" s="16"/>
      <c r="H150" s="60"/>
      <c r="I150" s="60"/>
      <c r="J150" s="16"/>
    </row>
    <row r="151" spans="2:10" x14ac:dyDescent="0.3">
      <c r="B151" s="16"/>
      <c r="C151" s="60"/>
      <c r="D151" s="16"/>
      <c r="E151" s="16"/>
      <c r="F151" s="16"/>
      <c r="G151" s="16"/>
      <c r="H151" s="60"/>
      <c r="I151" s="60"/>
      <c r="J151" s="16"/>
    </row>
    <row r="152" spans="2:10" x14ac:dyDescent="0.3">
      <c r="B152" s="16"/>
      <c r="C152" s="60"/>
      <c r="D152" s="16"/>
      <c r="E152" s="16"/>
      <c r="F152" s="16"/>
      <c r="G152" s="16"/>
      <c r="H152" s="60"/>
      <c r="I152" s="60"/>
      <c r="J152" s="16"/>
    </row>
    <row r="153" spans="2:10" x14ac:dyDescent="0.3">
      <c r="B153" s="16"/>
      <c r="C153" s="60"/>
      <c r="D153" s="16"/>
      <c r="E153" s="16"/>
      <c r="F153" s="16"/>
      <c r="G153" s="16"/>
      <c r="H153" s="60"/>
      <c r="I153" s="60"/>
      <c r="J153" s="16"/>
    </row>
    <row r="154" spans="2:10" x14ac:dyDescent="0.3">
      <c r="B154" s="16"/>
      <c r="C154" s="60"/>
      <c r="D154" s="16"/>
      <c r="E154" s="16"/>
      <c r="F154" s="16"/>
      <c r="G154" s="16"/>
      <c r="H154" s="60"/>
      <c r="I154" s="60"/>
      <c r="J154" s="16"/>
    </row>
    <row r="155" spans="2:10" x14ac:dyDescent="0.3">
      <c r="B155" s="16"/>
      <c r="C155" s="60"/>
      <c r="D155" s="16"/>
      <c r="E155" s="16"/>
      <c r="F155" s="16"/>
      <c r="G155" s="16"/>
      <c r="H155" s="60"/>
      <c r="I155" s="60"/>
      <c r="J155" s="16"/>
    </row>
    <row r="156" spans="2:10" x14ac:dyDescent="0.3">
      <c r="B156" s="16"/>
      <c r="C156" s="60"/>
      <c r="D156" s="16"/>
      <c r="E156" s="16"/>
      <c r="F156" s="16"/>
      <c r="G156" s="16"/>
      <c r="H156" s="60"/>
      <c r="I156" s="60"/>
      <c r="J156" s="16"/>
    </row>
    <row r="157" spans="2:10" x14ac:dyDescent="0.3">
      <c r="B157" s="16"/>
      <c r="C157" s="60"/>
      <c r="D157" s="16"/>
      <c r="E157" s="16"/>
      <c r="F157" s="16"/>
      <c r="G157" s="16"/>
      <c r="H157" s="60"/>
      <c r="I157" s="60"/>
      <c r="J157" s="16"/>
    </row>
    <row r="158" spans="2:10" x14ac:dyDescent="0.3">
      <c r="B158" s="16"/>
      <c r="C158" s="60"/>
      <c r="D158" s="16"/>
      <c r="E158" s="16"/>
      <c r="F158" s="16"/>
      <c r="G158" s="16"/>
      <c r="H158" s="60"/>
      <c r="I158" s="60"/>
      <c r="J158" s="16"/>
    </row>
    <row r="159" spans="2:10" x14ac:dyDescent="0.3">
      <c r="B159" s="16"/>
      <c r="C159" s="60"/>
      <c r="D159" s="16"/>
      <c r="E159" s="16"/>
      <c r="F159" s="16"/>
      <c r="G159" s="16"/>
      <c r="H159" s="60"/>
      <c r="I159" s="60"/>
      <c r="J159" s="16"/>
    </row>
    <row r="160" spans="2:10" x14ac:dyDescent="0.3">
      <c r="B160" s="16"/>
      <c r="C160" s="60"/>
      <c r="D160" s="16"/>
      <c r="E160" s="16"/>
      <c r="F160" s="16"/>
      <c r="G160" s="16"/>
      <c r="H160" s="60"/>
      <c r="I160" s="60"/>
      <c r="J160" s="16"/>
    </row>
    <row r="161" spans="2:10" x14ac:dyDescent="0.3">
      <c r="B161" s="16"/>
      <c r="C161" s="60"/>
      <c r="D161" s="16"/>
      <c r="E161" s="16"/>
      <c r="F161" s="16"/>
      <c r="G161" s="16"/>
      <c r="H161" s="60"/>
      <c r="I161" s="60"/>
      <c r="J161" s="16"/>
    </row>
    <row r="162" spans="2:10" x14ac:dyDescent="0.3">
      <c r="B162" s="16"/>
      <c r="C162" s="60"/>
      <c r="D162" s="16"/>
      <c r="E162" s="16"/>
      <c r="F162" s="16"/>
      <c r="G162" s="16"/>
      <c r="H162" s="60"/>
      <c r="I162" s="60"/>
      <c r="J162" s="16"/>
    </row>
    <row r="163" spans="2:10" x14ac:dyDescent="0.3">
      <c r="B163" s="16"/>
      <c r="C163" s="60"/>
      <c r="D163" s="16"/>
      <c r="E163" s="16"/>
      <c r="F163" s="16"/>
      <c r="G163" s="16"/>
      <c r="H163" s="60"/>
      <c r="I163" s="60"/>
      <c r="J163" s="16"/>
    </row>
    <row r="164" spans="2:10" x14ac:dyDescent="0.3">
      <c r="B164" s="16"/>
      <c r="C164" s="60"/>
      <c r="D164" s="16"/>
      <c r="E164" s="16"/>
      <c r="F164" s="16"/>
      <c r="G164" s="16"/>
      <c r="H164" s="60"/>
      <c r="I164" s="60"/>
      <c r="J164" s="16"/>
    </row>
    <row r="165" spans="2:10" x14ac:dyDescent="0.3">
      <c r="B165" s="16"/>
      <c r="C165" s="60"/>
      <c r="D165" s="16"/>
      <c r="E165" s="16"/>
      <c r="F165" s="16"/>
      <c r="G165" s="16"/>
      <c r="H165" s="60"/>
      <c r="I165" s="60"/>
      <c r="J165" s="16"/>
    </row>
    <row r="166" spans="2:10" x14ac:dyDescent="0.3">
      <c r="B166" s="16"/>
      <c r="C166" s="60"/>
      <c r="D166" s="16"/>
      <c r="E166" s="16"/>
      <c r="F166" s="16"/>
      <c r="G166" s="16"/>
      <c r="H166" s="60"/>
      <c r="I166" s="60"/>
      <c r="J166" s="16"/>
    </row>
    <row r="167" spans="2:10" x14ac:dyDescent="0.3">
      <c r="B167" s="16"/>
      <c r="C167" s="60"/>
      <c r="D167" s="16"/>
      <c r="E167" s="16"/>
      <c r="F167" s="16"/>
      <c r="G167" s="16"/>
      <c r="H167" s="60"/>
      <c r="I167" s="60"/>
      <c r="J167" s="16"/>
    </row>
    <row r="168" spans="2:10" x14ac:dyDescent="0.3">
      <c r="B168" s="16"/>
      <c r="C168" s="60"/>
      <c r="D168" s="16"/>
      <c r="E168" s="16"/>
      <c r="F168" s="16"/>
      <c r="G168" s="16"/>
      <c r="H168" s="60"/>
      <c r="I168" s="60"/>
      <c r="J168" s="16"/>
    </row>
    <row r="169" spans="2:10" x14ac:dyDescent="0.3">
      <c r="B169" s="16"/>
      <c r="C169" s="60"/>
      <c r="D169" s="16"/>
      <c r="E169" s="16"/>
      <c r="F169" s="16"/>
      <c r="G169" s="16"/>
      <c r="H169" s="60"/>
      <c r="I169" s="60"/>
      <c r="J169" s="16"/>
    </row>
    <row r="170" spans="2:10" x14ac:dyDescent="0.3">
      <c r="B170" s="16"/>
      <c r="C170" s="60"/>
      <c r="D170" s="16"/>
      <c r="E170" s="16"/>
      <c r="F170" s="16"/>
      <c r="G170" s="16"/>
      <c r="H170" s="60"/>
      <c r="I170" s="60"/>
      <c r="J170" s="16"/>
    </row>
    <row r="171" spans="2:10" x14ac:dyDescent="0.3">
      <c r="B171" s="16"/>
      <c r="C171" s="60"/>
      <c r="D171" s="16"/>
      <c r="E171" s="16"/>
      <c r="F171" s="16"/>
      <c r="G171" s="16"/>
      <c r="H171" s="60"/>
      <c r="I171" s="60"/>
      <c r="J171" s="16"/>
    </row>
    <row r="172" spans="2:10" x14ac:dyDescent="0.3">
      <c r="B172" s="16"/>
      <c r="C172" s="60"/>
      <c r="D172" s="16"/>
      <c r="E172" s="16"/>
      <c r="F172" s="16"/>
      <c r="G172" s="16"/>
      <c r="H172" s="60"/>
      <c r="I172" s="60"/>
      <c r="J172" s="16"/>
    </row>
    <row r="173" spans="2:10" x14ac:dyDescent="0.3">
      <c r="B173" s="16"/>
      <c r="C173" s="60"/>
      <c r="D173" s="16"/>
      <c r="E173" s="16"/>
      <c r="F173" s="16"/>
      <c r="G173" s="16"/>
      <c r="H173" s="60"/>
      <c r="I173" s="60"/>
      <c r="J173" s="16"/>
    </row>
    <row r="174" spans="2:10" x14ac:dyDescent="0.3">
      <c r="B174" s="16"/>
      <c r="C174" s="60"/>
      <c r="D174" s="16"/>
      <c r="E174" s="16"/>
      <c r="F174" s="16"/>
      <c r="G174" s="16"/>
      <c r="H174" s="60"/>
      <c r="I174" s="60"/>
      <c r="J174" s="16"/>
    </row>
    <row r="175" spans="2:10" x14ac:dyDescent="0.3">
      <c r="B175" s="16"/>
      <c r="C175" s="60"/>
      <c r="D175" s="16"/>
      <c r="E175" s="16"/>
      <c r="F175" s="16"/>
      <c r="G175" s="16"/>
      <c r="H175" s="60"/>
      <c r="I175" s="60"/>
      <c r="J175" s="16"/>
    </row>
    <row r="176" spans="2:10" x14ac:dyDescent="0.3">
      <c r="B176" s="16"/>
      <c r="C176" s="60"/>
      <c r="D176" s="16"/>
      <c r="E176" s="16"/>
      <c r="F176" s="16"/>
      <c r="G176" s="16"/>
      <c r="H176" s="60"/>
      <c r="I176" s="60"/>
      <c r="J176" s="16"/>
    </row>
    <row r="177" spans="2:10" x14ac:dyDescent="0.3">
      <c r="B177" s="16"/>
      <c r="C177" s="60"/>
      <c r="D177" s="16"/>
      <c r="E177" s="16"/>
      <c r="F177" s="16"/>
      <c r="G177" s="16"/>
      <c r="H177" s="60"/>
      <c r="I177" s="60"/>
      <c r="J177" s="16"/>
    </row>
    <row r="178" spans="2:10" x14ac:dyDescent="0.3">
      <c r="B178" s="16"/>
      <c r="C178" s="60"/>
      <c r="D178" s="16"/>
      <c r="E178" s="16"/>
      <c r="F178" s="16"/>
      <c r="G178" s="16"/>
      <c r="H178" s="60"/>
      <c r="I178" s="60"/>
      <c r="J178" s="16"/>
    </row>
    <row r="179" spans="2:10" x14ac:dyDescent="0.3">
      <c r="B179" s="16"/>
      <c r="C179" s="60"/>
      <c r="D179" s="16"/>
      <c r="E179" s="16"/>
      <c r="F179" s="16"/>
      <c r="G179" s="16"/>
      <c r="H179" s="60"/>
      <c r="I179" s="60"/>
      <c r="J179" s="16"/>
    </row>
    <row r="180" spans="2:10" x14ac:dyDescent="0.3">
      <c r="B180" s="16"/>
      <c r="C180" s="60"/>
      <c r="D180" s="16"/>
      <c r="E180" s="16"/>
      <c r="F180" s="16"/>
      <c r="G180" s="16"/>
      <c r="H180" s="60"/>
      <c r="I180" s="60"/>
      <c r="J180" s="16"/>
    </row>
    <row r="181" spans="2:10" x14ac:dyDescent="0.3">
      <c r="B181" s="16"/>
      <c r="C181" s="60"/>
      <c r="D181" s="16"/>
      <c r="E181" s="16"/>
      <c r="F181" s="16"/>
      <c r="G181" s="16"/>
      <c r="H181" s="60"/>
      <c r="I181" s="60"/>
      <c r="J181" s="16"/>
    </row>
    <row r="182" spans="2:10" x14ac:dyDescent="0.3">
      <c r="B182" s="16"/>
      <c r="C182" s="60"/>
      <c r="D182" s="16"/>
      <c r="E182" s="16"/>
      <c r="F182" s="16"/>
      <c r="G182" s="16"/>
      <c r="H182" s="60"/>
      <c r="I182" s="60"/>
      <c r="J182" s="16"/>
    </row>
    <row r="183" spans="2:10" x14ac:dyDescent="0.3">
      <c r="B183" s="16"/>
      <c r="C183" s="60"/>
      <c r="D183" s="16"/>
      <c r="E183" s="16"/>
      <c r="F183" s="16"/>
      <c r="G183" s="16"/>
      <c r="H183" s="60"/>
      <c r="I183" s="60"/>
      <c r="J183" s="16"/>
    </row>
    <row r="184" spans="2:10" x14ac:dyDescent="0.3">
      <c r="B184" s="16"/>
      <c r="C184" s="60"/>
      <c r="D184" s="16"/>
      <c r="E184" s="16"/>
      <c r="F184" s="16"/>
      <c r="G184" s="16"/>
      <c r="H184" s="60"/>
      <c r="I184" s="60"/>
      <c r="J184" s="16"/>
    </row>
    <row r="185" spans="2:10" x14ac:dyDescent="0.3">
      <c r="B185" s="16"/>
      <c r="C185" s="60"/>
      <c r="D185" s="16"/>
      <c r="E185" s="16"/>
      <c r="F185" s="16"/>
      <c r="G185" s="16"/>
      <c r="H185" s="60"/>
      <c r="I185" s="60"/>
      <c r="J185" s="16"/>
    </row>
    <row r="186" spans="2:10" x14ac:dyDescent="0.3">
      <c r="B186" s="16"/>
      <c r="C186" s="60"/>
      <c r="D186" s="16"/>
      <c r="E186" s="16"/>
      <c r="F186" s="16"/>
      <c r="G186" s="16"/>
      <c r="H186" s="60"/>
      <c r="I186" s="60"/>
      <c r="J186" s="16"/>
    </row>
    <row r="187" spans="2:10" x14ac:dyDescent="0.3">
      <c r="B187" s="16"/>
      <c r="C187" s="60"/>
      <c r="D187" s="16"/>
      <c r="E187" s="16"/>
      <c r="F187" s="16"/>
      <c r="G187" s="16"/>
      <c r="H187" s="60"/>
      <c r="I187" s="60"/>
      <c r="J187" s="16"/>
    </row>
    <row r="188" spans="2:10" x14ac:dyDescent="0.3">
      <c r="B188" s="16"/>
      <c r="C188" s="60"/>
      <c r="D188" s="16"/>
      <c r="E188" s="16"/>
      <c r="F188" s="16"/>
      <c r="G188" s="16"/>
      <c r="H188" s="60"/>
      <c r="I188" s="60"/>
      <c r="J188" s="16"/>
    </row>
    <row r="189" spans="2:10" x14ac:dyDescent="0.3">
      <c r="B189" s="16"/>
      <c r="C189" s="60"/>
      <c r="D189" s="16"/>
      <c r="E189" s="16"/>
      <c r="F189" s="16"/>
      <c r="G189" s="16"/>
      <c r="H189" s="60"/>
      <c r="I189" s="60"/>
      <c r="J189" s="16"/>
    </row>
    <row r="190" spans="2:10" x14ac:dyDescent="0.3">
      <c r="B190" s="16"/>
      <c r="C190" s="60"/>
      <c r="D190" s="16"/>
      <c r="E190" s="16"/>
      <c r="F190" s="16"/>
      <c r="G190" s="16"/>
      <c r="H190" s="60"/>
      <c r="I190" s="60"/>
      <c r="J190" s="16"/>
    </row>
    <row r="191" spans="2:10" x14ac:dyDescent="0.3">
      <c r="B191" s="16"/>
      <c r="C191" s="60"/>
      <c r="D191" s="16"/>
      <c r="E191" s="16"/>
      <c r="F191" s="16"/>
      <c r="G191" s="16"/>
      <c r="H191" s="60"/>
      <c r="I191" s="60"/>
      <c r="J191" s="16"/>
    </row>
    <row r="192" spans="2:10" x14ac:dyDescent="0.3">
      <c r="B192" s="16"/>
      <c r="C192" s="60"/>
      <c r="D192" s="16"/>
      <c r="E192" s="16"/>
      <c r="F192" s="16"/>
      <c r="G192" s="16"/>
      <c r="H192" s="60"/>
      <c r="I192" s="60"/>
      <c r="J192" s="16"/>
    </row>
    <row r="193" spans="2:10" x14ac:dyDescent="0.3">
      <c r="B193" s="16"/>
      <c r="C193" s="60"/>
      <c r="D193" s="16"/>
      <c r="E193" s="16"/>
      <c r="F193" s="16"/>
      <c r="G193" s="16"/>
      <c r="H193" s="60"/>
      <c r="I193" s="60"/>
      <c r="J193" s="16"/>
    </row>
    <row r="194" spans="2:10" x14ac:dyDescent="0.3">
      <c r="B194" s="16"/>
      <c r="C194" s="60"/>
      <c r="D194" s="16"/>
      <c r="E194" s="16"/>
      <c r="F194" s="16"/>
      <c r="G194" s="16"/>
      <c r="H194" s="60"/>
      <c r="I194" s="60"/>
      <c r="J194" s="16"/>
    </row>
    <row r="195" spans="2:10" x14ac:dyDescent="0.3">
      <c r="B195" s="16"/>
      <c r="C195" s="60"/>
      <c r="D195" s="16"/>
      <c r="E195" s="16"/>
      <c r="F195" s="16"/>
      <c r="G195" s="16"/>
      <c r="H195" s="60"/>
      <c r="I195" s="60"/>
      <c r="J195" s="16"/>
    </row>
    <row r="196" spans="2:10" x14ac:dyDescent="0.3">
      <c r="B196" s="16"/>
      <c r="C196" s="60"/>
      <c r="D196" s="16"/>
      <c r="E196" s="16"/>
      <c r="F196" s="16"/>
      <c r="G196" s="16"/>
      <c r="H196" s="60"/>
      <c r="I196" s="60"/>
      <c r="J196" s="16"/>
    </row>
    <row r="197" spans="2:10" x14ac:dyDescent="0.3">
      <c r="B197" s="16"/>
      <c r="C197" s="60"/>
      <c r="D197" s="16"/>
      <c r="E197" s="16"/>
      <c r="F197" s="16"/>
      <c r="G197" s="16"/>
      <c r="H197" s="60"/>
      <c r="I197" s="60"/>
      <c r="J197" s="16"/>
    </row>
    <row r="198" spans="2:10" x14ac:dyDescent="0.3">
      <c r="B198" s="16"/>
      <c r="C198" s="60"/>
      <c r="D198" s="16"/>
      <c r="E198" s="16"/>
      <c r="F198" s="16"/>
      <c r="G198" s="16"/>
      <c r="H198" s="60"/>
      <c r="I198" s="60"/>
      <c r="J198" s="16"/>
    </row>
    <row r="199" spans="2:10" x14ac:dyDescent="0.3">
      <c r="B199" s="16"/>
      <c r="C199" s="60"/>
      <c r="D199" s="16"/>
      <c r="E199" s="16"/>
      <c r="F199" s="16"/>
      <c r="G199" s="16"/>
      <c r="H199" s="60"/>
      <c r="I199" s="60"/>
      <c r="J199" s="16"/>
    </row>
    <row r="200" spans="2:10" x14ac:dyDescent="0.3">
      <c r="B200" s="16"/>
      <c r="C200" s="60"/>
      <c r="D200" s="16"/>
      <c r="E200" s="16"/>
      <c r="F200" s="16"/>
      <c r="G200" s="16"/>
      <c r="H200" s="60"/>
      <c r="I200" s="60"/>
      <c r="J200" s="16"/>
    </row>
    <row r="201" spans="2:10" x14ac:dyDescent="0.3">
      <c r="B201" s="16"/>
      <c r="C201" s="60"/>
      <c r="D201" s="16"/>
      <c r="E201" s="16"/>
      <c r="F201" s="16"/>
      <c r="G201" s="16"/>
      <c r="H201" s="60"/>
      <c r="I201" s="60"/>
      <c r="J201" s="16"/>
    </row>
    <row r="202" spans="2:10" x14ac:dyDescent="0.3">
      <c r="B202" s="16"/>
      <c r="C202" s="60"/>
      <c r="D202" s="16"/>
      <c r="E202" s="16"/>
      <c r="F202" s="16"/>
      <c r="G202" s="16"/>
      <c r="H202" s="60"/>
      <c r="I202" s="60"/>
      <c r="J202" s="16"/>
    </row>
    <row r="203" spans="2:10" x14ac:dyDescent="0.3">
      <c r="B203" s="16"/>
      <c r="C203" s="60"/>
      <c r="D203" s="16"/>
      <c r="E203" s="16"/>
      <c r="F203" s="16"/>
      <c r="G203" s="16"/>
      <c r="H203" s="60"/>
      <c r="I203" s="60"/>
      <c r="J203" s="16"/>
    </row>
    <row r="204" spans="2:10" x14ac:dyDescent="0.3">
      <c r="B204" s="16"/>
      <c r="C204" s="60"/>
      <c r="D204" s="16"/>
      <c r="E204" s="16"/>
      <c r="F204" s="16"/>
      <c r="G204" s="16"/>
      <c r="H204" s="60"/>
      <c r="I204" s="60"/>
      <c r="J204" s="16"/>
    </row>
    <row r="205" spans="2:10" x14ac:dyDescent="0.3">
      <c r="B205" s="16"/>
      <c r="C205" s="60"/>
      <c r="D205" s="16"/>
      <c r="E205" s="16"/>
      <c r="F205" s="16"/>
      <c r="G205" s="16"/>
      <c r="H205" s="60"/>
      <c r="I205" s="60"/>
      <c r="J205" s="16"/>
    </row>
    <row r="206" spans="2:10" x14ac:dyDescent="0.3">
      <c r="B206" s="16"/>
      <c r="C206" s="60"/>
      <c r="D206" s="16"/>
      <c r="E206" s="16"/>
      <c r="F206" s="16"/>
      <c r="G206" s="16"/>
      <c r="H206" s="60"/>
      <c r="I206" s="60"/>
      <c r="J206" s="16"/>
    </row>
    <row r="207" spans="2:10" x14ac:dyDescent="0.3">
      <c r="B207" s="16"/>
      <c r="C207" s="60"/>
      <c r="D207" s="16"/>
      <c r="E207" s="16"/>
      <c r="F207" s="16"/>
      <c r="G207" s="16"/>
      <c r="H207" s="60"/>
      <c r="I207" s="60"/>
      <c r="J207" s="16"/>
    </row>
    <row r="208" spans="2:10" x14ac:dyDescent="0.3">
      <c r="B208" s="16"/>
      <c r="C208" s="60"/>
      <c r="D208" s="16"/>
      <c r="E208" s="16"/>
      <c r="F208" s="16"/>
      <c r="G208" s="16"/>
      <c r="H208" s="60"/>
      <c r="I208" s="60"/>
      <c r="J208" s="16"/>
    </row>
    <row r="209" spans="2:10" x14ac:dyDescent="0.3">
      <c r="B209" s="16"/>
      <c r="C209" s="60"/>
      <c r="D209" s="16"/>
      <c r="E209" s="16"/>
      <c r="F209" s="16"/>
      <c r="G209" s="16"/>
      <c r="H209" s="60"/>
      <c r="I209" s="60"/>
      <c r="J209" s="16"/>
    </row>
    <row r="210" spans="2:10" x14ac:dyDescent="0.3">
      <c r="B210" s="16"/>
      <c r="C210" s="60"/>
      <c r="D210" s="16"/>
      <c r="E210" s="16"/>
      <c r="F210" s="16"/>
      <c r="G210" s="16"/>
      <c r="H210" s="60"/>
      <c r="I210" s="60"/>
      <c r="J210" s="16"/>
    </row>
    <row r="211" spans="2:10" x14ac:dyDescent="0.3">
      <c r="B211" s="16"/>
      <c r="C211" s="60"/>
      <c r="D211" s="16"/>
      <c r="E211" s="16"/>
      <c r="F211" s="16"/>
      <c r="G211" s="16"/>
      <c r="H211" s="60"/>
      <c r="I211" s="60"/>
      <c r="J211" s="16"/>
    </row>
    <row r="212" spans="2:10" x14ac:dyDescent="0.3">
      <c r="B212" s="16"/>
      <c r="C212" s="60"/>
      <c r="D212" s="16"/>
      <c r="E212" s="16"/>
      <c r="F212" s="16"/>
      <c r="G212" s="16"/>
      <c r="H212" s="60"/>
      <c r="I212" s="60"/>
      <c r="J212" s="16"/>
    </row>
    <row r="213" spans="2:10" x14ac:dyDescent="0.3">
      <c r="B213" s="16"/>
      <c r="C213" s="60"/>
      <c r="D213" s="16"/>
      <c r="E213" s="16"/>
      <c r="F213" s="16"/>
      <c r="G213" s="16"/>
      <c r="H213" s="60"/>
      <c r="I213" s="60"/>
      <c r="J213" s="16"/>
    </row>
    <row r="214" spans="2:10" x14ac:dyDescent="0.3">
      <c r="B214" s="16"/>
      <c r="C214" s="60"/>
      <c r="D214" s="16"/>
      <c r="E214" s="16"/>
      <c r="F214" s="16"/>
      <c r="G214" s="16"/>
      <c r="H214" s="60"/>
      <c r="I214" s="60"/>
      <c r="J214" s="16"/>
    </row>
    <row r="215" spans="2:10" x14ac:dyDescent="0.3">
      <c r="B215" s="16"/>
      <c r="C215" s="60"/>
      <c r="D215" s="16"/>
      <c r="E215" s="16"/>
      <c r="F215" s="16"/>
      <c r="G215" s="16"/>
      <c r="H215" s="60"/>
      <c r="I215" s="60"/>
      <c r="J215" s="16"/>
    </row>
    <row r="216" spans="2:10" x14ac:dyDescent="0.3">
      <c r="B216" s="16"/>
      <c r="C216" s="60"/>
      <c r="D216" s="16"/>
      <c r="E216" s="16"/>
      <c r="F216" s="16"/>
      <c r="G216" s="16"/>
      <c r="H216" s="60"/>
      <c r="I216" s="60"/>
      <c r="J216" s="16"/>
    </row>
    <row r="217" spans="2:10" x14ac:dyDescent="0.3">
      <c r="B217" s="16"/>
      <c r="C217" s="60"/>
      <c r="D217" s="16"/>
      <c r="E217" s="16"/>
      <c r="F217" s="16"/>
      <c r="G217" s="16"/>
      <c r="H217" s="60"/>
      <c r="I217" s="60"/>
      <c r="J217" s="16"/>
    </row>
    <row r="218" spans="2:10" x14ac:dyDescent="0.3">
      <c r="B218" s="16"/>
      <c r="C218" s="60"/>
      <c r="D218" s="16"/>
      <c r="E218" s="16"/>
      <c r="F218" s="16"/>
      <c r="G218" s="16"/>
      <c r="H218" s="60"/>
      <c r="I218" s="60"/>
      <c r="J218" s="16"/>
    </row>
    <row r="219" spans="2:10" x14ac:dyDescent="0.3">
      <c r="B219" s="16"/>
      <c r="C219" s="60"/>
      <c r="D219" s="16"/>
      <c r="E219" s="16"/>
      <c r="F219" s="16"/>
      <c r="G219" s="16"/>
      <c r="H219" s="60"/>
      <c r="I219" s="60"/>
      <c r="J219" s="16"/>
    </row>
    <row r="220" spans="2:10" x14ac:dyDescent="0.3">
      <c r="B220" s="16"/>
      <c r="C220" s="60"/>
      <c r="D220" s="16"/>
      <c r="E220" s="16"/>
      <c r="F220" s="16"/>
      <c r="G220" s="16"/>
      <c r="H220" s="60"/>
      <c r="I220" s="60"/>
      <c r="J220" s="16"/>
    </row>
    <row r="221" spans="2:10" x14ac:dyDescent="0.3">
      <c r="B221" s="16"/>
      <c r="C221" s="60"/>
      <c r="D221" s="16"/>
      <c r="E221" s="16"/>
      <c r="F221" s="16"/>
      <c r="G221" s="16"/>
      <c r="H221" s="60"/>
      <c r="I221" s="60"/>
      <c r="J221" s="16"/>
    </row>
    <row r="222" spans="2:10" x14ac:dyDescent="0.3">
      <c r="B222" s="16"/>
      <c r="C222" s="60"/>
      <c r="D222" s="16"/>
      <c r="E222" s="16"/>
      <c r="F222" s="16"/>
      <c r="G222" s="16"/>
      <c r="H222" s="60"/>
      <c r="I222" s="60"/>
      <c r="J222" s="16"/>
    </row>
    <row r="223" spans="2:10" x14ac:dyDescent="0.3">
      <c r="B223" s="16"/>
      <c r="C223" s="60"/>
      <c r="D223" s="16"/>
      <c r="E223" s="16"/>
      <c r="F223" s="16"/>
      <c r="G223" s="16"/>
      <c r="H223" s="60"/>
      <c r="I223" s="60"/>
      <c r="J223" s="16"/>
    </row>
    <row r="224" spans="2:10" x14ac:dyDescent="0.3">
      <c r="B224" s="16"/>
      <c r="C224" s="60"/>
      <c r="D224" s="16"/>
      <c r="E224" s="16"/>
      <c r="F224" s="16"/>
      <c r="G224" s="16"/>
      <c r="H224" s="60"/>
      <c r="I224" s="60"/>
      <c r="J224" s="16"/>
    </row>
    <row r="225" spans="2:10" x14ac:dyDescent="0.3">
      <c r="B225" s="16"/>
      <c r="C225" s="60"/>
      <c r="D225" s="16"/>
      <c r="E225" s="16"/>
      <c r="F225" s="16"/>
      <c r="G225" s="16"/>
      <c r="H225" s="60"/>
      <c r="I225" s="60"/>
      <c r="J225" s="16"/>
    </row>
    <row r="226" spans="2:10" x14ac:dyDescent="0.3">
      <c r="B226" s="16"/>
      <c r="C226" s="60"/>
      <c r="D226" s="16"/>
      <c r="E226" s="16"/>
      <c r="F226" s="16"/>
      <c r="G226" s="16"/>
      <c r="H226" s="60"/>
      <c r="I226" s="60"/>
      <c r="J226" s="16"/>
    </row>
    <row r="227" spans="2:10" x14ac:dyDescent="0.3">
      <c r="B227" s="16"/>
      <c r="C227" s="60"/>
      <c r="D227" s="16"/>
      <c r="E227" s="16"/>
      <c r="F227" s="16"/>
      <c r="G227" s="16"/>
      <c r="H227" s="60"/>
      <c r="I227" s="60"/>
      <c r="J227" s="16"/>
    </row>
    <row r="228" spans="2:10" x14ac:dyDescent="0.3">
      <c r="B228" s="16"/>
      <c r="C228" s="60"/>
      <c r="D228" s="16"/>
      <c r="E228" s="16"/>
      <c r="F228" s="16"/>
      <c r="G228" s="16"/>
      <c r="H228" s="60"/>
      <c r="I228" s="60"/>
      <c r="J228" s="16"/>
    </row>
    <row r="229" spans="2:10" x14ac:dyDescent="0.3">
      <c r="B229" s="16"/>
      <c r="C229" s="60"/>
      <c r="D229" s="16"/>
      <c r="E229" s="16"/>
      <c r="F229" s="16"/>
      <c r="G229" s="16"/>
      <c r="H229" s="60"/>
      <c r="I229" s="60"/>
      <c r="J229" s="16"/>
    </row>
    <row r="230" spans="2:10" x14ac:dyDescent="0.3">
      <c r="B230" s="16"/>
      <c r="C230" s="60"/>
      <c r="D230" s="16"/>
      <c r="E230" s="16"/>
      <c r="F230" s="16"/>
      <c r="G230" s="16"/>
      <c r="H230" s="60"/>
      <c r="I230" s="60"/>
      <c r="J230" s="16"/>
    </row>
    <row r="231" spans="2:10" x14ac:dyDescent="0.3">
      <c r="B231" s="16"/>
      <c r="C231" s="60"/>
      <c r="D231" s="16"/>
      <c r="E231" s="16"/>
      <c r="F231" s="16"/>
      <c r="G231" s="16"/>
      <c r="H231" s="60"/>
      <c r="I231" s="60"/>
      <c r="J231" s="16"/>
    </row>
    <row r="232" spans="2:10" x14ac:dyDescent="0.3">
      <c r="B232" s="16"/>
      <c r="C232" s="60"/>
      <c r="D232" s="16"/>
      <c r="E232" s="16"/>
      <c r="F232" s="16"/>
      <c r="G232" s="16"/>
      <c r="H232" s="60"/>
      <c r="I232" s="60"/>
      <c r="J232" s="16"/>
    </row>
    <row r="233" spans="2:10" x14ac:dyDescent="0.3">
      <c r="B233" s="16"/>
      <c r="C233" s="60"/>
      <c r="D233" s="16"/>
      <c r="E233" s="16"/>
      <c r="F233" s="16"/>
      <c r="G233" s="16"/>
      <c r="H233" s="60"/>
      <c r="I233" s="60"/>
      <c r="J233" s="16"/>
    </row>
    <row r="234" spans="2:10" x14ac:dyDescent="0.3">
      <c r="B234" s="16"/>
      <c r="C234" s="60"/>
      <c r="D234" s="16"/>
      <c r="E234" s="16"/>
      <c r="F234" s="16"/>
      <c r="G234" s="16"/>
      <c r="H234" s="60"/>
      <c r="I234" s="60"/>
      <c r="J234" s="16"/>
    </row>
    <row r="235" spans="2:10" x14ac:dyDescent="0.3">
      <c r="B235" s="16"/>
      <c r="C235" s="60"/>
      <c r="D235" s="16"/>
      <c r="E235" s="16"/>
      <c r="F235" s="16"/>
      <c r="G235" s="16"/>
      <c r="H235" s="60"/>
      <c r="I235" s="60"/>
      <c r="J235" s="16"/>
    </row>
    <row r="236" spans="2:10" x14ac:dyDescent="0.3">
      <c r="B236" s="16"/>
      <c r="C236" s="60"/>
      <c r="D236" s="16"/>
      <c r="E236" s="16"/>
      <c r="F236" s="16"/>
      <c r="G236" s="16"/>
      <c r="H236" s="60"/>
      <c r="I236" s="60"/>
      <c r="J236" s="16"/>
    </row>
    <row r="237" spans="2:10" x14ac:dyDescent="0.3">
      <c r="B237" s="16"/>
      <c r="C237" s="60"/>
      <c r="D237" s="16"/>
      <c r="E237" s="16"/>
      <c r="F237" s="16"/>
      <c r="G237" s="16"/>
      <c r="H237" s="60"/>
      <c r="I237" s="60"/>
      <c r="J237" s="16"/>
    </row>
    <row r="238" spans="2:10" x14ac:dyDescent="0.3">
      <c r="B238" s="16"/>
      <c r="C238" s="60"/>
      <c r="D238" s="16"/>
      <c r="E238" s="16"/>
      <c r="F238" s="16"/>
      <c r="G238" s="16"/>
      <c r="H238" s="60"/>
      <c r="I238" s="60"/>
      <c r="J238" s="16"/>
    </row>
    <row r="239" spans="2:10" x14ac:dyDescent="0.3">
      <c r="B239" s="16"/>
      <c r="C239" s="60"/>
      <c r="D239" s="16"/>
      <c r="E239" s="16"/>
      <c r="F239" s="16"/>
      <c r="G239" s="16"/>
      <c r="H239" s="60"/>
      <c r="I239" s="60"/>
      <c r="J239" s="16"/>
    </row>
    <row r="240" spans="2:10" x14ac:dyDescent="0.3">
      <c r="B240" s="16"/>
      <c r="C240" s="60"/>
      <c r="D240" s="16"/>
      <c r="E240" s="16"/>
      <c r="F240" s="16"/>
      <c r="G240" s="16"/>
      <c r="H240" s="60"/>
      <c r="I240" s="60"/>
      <c r="J240" s="16"/>
    </row>
    <row r="241" spans="2:10" x14ac:dyDescent="0.3">
      <c r="B241" s="16"/>
      <c r="C241" s="60"/>
      <c r="D241" s="16"/>
      <c r="E241" s="16"/>
      <c r="F241" s="16"/>
      <c r="G241" s="16"/>
      <c r="H241" s="60"/>
      <c r="I241" s="60"/>
      <c r="J241" s="16"/>
    </row>
    <row r="242" spans="2:10" x14ac:dyDescent="0.3">
      <c r="B242" s="16"/>
      <c r="C242" s="60"/>
      <c r="D242" s="16"/>
      <c r="E242" s="16"/>
      <c r="F242" s="16"/>
      <c r="G242" s="16"/>
      <c r="H242" s="60"/>
      <c r="I242" s="60"/>
      <c r="J242" s="16"/>
    </row>
    <row r="243" spans="2:10" x14ac:dyDescent="0.3">
      <c r="B243" s="16"/>
      <c r="C243" s="60"/>
      <c r="D243" s="16"/>
      <c r="E243" s="16"/>
      <c r="F243" s="16"/>
      <c r="G243" s="16"/>
      <c r="H243" s="60"/>
      <c r="I243" s="60"/>
      <c r="J243" s="16"/>
    </row>
    <row r="244" spans="2:10" x14ac:dyDescent="0.3">
      <c r="B244" s="16"/>
      <c r="C244" s="60"/>
      <c r="D244" s="16"/>
      <c r="E244" s="16"/>
      <c r="F244" s="16"/>
      <c r="G244" s="16"/>
      <c r="H244" s="60"/>
      <c r="I244" s="60"/>
      <c r="J244" s="16"/>
    </row>
    <row r="245" spans="2:10" x14ac:dyDescent="0.3">
      <c r="B245" s="16"/>
      <c r="C245" s="60"/>
      <c r="D245" s="16"/>
      <c r="E245" s="16"/>
      <c r="F245" s="16"/>
      <c r="G245" s="16"/>
      <c r="H245" s="60"/>
      <c r="I245" s="60"/>
      <c r="J245" s="16"/>
    </row>
    <row r="246" spans="2:10" x14ac:dyDescent="0.3">
      <c r="B246" s="16"/>
      <c r="C246" s="60"/>
      <c r="D246" s="16"/>
      <c r="E246" s="16"/>
      <c r="F246" s="16"/>
      <c r="G246" s="16"/>
      <c r="H246" s="60"/>
      <c r="I246" s="60"/>
      <c r="J246" s="16"/>
    </row>
    <row r="247" spans="2:10" x14ac:dyDescent="0.3">
      <c r="B247" s="16"/>
      <c r="C247" s="60"/>
      <c r="D247" s="16"/>
      <c r="E247" s="16"/>
      <c r="F247" s="16"/>
      <c r="G247" s="16"/>
      <c r="H247" s="60"/>
      <c r="I247" s="60"/>
      <c r="J247" s="16"/>
    </row>
    <row r="248" spans="2:10" x14ac:dyDescent="0.3">
      <c r="B248" s="16"/>
      <c r="C248" s="60"/>
      <c r="D248" s="16"/>
      <c r="E248" s="16"/>
      <c r="F248" s="16"/>
      <c r="G248" s="16"/>
      <c r="H248" s="60"/>
      <c r="I248" s="60"/>
      <c r="J248" s="16"/>
    </row>
    <row r="249" spans="2:10" x14ac:dyDescent="0.3">
      <c r="B249" s="16"/>
      <c r="C249" s="60"/>
      <c r="D249" s="16"/>
      <c r="E249" s="16"/>
      <c r="F249" s="16"/>
      <c r="G249" s="16"/>
      <c r="H249" s="60"/>
      <c r="I249" s="60"/>
      <c r="J249" s="16"/>
    </row>
    <row r="250" spans="2:10" x14ac:dyDescent="0.3">
      <c r="B250" s="16"/>
      <c r="C250" s="60"/>
      <c r="D250" s="16"/>
      <c r="E250" s="16"/>
      <c r="F250" s="16"/>
      <c r="G250" s="16"/>
      <c r="H250" s="60"/>
      <c r="I250" s="60"/>
      <c r="J250" s="16"/>
    </row>
    <row r="251" spans="2:10" x14ac:dyDescent="0.3">
      <c r="B251" s="16"/>
      <c r="C251" s="60"/>
      <c r="D251" s="16"/>
      <c r="E251" s="16"/>
      <c r="F251" s="16"/>
      <c r="G251" s="16"/>
      <c r="H251" s="60"/>
      <c r="I251" s="60"/>
      <c r="J251" s="16"/>
    </row>
    <row r="252" spans="2:10" x14ac:dyDescent="0.3">
      <c r="B252" s="16"/>
      <c r="C252" s="60"/>
      <c r="D252" s="16"/>
      <c r="E252" s="16"/>
      <c r="F252" s="16"/>
      <c r="G252" s="16"/>
      <c r="H252" s="60"/>
      <c r="I252" s="60"/>
      <c r="J252" s="16"/>
    </row>
    <row r="253" spans="2:10" x14ac:dyDescent="0.3">
      <c r="B253" s="16"/>
      <c r="C253" s="60"/>
      <c r="D253" s="16"/>
      <c r="E253" s="16"/>
      <c r="F253" s="16"/>
      <c r="G253" s="16"/>
      <c r="H253" s="60"/>
      <c r="I253" s="60"/>
      <c r="J253" s="16"/>
    </row>
    <row r="254" spans="2:10" x14ac:dyDescent="0.3">
      <c r="B254" s="16"/>
      <c r="C254" s="60"/>
      <c r="D254" s="16"/>
      <c r="E254" s="16"/>
      <c r="F254" s="16"/>
      <c r="G254" s="16"/>
      <c r="H254" s="60"/>
      <c r="I254" s="60"/>
      <c r="J254" s="16"/>
    </row>
    <row r="255" spans="2:10" x14ac:dyDescent="0.3">
      <c r="B255" s="16"/>
      <c r="C255" s="60"/>
      <c r="D255" s="16"/>
      <c r="E255" s="16"/>
      <c r="F255" s="16"/>
      <c r="G255" s="16"/>
      <c r="H255" s="60"/>
      <c r="I255" s="60"/>
      <c r="J255" s="16"/>
    </row>
    <row r="256" spans="2:10" x14ac:dyDescent="0.3">
      <c r="B256" s="16"/>
      <c r="C256" s="60"/>
      <c r="D256" s="16"/>
      <c r="E256" s="16"/>
      <c r="F256" s="16"/>
      <c r="G256" s="16"/>
      <c r="H256" s="60"/>
      <c r="I256" s="60"/>
      <c r="J256" s="16"/>
    </row>
    <row r="257" spans="2:10" x14ac:dyDescent="0.3">
      <c r="B257" s="16"/>
      <c r="C257" s="60"/>
      <c r="D257" s="16"/>
      <c r="E257" s="16"/>
      <c r="F257" s="16"/>
      <c r="G257" s="16"/>
      <c r="H257" s="60"/>
      <c r="I257" s="60"/>
      <c r="J257" s="16"/>
    </row>
    <row r="258" spans="2:10" x14ac:dyDescent="0.3">
      <c r="B258" s="16"/>
      <c r="C258" s="60"/>
      <c r="D258" s="16"/>
      <c r="E258" s="16"/>
      <c r="F258" s="16"/>
      <c r="G258" s="16"/>
      <c r="H258" s="60"/>
      <c r="I258" s="60"/>
      <c r="J258" s="16"/>
    </row>
    <row r="259" spans="2:10" x14ac:dyDescent="0.3">
      <c r="B259" s="16"/>
      <c r="C259" s="60"/>
      <c r="D259" s="16"/>
      <c r="E259" s="16"/>
      <c r="F259" s="16"/>
      <c r="G259" s="16"/>
      <c r="H259" s="60"/>
      <c r="I259" s="60"/>
      <c r="J259" s="16"/>
    </row>
    <row r="260" spans="2:10" x14ac:dyDescent="0.3">
      <c r="B260" s="16"/>
      <c r="C260" s="60"/>
      <c r="D260" s="16"/>
      <c r="E260" s="16"/>
      <c r="F260" s="16"/>
      <c r="G260" s="16"/>
      <c r="H260" s="60"/>
      <c r="I260" s="60"/>
      <c r="J260" s="16"/>
    </row>
    <row r="261" spans="2:10" x14ac:dyDescent="0.3">
      <c r="B261" s="16"/>
      <c r="C261" s="60"/>
      <c r="D261" s="16"/>
      <c r="E261" s="16"/>
      <c r="F261" s="16"/>
      <c r="G261" s="16"/>
      <c r="H261" s="60"/>
      <c r="I261" s="60"/>
      <c r="J261" s="16"/>
    </row>
    <row r="262" spans="2:10" x14ac:dyDescent="0.3">
      <c r="B262" s="16"/>
      <c r="C262" s="60"/>
      <c r="D262" s="16"/>
      <c r="E262" s="16"/>
      <c r="F262" s="16"/>
      <c r="G262" s="16"/>
      <c r="H262" s="60"/>
      <c r="I262" s="60"/>
      <c r="J262" s="16"/>
    </row>
    <row r="263" spans="2:10" x14ac:dyDescent="0.3">
      <c r="B263" s="16"/>
      <c r="C263" s="60"/>
      <c r="D263" s="16"/>
      <c r="E263" s="16"/>
      <c r="F263" s="16"/>
      <c r="G263" s="16"/>
      <c r="H263" s="60"/>
      <c r="I263" s="60"/>
      <c r="J263" s="16"/>
    </row>
    <row r="264" spans="2:10" x14ac:dyDescent="0.3">
      <c r="B264" s="16"/>
      <c r="C264" s="60"/>
      <c r="D264" s="16"/>
      <c r="E264" s="16"/>
      <c r="F264" s="16"/>
      <c r="G264" s="16"/>
      <c r="H264" s="60"/>
      <c r="I264" s="60"/>
      <c r="J264" s="16"/>
    </row>
    <row r="265" spans="2:10" x14ac:dyDescent="0.3">
      <c r="B265" s="16"/>
      <c r="C265" s="60"/>
      <c r="D265" s="16"/>
      <c r="E265" s="16"/>
      <c r="F265" s="16"/>
      <c r="G265" s="16"/>
      <c r="H265" s="60"/>
      <c r="I265" s="60"/>
      <c r="J265" s="16"/>
    </row>
    <row r="266" spans="2:10" x14ac:dyDescent="0.3">
      <c r="B266" s="16"/>
      <c r="C266" s="60"/>
      <c r="D266" s="16"/>
      <c r="E266" s="16"/>
      <c r="F266" s="16"/>
      <c r="G266" s="16"/>
      <c r="H266" s="60"/>
      <c r="I266" s="60"/>
      <c r="J266" s="16"/>
    </row>
    <row r="267" spans="2:10" x14ac:dyDescent="0.3">
      <c r="B267" s="16"/>
      <c r="C267" s="60"/>
      <c r="D267" s="16"/>
      <c r="E267" s="16"/>
      <c r="F267" s="16"/>
      <c r="G267" s="16"/>
      <c r="H267" s="60"/>
      <c r="I267" s="60"/>
      <c r="J267" s="16"/>
    </row>
    <row r="268" spans="2:10" x14ac:dyDescent="0.3">
      <c r="B268" s="16"/>
      <c r="C268" s="60"/>
      <c r="D268" s="16"/>
      <c r="E268" s="16"/>
      <c r="F268" s="16"/>
      <c r="G268" s="16"/>
      <c r="H268" s="60"/>
      <c r="I268" s="60"/>
      <c r="J268" s="16"/>
    </row>
    <row r="269" spans="2:10" x14ac:dyDescent="0.3">
      <c r="B269" s="16"/>
      <c r="C269" s="60"/>
      <c r="D269" s="16"/>
      <c r="E269" s="16"/>
      <c r="F269" s="16"/>
      <c r="G269" s="16"/>
      <c r="H269" s="60"/>
      <c r="I269" s="60"/>
      <c r="J269" s="16"/>
    </row>
    <row r="270" spans="2:10" x14ac:dyDescent="0.3">
      <c r="B270" s="16"/>
      <c r="C270" s="60"/>
      <c r="D270" s="16"/>
      <c r="E270" s="16"/>
      <c r="F270" s="16"/>
      <c r="G270" s="16"/>
      <c r="H270" s="60"/>
      <c r="I270" s="60"/>
      <c r="J270" s="16"/>
    </row>
    <row r="271" spans="2:10" x14ac:dyDescent="0.3">
      <c r="B271" s="16"/>
      <c r="C271" s="60"/>
      <c r="D271" s="16"/>
      <c r="E271" s="16"/>
      <c r="F271" s="16"/>
      <c r="G271" s="16"/>
      <c r="H271" s="60"/>
      <c r="I271" s="60"/>
      <c r="J271" s="16"/>
    </row>
    <row r="272" spans="2:10" x14ac:dyDescent="0.3">
      <c r="B272" s="16"/>
      <c r="C272" s="60"/>
      <c r="D272" s="16"/>
      <c r="E272" s="16"/>
      <c r="F272" s="16"/>
      <c r="G272" s="16"/>
      <c r="H272" s="60"/>
      <c r="I272" s="60"/>
      <c r="J272" s="16"/>
    </row>
    <row r="273" spans="2:10" x14ac:dyDescent="0.3">
      <c r="B273" s="16"/>
      <c r="C273" s="60"/>
      <c r="D273" s="16"/>
      <c r="E273" s="16"/>
      <c r="F273" s="16"/>
      <c r="G273" s="16"/>
      <c r="H273" s="60"/>
      <c r="I273" s="60"/>
      <c r="J273" s="16"/>
    </row>
    <row r="274" spans="2:10" x14ac:dyDescent="0.3">
      <c r="B274" s="16"/>
      <c r="C274" s="60"/>
      <c r="D274" s="16"/>
      <c r="E274" s="16"/>
      <c r="F274" s="16"/>
      <c r="G274" s="16"/>
      <c r="H274" s="60"/>
      <c r="I274" s="60"/>
      <c r="J274" s="16"/>
    </row>
    <row r="275" spans="2:10" x14ac:dyDescent="0.3">
      <c r="B275" s="16"/>
      <c r="C275" s="60"/>
      <c r="D275" s="16"/>
      <c r="E275" s="16"/>
      <c r="F275" s="16"/>
      <c r="G275" s="16"/>
      <c r="H275" s="60"/>
      <c r="I275" s="60"/>
      <c r="J275" s="16"/>
    </row>
    <row r="276" spans="2:10" x14ac:dyDescent="0.3">
      <c r="B276" s="16"/>
      <c r="C276" s="60"/>
      <c r="D276" s="16"/>
      <c r="E276" s="16"/>
      <c r="F276" s="16"/>
      <c r="G276" s="16"/>
      <c r="H276" s="60"/>
      <c r="I276" s="60"/>
      <c r="J276" s="16"/>
    </row>
    <row r="277" spans="2:10" x14ac:dyDescent="0.3">
      <c r="B277" s="16"/>
      <c r="C277" s="60"/>
      <c r="D277" s="16"/>
      <c r="E277" s="16"/>
      <c r="F277" s="16"/>
      <c r="G277" s="16"/>
      <c r="H277" s="60"/>
      <c r="I277" s="60"/>
      <c r="J277" s="16"/>
    </row>
    <row r="278" spans="2:10" x14ac:dyDescent="0.3">
      <c r="B278" s="16"/>
      <c r="C278" s="60"/>
      <c r="D278" s="16"/>
      <c r="E278" s="16"/>
      <c r="F278" s="16"/>
      <c r="G278" s="16"/>
      <c r="H278" s="60"/>
      <c r="I278" s="60"/>
      <c r="J278" s="16"/>
    </row>
    <row r="279" spans="2:10" x14ac:dyDescent="0.3">
      <c r="B279" s="16"/>
      <c r="C279" s="60"/>
      <c r="D279" s="16"/>
      <c r="E279" s="16"/>
      <c r="F279" s="16"/>
      <c r="G279" s="16"/>
      <c r="H279" s="60"/>
      <c r="I279" s="60"/>
      <c r="J279" s="16"/>
    </row>
    <row r="280" spans="2:10" x14ac:dyDescent="0.3">
      <c r="B280" s="16"/>
      <c r="C280" s="60"/>
      <c r="D280" s="16"/>
      <c r="E280" s="16"/>
      <c r="F280" s="16"/>
      <c r="G280" s="16"/>
      <c r="H280" s="60"/>
      <c r="I280" s="60"/>
      <c r="J280" s="16"/>
    </row>
    <row r="281" spans="2:10" x14ac:dyDescent="0.3">
      <c r="B281" s="16"/>
      <c r="C281" s="60"/>
      <c r="D281" s="16"/>
      <c r="E281" s="16"/>
      <c r="F281" s="16"/>
      <c r="G281" s="16"/>
      <c r="H281" s="60"/>
      <c r="I281" s="60"/>
      <c r="J281" s="16"/>
    </row>
    <row r="282" spans="2:10" x14ac:dyDescent="0.3">
      <c r="B282" s="16"/>
      <c r="C282" s="60"/>
      <c r="D282" s="16"/>
      <c r="E282" s="16"/>
      <c r="F282" s="16"/>
      <c r="G282" s="16"/>
      <c r="H282" s="60"/>
      <c r="I282" s="60"/>
      <c r="J282" s="16"/>
    </row>
    <row r="283" spans="2:10" x14ac:dyDescent="0.3">
      <c r="B283" s="16"/>
      <c r="C283" s="60"/>
      <c r="D283" s="16"/>
      <c r="E283" s="16"/>
      <c r="F283" s="16"/>
      <c r="G283" s="16"/>
      <c r="H283" s="60"/>
      <c r="I283" s="60"/>
      <c r="J283" s="16"/>
    </row>
    <row r="284" spans="2:10" x14ac:dyDescent="0.3">
      <c r="B284" s="16"/>
      <c r="C284" s="60"/>
      <c r="D284" s="16"/>
      <c r="E284" s="16"/>
      <c r="F284" s="16"/>
      <c r="G284" s="16"/>
      <c r="H284" s="60"/>
      <c r="I284" s="60"/>
      <c r="J284" s="16"/>
    </row>
    <row r="285" spans="2:10" x14ac:dyDescent="0.3">
      <c r="B285" s="16"/>
      <c r="C285" s="60"/>
      <c r="D285" s="16"/>
      <c r="E285" s="16"/>
      <c r="F285" s="16"/>
      <c r="G285" s="16"/>
      <c r="H285" s="60"/>
      <c r="I285" s="60"/>
      <c r="J285" s="16"/>
    </row>
    <row r="286" spans="2:10" x14ac:dyDescent="0.3">
      <c r="B286" s="16"/>
      <c r="C286" s="60"/>
      <c r="D286" s="16"/>
      <c r="E286" s="16"/>
      <c r="F286" s="16"/>
      <c r="G286" s="16"/>
      <c r="H286" s="60"/>
      <c r="I286" s="60"/>
      <c r="J286" s="16"/>
    </row>
    <row r="287" spans="2:10" x14ac:dyDescent="0.3">
      <c r="B287" s="16"/>
      <c r="C287" s="60"/>
      <c r="D287" s="16"/>
      <c r="E287" s="16"/>
      <c r="F287" s="16"/>
      <c r="G287" s="16"/>
      <c r="H287" s="60"/>
      <c r="I287" s="60"/>
      <c r="J287" s="16"/>
    </row>
    <row r="288" spans="2:10" x14ac:dyDescent="0.3">
      <c r="B288" s="16"/>
      <c r="C288" s="60"/>
      <c r="D288" s="16"/>
      <c r="E288" s="16"/>
      <c r="F288" s="16"/>
      <c r="G288" s="16"/>
      <c r="H288" s="60"/>
      <c r="I288" s="60"/>
      <c r="J288" s="16"/>
    </row>
    <row r="289" spans="2:10" x14ac:dyDescent="0.3">
      <c r="B289" s="16"/>
      <c r="C289" s="60"/>
      <c r="D289" s="16"/>
      <c r="E289" s="16"/>
      <c r="F289" s="16"/>
      <c r="G289" s="16"/>
      <c r="H289" s="60"/>
      <c r="I289" s="60"/>
      <c r="J289" s="16"/>
    </row>
    <row r="290" spans="2:10" x14ac:dyDescent="0.3">
      <c r="B290" s="16"/>
      <c r="C290" s="60"/>
      <c r="D290" s="16"/>
      <c r="E290" s="16"/>
      <c r="F290" s="16"/>
      <c r="G290" s="16"/>
      <c r="H290" s="60"/>
      <c r="I290" s="60"/>
      <c r="J290" s="16"/>
    </row>
    <row r="291" spans="2:10" x14ac:dyDescent="0.3">
      <c r="B291" s="16"/>
      <c r="C291" s="60"/>
      <c r="D291" s="16"/>
      <c r="E291" s="16"/>
      <c r="F291" s="16"/>
      <c r="G291" s="16"/>
      <c r="H291" s="60"/>
      <c r="I291" s="60"/>
      <c r="J291" s="16"/>
    </row>
    <row r="292" spans="2:10" x14ac:dyDescent="0.3">
      <c r="B292" s="16"/>
      <c r="C292" s="60"/>
      <c r="D292" s="16"/>
      <c r="E292" s="16"/>
      <c r="F292" s="16"/>
      <c r="G292" s="16"/>
      <c r="H292" s="60"/>
      <c r="I292" s="60"/>
      <c r="J292" s="16"/>
    </row>
    <row r="293" spans="2:10" x14ac:dyDescent="0.3">
      <c r="B293" s="16"/>
      <c r="C293" s="60"/>
      <c r="D293" s="16"/>
      <c r="E293" s="16"/>
      <c r="F293" s="16"/>
      <c r="G293" s="16"/>
      <c r="H293" s="60"/>
      <c r="I293" s="60"/>
      <c r="J293" s="16"/>
    </row>
    <row r="294" spans="2:10" x14ac:dyDescent="0.3">
      <c r="B294" s="16"/>
      <c r="C294" s="60"/>
      <c r="D294" s="16"/>
      <c r="E294" s="16"/>
      <c r="F294" s="16"/>
      <c r="G294" s="16"/>
      <c r="H294" s="60"/>
      <c r="I294" s="60"/>
      <c r="J294" s="16"/>
    </row>
    <row r="295" spans="2:10" x14ac:dyDescent="0.3">
      <c r="B295" s="16"/>
      <c r="C295" s="60"/>
      <c r="D295" s="16"/>
      <c r="E295" s="16"/>
      <c r="F295" s="16"/>
      <c r="G295" s="16"/>
      <c r="H295" s="60"/>
      <c r="I295" s="60"/>
      <c r="J295" s="16"/>
    </row>
    <row r="296" spans="2:10" x14ac:dyDescent="0.3">
      <c r="B296" s="16"/>
      <c r="C296" s="60"/>
      <c r="D296" s="16"/>
      <c r="E296" s="16"/>
      <c r="F296" s="16"/>
      <c r="G296" s="16"/>
      <c r="H296" s="60"/>
      <c r="I296" s="60"/>
      <c r="J296" s="16"/>
    </row>
    <row r="297" spans="2:10" x14ac:dyDescent="0.3">
      <c r="B297" s="16"/>
      <c r="C297" s="60"/>
      <c r="D297" s="16"/>
      <c r="E297" s="16"/>
      <c r="F297" s="16"/>
      <c r="G297" s="16"/>
      <c r="H297" s="60"/>
      <c r="I297" s="60"/>
      <c r="J297" s="16"/>
    </row>
    <row r="298" spans="2:10" x14ac:dyDescent="0.3">
      <c r="B298" s="16"/>
      <c r="C298" s="60"/>
      <c r="D298" s="16"/>
      <c r="E298" s="16"/>
      <c r="F298" s="16"/>
      <c r="G298" s="16"/>
      <c r="H298" s="60"/>
      <c r="I298" s="60"/>
      <c r="J298" s="16"/>
    </row>
    <row r="299" spans="2:10" x14ac:dyDescent="0.3">
      <c r="B299" s="16"/>
      <c r="C299" s="60"/>
      <c r="D299" s="16"/>
      <c r="E299" s="16"/>
      <c r="F299" s="16"/>
      <c r="G299" s="16"/>
      <c r="H299" s="60"/>
      <c r="I299" s="60"/>
      <c r="J299" s="16"/>
    </row>
    <row r="300" spans="2:10" x14ac:dyDescent="0.3">
      <c r="B300" s="16"/>
      <c r="C300" s="60"/>
      <c r="D300" s="16"/>
      <c r="E300" s="16"/>
      <c r="F300" s="16"/>
      <c r="G300" s="16"/>
      <c r="H300" s="60"/>
      <c r="I300" s="60"/>
      <c r="J300" s="16"/>
    </row>
    <row r="301" spans="2:10" x14ac:dyDescent="0.3">
      <c r="B301" s="16"/>
      <c r="C301" s="60"/>
      <c r="D301" s="16"/>
      <c r="E301" s="16"/>
      <c r="F301" s="16"/>
      <c r="G301" s="16"/>
      <c r="H301" s="60"/>
      <c r="I301" s="60"/>
      <c r="J301" s="16"/>
    </row>
    <row r="302" spans="2:10" x14ac:dyDescent="0.3">
      <c r="B302" s="16"/>
      <c r="C302" s="60"/>
      <c r="D302" s="16"/>
      <c r="E302" s="16"/>
      <c r="F302" s="16"/>
      <c r="G302" s="16"/>
      <c r="H302" s="60"/>
      <c r="I302" s="60"/>
      <c r="J302" s="16"/>
    </row>
    <row r="303" spans="2:10" x14ac:dyDescent="0.3">
      <c r="B303" s="16"/>
      <c r="C303" s="60"/>
      <c r="D303" s="16"/>
      <c r="E303" s="16"/>
      <c r="F303" s="16"/>
      <c r="G303" s="16"/>
      <c r="H303" s="60"/>
      <c r="I303" s="60"/>
      <c r="J303" s="16"/>
    </row>
    <row r="304" spans="2:10" x14ac:dyDescent="0.3">
      <c r="B304" s="16"/>
      <c r="C304" s="60"/>
      <c r="D304" s="16"/>
      <c r="E304" s="16"/>
      <c r="F304" s="16"/>
      <c r="G304" s="16"/>
      <c r="H304" s="60"/>
      <c r="I304" s="60"/>
      <c r="J304" s="16"/>
    </row>
    <row r="305" spans="2:10" x14ac:dyDescent="0.3">
      <c r="B305" s="16"/>
      <c r="C305" s="60"/>
      <c r="D305" s="16"/>
      <c r="E305" s="16"/>
      <c r="F305" s="16"/>
      <c r="G305" s="16"/>
      <c r="H305" s="60"/>
      <c r="I305" s="60"/>
      <c r="J305" s="16"/>
    </row>
    <row r="306" spans="2:10" x14ac:dyDescent="0.3">
      <c r="B306" s="16"/>
      <c r="C306" s="60"/>
      <c r="D306" s="16"/>
      <c r="E306" s="16"/>
      <c r="F306" s="16"/>
      <c r="G306" s="16"/>
      <c r="H306" s="60"/>
      <c r="I306" s="60"/>
      <c r="J306" s="16"/>
    </row>
    <row r="307" spans="2:10" x14ac:dyDescent="0.3">
      <c r="B307" s="16"/>
      <c r="C307" s="60"/>
      <c r="D307" s="16"/>
      <c r="E307" s="16"/>
      <c r="F307" s="16"/>
      <c r="G307" s="16"/>
      <c r="H307" s="60"/>
      <c r="I307" s="60"/>
      <c r="J307" s="16"/>
    </row>
    <row r="308" spans="2:10" x14ac:dyDescent="0.3">
      <c r="B308" s="16"/>
      <c r="C308" s="60"/>
      <c r="D308" s="16"/>
      <c r="E308" s="16"/>
      <c r="F308" s="16"/>
      <c r="G308" s="16"/>
      <c r="H308" s="60"/>
      <c r="I308" s="60"/>
      <c r="J308" s="16"/>
    </row>
    <row r="309" spans="2:10" x14ac:dyDescent="0.3">
      <c r="B309" s="16"/>
      <c r="C309" s="60"/>
      <c r="D309" s="16"/>
      <c r="E309" s="16"/>
      <c r="F309" s="16"/>
      <c r="G309" s="16"/>
      <c r="H309" s="60"/>
      <c r="I309" s="60"/>
      <c r="J309" s="16"/>
    </row>
    <row r="310" spans="2:10" x14ac:dyDescent="0.3">
      <c r="B310" s="16"/>
      <c r="C310" s="60"/>
      <c r="D310" s="16"/>
      <c r="E310" s="16"/>
      <c r="F310" s="16"/>
      <c r="G310" s="16"/>
      <c r="H310" s="60"/>
      <c r="I310" s="60"/>
      <c r="J310" s="16"/>
    </row>
    <row r="311" spans="2:10" x14ac:dyDescent="0.3">
      <c r="B311" s="16"/>
      <c r="C311" s="60"/>
      <c r="D311" s="16"/>
      <c r="E311" s="16"/>
      <c r="F311" s="16"/>
      <c r="G311" s="16"/>
      <c r="H311" s="60"/>
      <c r="I311" s="60"/>
      <c r="J311" s="16"/>
    </row>
    <row r="312" spans="2:10" x14ac:dyDescent="0.3">
      <c r="B312" s="16"/>
      <c r="C312" s="60"/>
      <c r="D312" s="16"/>
      <c r="E312" s="16"/>
      <c r="F312" s="16"/>
      <c r="G312" s="16"/>
      <c r="H312" s="60"/>
      <c r="I312" s="60"/>
      <c r="J312" s="16"/>
    </row>
    <row r="313" spans="2:10" x14ac:dyDescent="0.3">
      <c r="B313" s="16"/>
      <c r="C313" s="60"/>
      <c r="D313" s="16"/>
      <c r="E313" s="16"/>
      <c r="F313" s="16"/>
      <c r="G313" s="16"/>
      <c r="H313" s="60"/>
      <c r="I313" s="60"/>
      <c r="J313" s="16"/>
    </row>
    <row r="314" spans="2:10" x14ac:dyDescent="0.3">
      <c r="B314" s="16"/>
      <c r="C314" s="60"/>
      <c r="D314" s="16"/>
      <c r="E314" s="16"/>
      <c r="F314" s="16"/>
      <c r="G314" s="16"/>
      <c r="H314" s="60"/>
      <c r="I314" s="60"/>
      <c r="J314" s="16"/>
    </row>
    <row r="315" spans="2:10" x14ac:dyDescent="0.3">
      <c r="B315" s="16"/>
      <c r="C315" s="60"/>
      <c r="D315" s="16"/>
      <c r="E315" s="16"/>
      <c r="F315" s="16"/>
      <c r="G315" s="16"/>
      <c r="H315" s="60"/>
      <c r="I315" s="60"/>
      <c r="J315" s="16"/>
    </row>
    <row r="316" spans="2:10" x14ac:dyDescent="0.3">
      <c r="B316" s="16"/>
      <c r="C316" s="60"/>
      <c r="D316" s="16"/>
      <c r="E316" s="16"/>
      <c r="F316" s="16"/>
      <c r="G316" s="16"/>
      <c r="H316" s="60"/>
      <c r="I316" s="60"/>
      <c r="J316" s="16"/>
    </row>
    <row r="317" spans="2:10" x14ac:dyDescent="0.3">
      <c r="B317" s="16"/>
      <c r="C317" s="60"/>
      <c r="D317" s="16"/>
      <c r="E317" s="16"/>
      <c r="F317" s="16"/>
      <c r="G317" s="16"/>
      <c r="H317" s="60"/>
      <c r="I317" s="60"/>
      <c r="J317" s="16"/>
    </row>
    <row r="318" spans="2:10" x14ac:dyDescent="0.3">
      <c r="B318" s="16"/>
      <c r="C318" s="60"/>
      <c r="D318" s="16"/>
      <c r="E318" s="16"/>
      <c r="F318" s="16"/>
      <c r="G318" s="16"/>
      <c r="H318" s="60"/>
      <c r="I318" s="60"/>
      <c r="J318" s="16"/>
    </row>
    <row r="319" spans="2:10" x14ac:dyDescent="0.3">
      <c r="B319" s="16"/>
      <c r="C319" s="60"/>
      <c r="D319" s="16"/>
      <c r="E319" s="16"/>
      <c r="F319" s="16"/>
      <c r="G319" s="16"/>
      <c r="H319" s="60"/>
      <c r="I319" s="60"/>
      <c r="J319" s="16"/>
    </row>
    <row r="320" spans="2:10" x14ac:dyDescent="0.3">
      <c r="B320" s="16"/>
      <c r="C320" s="60"/>
      <c r="D320" s="16"/>
      <c r="E320" s="16"/>
      <c r="F320" s="16"/>
      <c r="G320" s="16"/>
      <c r="H320" s="60"/>
      <c r="I320" s="60"/>
      <c r="J320" s="16"/>
    </row>
    <row r="321" spans="2:10" x14ac:dyDescent="0.3">
      <c r="B321" s="16"/>
      <c r="C321" s="60"/>
      <c r="D321" s="16"/>
      <c r="E321" s="16"/>
      <c r="F321" s="16"/>
      <c r="G321" s="16"/>
      <c r="H321" s="60"/>
      <c r="I321" s="60"/>
      <c r="J321" s="16"/>
    </row>
    <row r="322" spans="2:10" x14ac:dyDescent="0.3">
      <c r="B322" s="16"/>
      <c r="C322" s="60"/>
      <c r="D322" s="16"/>
      <c r="E322" s="16"/>
      <c r="F322" s="16"/>
      <c r="G322" s="16"/>
      <c r="H322" s="60"/>
      <c r="I322" s="60"/>
      <c r="J322" s="16"/>
    </row>
    <row r="323" spans="2:10" x14ac:dyDescent="0.3">
      <c r="B323" s="16"/>
      <c r="C323" s="60"/>
      <c r="D323" s="16"/>
      <c r="E323" s="16"/>
      <c r="F323" s="16"/>
      <c r="G323" s="16"/>
      <c r="H323" s="60"/>
      <c r="I323" s="60"/>
      <c r="J323" s="16"/>
    </row>
    <row r="324" spans="2:10" x14ac:dyDescent="0.3">
      <c r="B324" s="16"/>
      <c r="C324" s="60"/>
      <c r="D324" s="16"/>
      <c r="E324" s="16"/>
      <c r="F324" s="16"/>
      <c r="G324" s="16"/>
      <c r="H324" s="60"/>
      <c r="I324" s="60"/>
      <c r="J324" s="16"/>
    </row>
    <row r="325" spans="2:10" x14ac:dyDescent="0.3">
      <c r="B325" s="16"/>
      <c r="C325" s="60"/>
      <c r="D325" s="16"/>
      <c r="E325" s="16"/>
      <c r="F325" s="16"/>
      <c r="G325" s="16"/>
      <c r="H325" s="60"/>
      <c r="I325" s="60"/>
      <c r="J325" s="16"/>
    </row>
    <row r="326" spans="2:10" x14ac:dyDescent="0.3">
      <c r="B326" s="16"/>
      <c r="C326" s="60"/>
      <c r="D326" s="16"/>
      <c r="E326" s="16"/>
      <c r="F326" s="16"/>
      <c r="G326" s="16"/>
      <c r="H326" s="60"/>
      <c r="I326" s="60"/>
      <c r="J326" s="16"/>
    </row>
    <row r="327" spans="2:10" x14ac:dyDescent="0.3">
      <c r="B327" s="16"/>
      <c r="C327" s="60"/>
      <c r="D327" s="16"/>
      <c r="E327" s="16"/>
      <c r="F327" s="16"/>
      <c r="G327" s="16"/>
      <c r="H327" s="60"/>
      <c r="I327" s="60"/>
      <c r="J327" s="16"/>
    </row>
    <row r="328" spans="2:10" x14ac:dyDescent="0.3">
      <c r="B328" s="16"/>
      <c r="C328" s="60"/>
      <c r="D328" s="16"/>
      <c r="E328" s="16"/>
      <c r="F328" s="16"/>
      <c r="G328" s="16"/>
      <c r="H328" s="60"/>
      <c r="I328" s="60"/>
      <c r="J328" s="16"/>
    </row>
    <row r="329" spans="2:10" x14ac:dyDescent="0.3">
      <c r="B329" s="16"/>
      <c r="C329" s="60"/>
      <c r="D329" s="16"/>
      <c r="E329" s="16"/>
      <c r="F329" s="16"/>
      <c r="G329" s="16"/>
      <c r="H329" s="60"/>
      <c r="I329" s="60"/>
      <c r="J329" s="16"/>
    </row>
    <row r="330" spans="2:10" x14ac:dyDescent="0.3">
      <c r="B330" s="16"/>
      <c r="C330" s="60"/>
      <c r="D330" s="16"/>
      <c r="E330" s="16"/>
      <c r="F330" s="16"/>
      <c r="G330" s="16"/>
      <c r="H330" s="60"/>
      <c r="I330" s="60"/>
      <c r="J330" s="16"/>
    </row>
    <row r="331" spans="2:10" x14ac:dyDescent="0.3">
      <c r="B331" s="16"/>
      <c r="C331" s="60"/>
      <c r="D331" s="16"/>
      <c r="E331" s="16"/>
      <c r="F331" s="16"/>
      <c r="G331" s="16"/>
      <c r="H331" s="60"/>
      <c r="I331" s="60"/>
      <c r="J331" s="16"/>
    </row>
    <row r="332" spans="2:10" x14ac:dyDescent="0.3">
      <c r="B332" s="16"/>
      <c r="C332" s="60"/>
      <c r="D332" s="16"/>
      <c r="E332" s="16"/>
      <c r="F332" s="16"/>
      <c r="G332" s="16"/>
      <c r="H332" s="60"/>
      <c r="I332" s="60"/>
      <c r="J332" s="16"/>
    </row>
    <row r="333" spans="2:10" x14ac:dyDescent="0.3">
      <c r="B333" s="16"/>
      <c r="C333" s="60"/>
      <c r="D333" s="16"/>
      <c r="E333" s="16"/>
      <c r="F333" s="16"/>
      <c r="G333" s="16"/>
      <c r="H333" s="60"/>
      <c r="I333" s="60"/>
      <c r="J333" s="16"/>
    </row>
    <row r="334" spans="2:10" x14ac:dyDescent="0.3">
      <c r="B334" s="16"/>
      <c r="C334" s="60"/>
      <c r="D334" s="16"/>
      <c r="E334" s="16"/>
      <c r="F334" s="16"/>
      <c r="G334" s="16"/>
      <c r="H334" s="60"/>
      <c r="I334" s="60"/>
      <c r="J334" s="16"/>
    </row>
    <row r="335" spans="2:10" x14ac:dyDescent="0.3">
      <c r="B335" s="16"/>
      <c r="C335" s="60"/>
      <c r="D335" s="16"/>
      <c r="E335" s="16"/>
      <c r="F335" s="16"/>
      <c r="G335" s="16"/>
      <c r="H335" s="60"/>
      <c r="I335" s="60"/>
      <c r="J335" s="16"/>
    </row>
    <row r="336" spans="2:10" x14ac:dyDescent="0.3">
      <c r="B336" s="16"/>
      <c r="C336" s="60"/>
      <c r="D336" s="16"/>
      <c r="E336" s="16"/>
      <c r="F336" s="16"/>
      <c r="G336" s="16"/>
      <c r="H336" s="60"/>
      <c r="I336" s="60"/>
      <c r="J336" s="16"/>
    </row>
    <row r="337" spans="2:10" x14ac:dyDescent="0.3">
      <c r="B337" s="16"/>
      <c r="C337" s="60"/>
      <c r="D337" s="16"/>
      <c r="E337" s="16"/>
      <c r="F337" s="16"/>
      <c r="G337" s="16"/>
      <c r="H337" s="60"/>
      <c r="I337" s="60"/>
      <c r="J337" s="16"/>
    </row>
    <row r="338" spans="2:10" x14ac:dyDescent="0.3">
      <c r="B338" s="16"/>
      <c r="C338" s="60"/>
      <c r="D338" s="16"/>
      <c r="E338" s="16"/>
      <c r="F338" s="16"/>
      <c r="G338" s="16"/>
      <c r="H338" s="60"/>
      <c r="I338" s="60"/>
      <c r="J338" s="16"/>
    </row>
    <row r="339" spans="2:10" x14ac:dyDescent="0.3">
      <c r="B339" s="16"/>
      <c r="C339" s="60"/>
      <c r="D339" s="16"/>
      <c r="E339" s="16"/>
      <c r="F339" s="16"/>
      <c r="G339" s="16"/>
      <c r="H339" s="60"/>
      <c r="I339" s="60"/>
      <c r="J339" s="16"/>
    </row>
    <row r="340" spans="2:10" x14ac:dyDescent="0.3">
      <c r="B340" s="16"/>
      <c r="C340" s="60"/>
      <c r="D340" s="16"/>
      <c r="E340" s="16"/>
      <c r="F340" s="16"/>
      <c r="G340" s="16"/>
      <c r="H340" s="60"/>
      <c r="I340" s="60"/>
      <c r="J340" s="16"/>
    </row>
    <row r="341" spans="2:10" x14ac:dyDescent="0.3">
      <c r="B341" s="16"/>
      <c r="C341" s="60"/>
      <c r="D341" s="16"/>
      <c r="E341" s="16"/>
      <c r="F341" s="16"/>
      <c r="G341" s="16"/>
      <c r="H341" s="60"/>
      <c r="I341" s="60"/>
      <c r="J341" s="16"/>
    </row>
    <row r="342" spans="2:10" x14ac:dyDescent="0.3">
      <c r="B342" s="16"/>
      <c r="C342" s="60"/>
      <c r="D342" s="16"/>
      <c r="E342" s="16"/>
      <c r="F342" s="16"/>
      <c r="G342" s="16"/>
      <c r="H342" s="60"/>
      <c r="I342" s="60"/>
      <c r="J342" s="16"/>
    </row>
    <row r="343" spans="2:10" x14ac:dyDescent="0.3">
      <c r="B343" s="16"/>
      <c r="C343" s="60"/>
      <c r="D343" s="16"/>
      <c r="E343" s="16"/>
      <c r="F343" s="16"/>
      <c r="G343" s="16"/>
      <c r="H343" s="60"/>
      <c r="I343" s="60"/>
      <c r="J343" s="16"/>
    </row>
    <row r="344" spans="2:10" x14ac:dyDescent="0.3">
      <c r="B344" s="16"/>
      <c r="C344" s="60"/>
      <c r="D344" s="16"/>
      <c r="E344" s="16"/>
      <c r="F344" s="16"/>
      <c r="G344" s="16"/>
      <c r="H344" s="60"/>
      <c r="I344" s="60"/>
      <c r="J344" s="16"/>
    </row>
    <row r="345" spans="2:10" x14ac:dyDescent="0.3">
      <c r="B345" s="16"/>
      <c r="C345" s="60"/>
      <c r="D345" s="16"/>
      <c r="E345" s="16"/>
      <c r="F345" s="16"/>
      <c r="G345" s="16"/>
      <c r="H345" s="60"/>
      <c r="I345" s="60"/>
      <c r="J345" s="16"/>
    </row>
    <row r="346" spans="2:10" x14ac:dyDescent="0.3">
      <c r="B346" s="16"/>
      <c r="C346" s="60"/>
      <c r="D346" s="16"/>
      <c r="E346" s="16"/>
      <c r="F346" s="16"/>
      <c r="G346" s="16"/>
      <c r="H346" s="60"/>
      <c r="I346" s="60"/>
      <c r="J346" s="16"/>
    </row>
    <row r="347" spans="2:10" x14ac:dyDescent="0.3">
      <c r="B347" s="16"/>
      <c r="C347" s="60"/>
      <c r="D347" s="16"/>
      <c r="E347" s="16"/>
      <c r="F347" s="16"/>
      <c r="G347" s="16"/>
      <c r="H347" s="60"/>
      <c r="I347" s="60"/>
      <c r="J347" s="16"/>
    </row>
    <row r="348" spans="2:10" x14ac:dyDescent="0.3">
      <c r="B348" s="16"/>
      <c r="C348" s="60"/>
      <c r="D348" s="16"/>
      <c r="E348" s="16"/>
      <c r="F348" s="16"/>
      <c r="G348" s="16"/>
      <c r="H348" s="60"/>
      <c r="I348" s="60"/>
      <c r="J348" s="16"/>
    </row>
    <row r="349" spans="2:10" x14ac:dyDescent="0.3">
      <c r="B349" s="16"/>
      <c r="C349" s="60"/>
      <c r="D349" s="16"/>
      <c r="E349" s="16"/>
      <c r="F349" s="16"/>
      <c r="G349" s="16"/>
      <c r="H349" s="60"/>
      <c r="I349" s="60"/>
      <c r="J349" s="16"/>
    </row>
    <row r="350" spans="2:10" x14ac:dyDescent="0.3">
      <c r="B350" s="16"/>
      <c r="C350" s="60"/>
      <c r="D350" s="16"/>
      <c r="E350" s="16"/>
      <c r="F350" s="16"/>
      <c r="G350" s="16"/>
      <c r="H350" s="60"/>
      <c r="I350" s="60"/>
      <c r="J350" s="16"/>
    </row>
    <row r="351" spans="2:10" x14ac:dyDescent="0.3">
      <c r="B351" s="16"/>
      <c r="C351" s="60"/>
      <c r="D351" s="16"/>
      <c r="E351" s="16"/>
      <c r="F351" s="16"/>
      <c r="G351" s="16"/>
      <c r="H351" s="60"/>
      <c r="I351" s="60"/>
      <c r="J351" s="16"/>
    </row>
    <row r="352" spans="2:10" x14ac:dyDescent="0.3">
      <c r="B352" s="16"/>
      <c r="C352" s="60"/>
      <c r="D352" s="16"/>
      <c r="E352" s="16"/>
      <c r="F352" s="16"/>
      <c r="G352" s="16"/>
      <c r="H352" s="60"/>
      <c r="I352" s="60"/>
      <c r="J352" s="16"/>
    </row>
    <row r="353" spans="2:10" x14ac:dyDescent="0.3">
      <c r="B353" s="16"/>
      <c r="C353" s="60"/>
      <c r="D353" s="16"/>
      <c r="E353" s="16"/>
      <c r="F353" s="16"/>
      <c r="G353" s="16"/>
      <c r="H353" s="60"/>
      <c r="I353" s="60"/>
      <c r="J353" s="16"/>
    </row>
    <row r="354" spans="2:10" x14ac:dyDescent="0.3">
      <c r="B354" s="16"/>
      <c r="C354" s="60"/>
      <c r="D354" s="16"/>
      <c r="E354" s="16"/>
      <c r="F354" s="16"/>
      <c r="G354" s="16"/>
      <c r="H354" s="60"/>
      <c r="I354" s="60"/>
      <c r="J354" s="16"/>
    </row>
    <row r="355" spans="2:10" x14ac:dyDescent="0.3">
      <c r="B355" s="16"/>
      <c r="C355" s="60"/>
      <c r="D355" s="16"/>
      <c r="E355" s="16"/>
      <c r="F355" s="16"/>
      <c r="G355" s="16"/>
      <c r="H355" s="60"/>
      <c r="I355" s="60"/>
      <c r="J355" s="16"/>
    </row>
    <row r="356" spans="2:10" x14ac:dyDescent="0.3">
      <c r="B356" s="16"/>
      <c r="C356" s="60"/>
      <c r="D356" s="16"/>
      <c r="E356" s="16"/>
      <c r="F356" s="16"/>
      <c r="G356" s="16"/>
      <c r="H356" s="60"/>
      <c r="I356" s="60"/>
      <c r="J356" s="16"/>
    </row>
    <row r="357" spans="2:10" x14ac:dyDescent="0.3">
      <c r="B357" s="16"/>
      <c r="C357" s="60"/>
      <c r="D357" s="16"/>
      <c r="E357" s="16"/>
      <c r="F357" s="16"/>
      <c r="G357" s="16"/>
      <c r="H357" s="60"/>
      <c r="I357" s="60"/>
      <c r="J357" s="16"/>
    </row>
    <row r="358" spans="2:10" x14ac:dyDescent="0.3">
      <c r="B358" s="16"/>
      <c r="C358" s="60"/>
      <c r="D358" s="16"/>
      <c r="E358" s="16"/>
      <c r="F358" s="16"/>
      <c r="G358" s="16"/>
      <c r="H358" s="60"/>
      <c r="I358" s="60"/>
      <c r="J358" s="16"/>
    </row>
    <row r="359" spans="2:10" x14ac:dyDescent="0.3">
      <c r="B359" s="16"/>
      <c r="C359" s="60"/>
      <c r="D359" s="16"/>
      <c r="E359" s="16"/>
      <c r="F359" s="16"/>
      <c r="G359" s="16"/>
      <c r="H359" s="60"/>
      <c r="I359" s="60"/>
      <c r="J359" s="16"/>
    </row>
    <row r="360" spans="2:10" x14ac:dyDescent="0.3">
      <c r="B360" s="16"/>
      <c r="C360" s="60"/>
      <c r="D360" s="16"/>
      <c r="E360" s="16"/>
      <c r="F360" s="16"/>
      <c r="G360" s="16"/>
      <c r="H360" s="60"/>
      <c r="I360" s="60"/>
      <c r="J360" s="16"/>
    </row>
    <row r="361" spans="2:10" x14ac:dyDescent="0.3">
      <c r="B361" s="16"/>
      <c r="C361" s="60"/>
      <c r="D361" s="16"/>
      <c r="E361" s="16"/>
      <c r="F361" s="16"/>
      <c r="G361" s="16"/>
      <c r="H361" s="60"/>
      <c r="I361" s="60"/>
      <c r="J361" s="16"/>
    </row>
    <row r="362" spans="2:10" x14ac:dyDescent="0.3">
      <c r="B362" s="16"/>
      <c r="C362" s="60"/>
      <c r="D362" s="16"/>
      <c r="E362" s="16"/>
      <c r="F362" s="16"/>
      <c r="G362" s="16"/>
      <c r="H362" s="60"/>
      <c r="I362" s="60"/>
      <c r="J362" s="16"/>
    </row>
    <row r="363" spans="2:10" x14ac:dyDescent="0.3">
      <c r="B363" s="16"/>
      <c r="C363" s="60"/>
      <c r="D363" s="16"/>
      <c r="E363" s="16"/>
      <c r="F363" s="16"/>
      <c r="G363" s="16"/>
      <c r="H363" s="60"/>
      <c r="I363" s="60"/>
      <c r="J363" s="16"/>
    </row>
    <row r="364" spans="2:10" x14ac:dyDescent="0.3">
      <c r="B364" s="16"/>
      <c r="C364" s="60"/>
      <c r="D364" s="16"/>
      <c r="E364" s="16"/>
      <c r="F364" s="16"/>
      <c r="G364" s="16"/>
      <c r="H364" s="60"/>
      <c r="I364" s="60"/>
      <c r="J364" s="16"/>
    </row>
    <row r="365" spans="2:10" x14ac:dyDescent="0.3">
      <c r="B365" s="16"/>
      <c r="C365" s="60"/>
      <c r="D365" s="16"/>
      <c r="E365" s="16"/>
      <c r="F365" s="16"/>
      <c r="G365" s="16"/>
      <c r="H365" s="60"/>
      <c r="I365" s="60"/>
      <c r="J365" s="16"/>
    </row>
    <row r="366" spans="2:10" x14ac:dyDescent="0.3">
      <c r="B366" s="16"/>
      <c r="C366" s="60"/>
      <c r="D366" s="16"/>
      <c r="E366" s="16"/>
      <c r="F366" s="16"/>
      <c r="G366" s="16"/>
      <c r="H366" s="60"/>
      <c r="I366" s="60"/>
      <c r="J366" s="16"/>
    </row>
    <row r="367" spans="2:10" x14ac:dyDescent="0.3">
      <c r="B367" s="16"/>
      <c r="C367" s="60"/>
      <c r="D367" s="16"/>
      <c r="E367" s="16"/>
      <c r="F367" s="16"/>
      <c r="G367" s="16"/>
      <c r="H367" s="60"/>
      <c r="I367" s="60"/>
      <c r="J367" s="16"/>
    </row>
    <row r="368" spans="2:10" x14ac:dyDescent="0.3">
      <c r="B368" s="16"/>
      <c r="C368" s="60"/>
      <c r="D368" s="16"/>
      <c r="E368" s="16"/>
      <c r="F368" s="16"/>
      <c r="G368" s="16"/>
      <c r="H368" s="60"/>
      <c r="I368" s="60"/>
      <c r="J368" s="16"/>
    </row>
    <row r="369" spans="2:10" x14ac:dyDescent="0.3">
      <c r="B369" s="16"/>
      <c r="C369" s="60"/>
      <c r="D369" s="16"/>
      <c r="E369" s="16"/>
      <c r="F369" s="16"/>
      <c r="G369" s="16"/>
      <c r="H369" s="60"/>
      <c r="I369" s="60"/>
      <c r="J369" s="16"/>
    </row>
    <row r="370" spans="2:10" x14ac:dyDescent="0.3">
      <c r="B370" s="16"/>
      <c r="C370" s="60"/>
      <c r="D370" s="16"/>
      <c r="E370" s="16"/>
      <c r="F370" s="16"/>
      <c r="G370" s="16"/>
      <c r="H370" s="60"/>
      <c r="I370" s="60"/>
      <c r="J370" s="16"/>
    </row>
    <row r="371" spans="2:10" x14ac:dyDescent="0.3">
      <c r="B371" s="16"/>
      <c r="C371" s="60"/>
      <c r="D371" s="16"/>
      <c r="E371" s="16"/>
      <c r="F371" s="16"/>
      <c r="G371" s="16"/>
      <c r="H371" s="60"/>
      <c r="I371" s="60"/>
      <c r="J371" s="16"/>
    </row>
    <row r="372" spans="2:10" x14ac:dyDescent="0.3">
      <c r="B372" s="16"/>
      <c r="C372" s="60"/>
      <c r="D372" s="16"/>
      <c r="E372" s="16"/>
      <c r="F372" s="16"/>
      <c r="G372" s="16"/>
      <c r="H372" s="60"/>
      <c r="I372" s="60"/>
      <c r="J372" s="16"/>
    </row>
    <row r="373" spans="2:10" x14ac:dyDescent="0.3">
      <c r="B373" s="16"/>
      <c r="C373" s="60"/>
      <c r="D373" s="16"/>
      <c r="E373" s="16"/>
      <c r="F373" s="16"/>
      <c r="G373" s="16"/>
      <c r="H373" s="60"/>
      <c r="I373" s="60"/>
      <c r="J373" s="16"/>
    </row>
    <row r="374" spans="2:10" x14ac:dyDescent="0.3">
      <c r="B374" s="16"/>
      <c r="C374" s="60"/>
      <c r="D374" s="16"/>
      <c r="E374" s="16"/>
      <c r="F374" s="16"/>
      <c r="G374" s="16"/>
      <c r="H374" s="60"/>
      <c r="I374" s="60"/>
      <c r="J374" s="16"/>
    </row>
    <row r="375" spans="2:10" x14ac:dyDescent="0.3">
      <c r="B375" s="16"/>
      <c r="C375" s="60"/>
      <c r="D375" s="16"/>
      <c r="E375" s="16"/>
      <c r="F375" s="16"/>
      <c r="G375" s="16"/>
      <c r="H375" s="60"/>
      <c r="I375" s="60"/>
      <c r="J375" s="16"/>
    </row>
    <row r="376" spans="2:10" x14ac:dyDescent="0.3">
      <c r="B376" s="16"/>
      <c r="C376" s="60"/>
      <c r="D376" s="16"/>
      <c r="E376" s="16"/>
      <c r="F376" s="16"/>
      <c r="G376" s="16"/>
      <c r="H376" s="60"/>
      <c r="I376" s="60"/>
      <c r="J376" s="16"/>
    </row>
    <row r="377" spans="2:10" x14ac:dyDescent="0.3">
      <c r="B377" s="16"/>
      <c r="C377" s="60"/>
      <c r="D377" s="16"/>
      <c r="E377" s="16"/>
      <c r="F377" s="16"/>
      <c r="G377" s="16"/>
      <c r="H377" s="60"/>
      <c r="I377" s="60"/>
      <c r="J377" s="16"/>
    </row>
    <row r="378" spans="2:10" x14ac:dyDescent="0.3">
      <c r="B378" s="16"/>
      <c r="C378" s="60"/>
      <c r="D378" s="16"/>
      <c r="E378" s="16"/>
      <c r="F378" s="16"/>
      <c r="G378" s="16"/>
      <c r="H378" s="60"/>
      <c r="I378" s="60"/>
      <c r="J378" s="16"/>
    </row>
    <row r="379" spans="2:10" x14ac:dyDescent="0.3">
      <c r="B379" s="16"/>
      <c r="C379" s="60"/>
      <c r="D379" s="16"/>
      <c r="E379" s="16"/>
      <c r="F379" s="16"/>
      <c r="G379" s="16"/>
      <c r="H379" s="60"/>
      <c r="I379" s="60"/>
      <c r="J379" s="16"/>
    </row>
    <row r="380" spans="2:10" x14ac:dyDescent="0.3">
      <c r="B380" s="16"/>
      <c r="C380" s="60"/>
      <c r="D380" s="16"/>
      <c r="E380" s="16"/>
      <c r="F380" s="16"/>
      <c r="G380" s="16"/>
      <c r="H380" s="60"/>
      <c r="I380" s="60"/>
      <c r="J380" s="16"/>
    </row>
    <row r="381" spans="2:10" x14ac:dyDescent="0.3">
      <c r="B381" s="16"/>
      <c r="C381" s="60"/>
      <c r="D381" s="16"/>
      <c r="E381" s="16"/>
      <c r="F381" s="16"/>
      <c r="G381" s="16"/>
      <c r="H381" s="60"/>
      <c r="I381" s="60"/>
      <c r="J381" s="16"/>
    </row>
    <row r="382" spans="2:10" x14ac:dyDescent="0.3">
      <c r="B382" s="16"/>
      <c r="C382" s="60"/>
      <c r="D382" s="16"/>
      <c r="E382" s="16"/>
      <c r="F382" s="16"/>
      <c r="G382" s="16"/>
      <c r="H382" s="60"/>
      <c r="I382" s="60"/>
      <c r="J382" s="16"/>
    </row>
    <row r="383" spans="2:10" x14ac:dyDescent="0.3">
      <c r="B383" s="16"/>
      <c r="C383" s="60"/>
      <c r="D383" s="16"/>
      <c r="E383" s="16"/>
      <c r="F383" s="16"/>
      <c r="G383" s="16"/>
      <c r="H383" s="60"/>
      <c r="I383" s="60"/>
      <c r="J383" s="16"/>
    </row>
    <row r="384" spans="2:10" x14ac:dyDescent="0.3">
      <c r="B384" s="16"/>
      <c r="C384" s="60"/>
      <c r="D384" s="16"/>
      <c r="E384" s="16"/>
      <c r="F384" s="16"/>
      <c r="G384" s="16"/>
      <c r="H384" s="60"/>
      <c r="I384" s="60"/>
      <c r="J384" s="16"/>
    </row>
    <row r="385" spans="2:10" x14ac:dyDescent="0.3">
      <c r="B385" s="16"/>
      <c r="C385" s="60"/>
      <c r="D385" s="16"/>
      <c r="E385" s="16"/>
      <c r="F385" s="16"/>
      <c r="G385" s="16"/>
      <c r="H385" s="60"/>
      <c r="I385" s="60"/>
      <c r="J385" s="16"/>
    </row>
    <row r="386" spans="2:10" x14ac:dyDescent="0.3">
      <c r="B386" s="16"/>
      <c r="C386" s="60"/>
      <c r="D386" s="16"/>
      <c r="E386" s="16"/>
      <c r="F386" s="16"/>
      <c r="G386" s="16"/>
      <c r="H386" s="60"/>
      <c r="I386" s="60"/>
      <c r="J386" s="16"/>
    </row>
    <row r="387" spans="2:10" x14ac:dyDescent="0.3">
      <c r="B387" s="16"/>
      <c r="C387" s="60"/>
      <c r="D387" s="16"/>
      <c r="E387" s="16"/>
      <c r="F387" s="16"/>
      <c r="G387" s="16"/>
      <c r="H387" s="60"/>
      <c r="I387" s="60"/>
      <c r="J387" s="16"/>
    </row>
    <row r="388" spans="2:10" x14ac:dyDescent="0.3">
      <c r="B388" s="16"/>
      <c r="C388" s="60"/>
      <c r="D388" s="16"/>
      <c r="E388" s="16"/>
      <c r="F388" s="16"/>
      <c r="G388" s="16"/>
      <c r="H388" s="60"/>
      <c r="I388" s="60"/>
      <c r="J388" s="16"/>
    </row>
    <row r="389" spans="2:10" x14ac:dyDescent="0.3">
      <c r="B389" s="16"/>
      <c r="C389" s="60"/>
      <c r="D389" s="16"/>
      <c r="E389" s="16"/>
      <c r="F389" s="16"/>
      <c r="G389" s="16"/>
      <c r="H389" s="60"/>
      <c r="I389" s="60"/>
      <c r="J389" s="16"/>
    </row>
    <row r="390" spans="2:10" x14ac:dyDescent="0.3">
      <c r="B390" s="16"/>
      <c r="C390" s="60"/>
      <c r="D390" s="16"/>
      <c r="E390" s="16"/>
      <c r="F390" s="16"/>
      <c r="G390" s="16"/>
      <c r="H390" s="60"/>
      <c r="I390" s="60"/>
      <c r="J390" s="16"/>
    </row>
    <row r="391" spans="2:10" x14ac:dyDescent="0.3">
      <c r="B391" s="16"/>
      <c r="C391" s="60"/>
      <c r="D391" s="16"/>
      <c r="E391" s="16"/>
      <c r="F391" s="16"/>
      <c r="G391" s="16"/>
      <c r="H391" s="60"/>
      <c r="I391" s="60"/>
      <c r="J391" s="16"/>
    </row>
    <row r="392" spans="2:10" x14ac:dyDescent="0.3">
      <c r="B392" s="16"/>
      <c r="C392" s="60"/>
      <c r="D392" s="16"/>
      <c r="E392" s="16"/>
      <c r="F392" s="16"/>
      <c r="G392" s="16"/>
      <c r="H392" s="60"/>
      <c r="I392" s="60"/>
      <c r="J392" s="16"/>
    </row>
    <row r="393" spans="2:10" x14ac:dyDescent="0.3">
      <c r="B393" s="16"/>
      <c r="C393" s="60"/>
      <c r="D393" s="16"/>
      <c r="E393" s="16"/>
      <c r="F393" s="16"/>
      <c r="G393" s="16"/>
      <c r="H393" s="60"/>
      <c r="I393" s="60"/>
      <c r="J393" s="16"/>
    </row>
    <row r="394" spans="2:10" x14ac:dyDescent="0.3">
      <c r="B394" s="16"/>
      <c r="C394" s="60"/>
      <c r="D394" s="16"/>
      <c r="E394" s="16"/>
      <c r="F394" s="16"/>
      <c r="G394" s="16"/>
      <c r="H394" s="60"/>
      <c r="I394" s="60"/>
      <c r="J394" s="16"/>
    </row>
    <row r="395" spans="2:10" x14ac:dyDescent="0.3">
      <c r="B395" s="16"/>
      <c r="C395" s="60"/>
      <c r="D395" s="16"/>
      <c r="E395" s="16"/>
      <c r="F395" s="16"/>
      <c r="G395" s="16"/>
      <c r="H395" s="60"/>
      <c r="I395" s="60"/>
      <c r="J395" s="16"/>
    </row>
    <row r="396" spans="2:10" x14ac:dyDescent="0.3">
      <c r="B396" s="16"/>
      <c r="C396" s="60"/>
      <c r="D396" s="16"/>
      <c r="E396" s="16"/>
      <c r="F396" s="16"/>
      <c r="G396" s="16"/>
      <c r="H396" s="60"/>
      <c r="I396" s="60"/>
      <c r="J396" s="16"/>
    </row>
    <row r="397" spans="2:10" x14ac:dyDescent="0.3">
      <c r="B397" s="16"/>
      <c r="C397" s="60"/>
      <c r="D397" s="16"/>
      <c r="E397" s="16"/>
      <c r="F397" s="16"/>
      <c r="G397" s="16"/>
      <c r="H397" s="60"/>
      <c r="I397" s="60"/>
      <c r="J397" s="16"/>
    </row>
    <row r="398" spans="2:10" x14ac:dyDescent="0.3">
      <c r="B398" s="16"/>
      <c r="C398" s="60"/>
      <c r="D398" s="16"/>
      <c r="E398" s="16"/>
      <c r="F398" s="16"/>
      <c r="G398" s="16"/>
      <c r="H398" s="60"/>
      <c r="I398" s="60"/>
      <c r="J398" s="16"/>
    </row>
    <row r="399" spans="2:10" x14ac:dyDescent="0.3">
      <c r="B399" s="16"/>
      <c r="C399" s="60"/>
      <c r="D399" s="16"/>
      <c r="E399" s="16"/>
      <c r="F399" s="16"/>
      <c r="G399" s="16"/>
      <c r="H399" s="60"/>
      <c r="I399" s="60"/>
      <c r="J399" s="16"/>
    </row>
    <row r="400" spans="2:10" x14ac:dyDescent="0.3">
      <c r="B400" s="16"/>
      <c r="C400" s="60"/>
      <c r="D400" s="16"/>
      <c r="E400" s="16"/>
      <c r="F400" s="16"/>
      <c r="G400" s="16"/>
      <c r="H400" s="60"/>
      <c r="I400" s="60"/>
      <c r="J400" s="16"/>
    </row>
    <row r="401" spans="2:10" x14ac:dyDescent="0.3">
      <c r="B401" s="16"/>
      <c r="C401" s="60"/>
      <c r="D401" s="16"/>
      <c r="E401" s="16"/>
      <c r="F401" s="16"/>
      <c r="G401" s="16"/>
      <c r="H401" s="60"/>
      <c r="I401" s="60"/>
      <c r="J401" s="16"/>
    </row>
    <row r="402" spans="2:10" x14ac:dyDescent="0.3">
      <c r="B402" s="16"/>
      <c r="C402" s="60"/>
      <c r="D402" s="16"/>
      <c r="E402" s="16"/>
      <c r="F402" s="16"/>
      <c r="G402" s="16"/>
      <c r="H402" s="60"/>
      <c r="I402" s="60"/>
      <c r="J402" s="16"/>
    </row>
    <row r="403" spans="2:10" x14ac:dyDescent="0.3">
      <c r="B403" s="16"/>
      <c r="C403" s="60"/>
      <c r="D403" s="16"/>
      <c r="E403" s="16"/>
      <c r="F403" s="16"/>
      <c r="G403" s="16"/>
      <c r="H403" s="60"/>
      <c r="I403" s="60"/>
      <c r="J403" s="16"/>
    </row>
    <row r="404" spans="2:10" x14ac:dyDescent="0.3">
      <c r="B404" s="16"/>
      <c r="C404" s="60"/>
      <c r="D404" s="16"/>
      <c r="E404" s="16"/>
      <c r="F404" s="16"/>
      <c r="G404" s="16"/>
      <c r="H404" s="60"/>
      <c r="I404" s="60"/>
      <c r="J404" s="16"/>
    </row>
    <row r="405" spans="2:10" x14ac:dyDescent="0.3">
      <c r="B405" s="16"/>
      <c r="C405" s="60"/>
      <c r="D405" s="16"/>
      <c r="E405" s="16"/>
      <c r="F405" s="16"/>
      <c r="G405" s="16"/>
      <c r="H405" s="60"/>
      <c r="I405" s="60"/>
      <c r="J405" s="16"/>
    </row>
    <row r="406" spans="2:10" x14ac:dyDescent="0.3">
      <c r="B406" s="16"/>
      <c r="C406" s="60"/>
      <c r="D406" s="16"/>
      <c r="E406" s="16"/>
      <c r="F406" s="16"/>
      <c r="G406" s="16"/>
      <c r="H406" s="60"/>
      <c r="I406" s="60"/>
      <c r="J406" s="16"/>
    </row>
    <row r="407" spans="2:10" x14ac:dyDescent="0.3">
      <c r="B407" s="16"/>
      <c r="C407" s="60"/>
      <c r="D407" s="16"/>
      <c r="E407" s="16"/>
      <c r="F407" s="16"/>
      <c r="G407" s="16"/>
      <c r="H407" s="60"/>
      <c r="I407" s="60"/>
      <c r="J407" s="16"/>
    </row>
    <row r="408" spans="2:10" x14ac:dyDescent="0.3">
      <c r="B408" s="16"/>
      <c r="C408" s="60"/>
      <c r="D408" s="16"/>
      <c r="E408" s="16"/>
      <c r="F408" s="16"/>
      <c r="G408" s="16"/>
      <c r="H408" s="60"/>
      <c r="I408" s="60"/>
      <c r="J408" s="16"/>
    </row>
    <row r="409" spans="2:10" x14ac:dyDescent="0.3">
      <c r="B409" s="16"/>
      <c r="C409" s="60"/>
      <c r="D409" s="16"/>
      <c r="E409" s="16"/>
      <c r="F409" s="16"/>
      <c r="G409" s="16"/>
      <c r="H409" s="60"/>
      <c r="I409" s="60"/>
      <c r="J409" s="16"/>
    </row>
    <row r="410" spans="2:10" x14ac:dyDescent="0.3">
      <c r="B410" s="16"/>
      <c r="C410" s="60"/>
      <c r="D410" s="16"/>
      <c r="E410" s="16"/>
      <c r="F410" s="16"/>
      <c r="G410" s="16"/>
      <c r="H410" s="60"/>
      <c r="I410" s="60"/>
      <c r="J410" s="16"/>
    </row>
    <row r="411" spans="2:10" x14ac:dyDescent="0.3">
      <c r="B411" s="16"/>
      <c r="C411" s="60"/>
      <c r="D411" s="16"/>
      <c r="E411" s="16"/>
      <c r="F411" s="16"/>
      <c r="G411" s="16"/>
      <c r="H411" s="60"/>
      <c r="I411" s="60"/>
      <c r="J411" s="16"/>
    </row>
    <row r="412" spans="2:10" x14ac:dyDescent="0.3">
      <c r="B412" s="16"/>
      <c r="C412" s="60"/>
      <c r="D412" s="16"/>
      <c r="E412" s="16"/>
      <c r="F412" s="16"/>
      <c r="G412" s="16"/>
      <c r="H412" s="60"/>
      <c r="I412" s="60"/>
      <c r="J412" s="16"/>
    </row>
    <row r="413" spans="2:10" x14ac:dyDescent="0.3">
      <c r="B413" s="16"/>
      <c r="C413" s="60"/>
      <c r="D413" s="16"/>
      <c r="E413" s="16"/>
      <c r="F413" s="16"/>
      <c r="G413" s="16"/>
      <c r="H413" s="60"/>
      <c r="I413" s="60"/>
      <c r="J413" s="16"/>
    </row>
    <row r="414" spans="2:10" x14ac:dyDescent="0.3">
      <c r="B414" s="16"/>
      <c r="C414" s="60"/>
      <c r="D414" s="16"/>
      <c r="E414" s="16"/>
      <c r="F414" s="16"/>
      <c r="G414" s="16"/>
      <c r="H414" s="60"/>
      <c r="I414" s="60"/>
      <c r="J414" s="16"/>
    </row>
    <row r="415" spans="2:10" x14ac:dyDescent="0.3">
      <c r="B415" s="16"/>
      <c r="C415" s="60"/>
      <c r="D415" s="16"/>
      <c r="E415" s="16"/>
      <c r="F415" s="16"/>
      <c r="G415" s="16"/>
      <c r="H415" s="60"/>
      <c r="I415" s="60"/>
      <c r="J415" s="16"/>
    </row>
    <row r="416" spans="2:10" x14ac:dyDescent="0.3">
      <c r="B416" s="16"/>
      <c r="C416" s="60"/>
      <c r="D416" s="16"/>
      <c r="E416" s="16"/>
      <c r="F416" s="16"/>
      <c r="G416" s="16"/>
      <c r="H416" s="60"/>
      <c r="I416" s="60"/>
      <c r="J416" s="16"/>
    </row>
    <row r="417" spans="2:10" x14ac:dyDescent="0.3">
      <c r="B417" s="16"/>
      <c r="C417" s="60"/>
      <c r="D417" s="16"/>
      <c r="E417" s="16"/>
      <c r="F417" s="16"/>
      <c r="G417" s="16"/>
      <c r="H417" s="60"/>
      <c r="I417" s="60"/>
      <c r="J417" s="16"/>
    </row>
    <row r="418" spans="2:10" x14ac:dyDescent="0.3">
      <c r="B418" s="16"/>
      <c r="C418" s="60"/>
      <c r="D418" s="16"/>
      <c r="E418" s="16"/>
      <c r="F418" s="16"/>
      <c r="G418" s="16"/>
      <c r="H418" s="60"/>
      <c r="I418" s="60"/>
      <c r="J418" s="16"/>
    </row>
    <row r="419" spans="2:10" x14ac:dyDescent="0.3">
      <c r="B419" s="16"/>
      <c r="C419" s="60"/>
      <c r="D419" s="16"/>
      <c r="E419" s="16"/>
      <c r="F419" s="16"/>
      <c r="G419" s="16"/>
      <c r="H419" s="60"/>
      <c r="I419" s="60"/>
      <c r="J419" s="16"/>
    </row>
    <row r="420" spans="2:10" x14ac:dyDescent="0.3">
      <c r="B420" s="16"/>
      <c r="C420" s="60"/>
      <c r="D420" s="16"/>
      <c r="E420" s="16"/>
      <c r="F420" s="16"/>
      <c r="G420" s="16"/>
      <c r="H420" s="60"/>
      <c r="I420" s="60"/>
      <c r="J420" s="16"/>
    </row>
    <row r="421" spans="2:10" x14ac:dyDescent="0.3">
      <c r="B421" s="16"/>
      <c r="C421" s="60"/>
      <c r="D421" s="16"/>
      <c r="E421" s="16"/>
      <c r="F421" s="16"/>
      <c r="G421" s="16"/>
      <c r="H421" s="60"/>
      <c r="I421" s="60"/>
      <c r="J421" s="16"/>
    </row>
    <row r="422" spans="2:10" x14ac:dyDescent="0.3">
      <c r="B422" s="16"/>
      <c r="C422" s="60"/>
      <c r="D422" s="16"/>
      <c r="E422" s="16"/>
      <c r="F422" s="16"/>
      <c r="G422" s="16"/>
      <c r="H422" s="60"/>
      <c r="I422" s="60"/>
      <c r="J422" s="16"/>
    </row>
    <row r="423" spans="2:10" x14ac:dyDescent="0.3">
      <c r="B423" s="16"/>
      <c r="C423" s="60"/>
      <c r="D423" s="16"/>
      <c r="E423" s="16"/>
      <c r="F423" s="16"/>
      <c r="G423" s="16"/>
      <c r="H423" s="60"/>
      <c r="I423" s="60"/>
      <c r="J423" s="16"/>
    </row>
    <row r="424" spans="2:10" x14ac:dyDescent="0.3">
      <c r="B424" s="16"/>
      <c r="C424" s="60"/>
      <c r="D424" s="16"/>
      <c r="E424" s="16"/>
      <c r="F424" s="16"/>
      <c r="G424" s="16"/>
      <c r="H424" s="60"/>
      <c r="I424" s="60"/>
      <c r="J424" s="16"/>
    </row>
    <row r="425" spans="2:10" x14ac:dyDescent="0.3">
      <c r="B425" s="16"/>
      <c r="C425" s="60"/>
      <c r="D425" s="16"/>
      <c r="E425" s="16"/>
      <c r="F425" s="16"/>
      <c r="G425" s="16"/>
      <c r="H425" s="60"/>
      <c r="I425" s="60"/>
      <c r="J425" s="16"/>
    </row>
    <row r="426" spans="2:10" x14ac:dyDescent="0.3">
      <c r="B426" s="16"/>
      <c r="C426" s="60"/>
      <c r="D426" s="16"/>
      <c r="E426" s="16"/>
      <c r="F426" s="16"/>
      <c r="G426" s="16"/>
      <c r="H426" s="60"/>
      <c r="I426" s="60"/>
      <c r="J426" s="16"/>
    </row>
    <row r="427" spans="2:10" x14ac:dyDescent="0.3">
      <c r="B427" s="16"/>
      <c r="C427" s="60"/>
      <c r="D427" s="16"/>
      <c r="E427" s="16"/>
      <c r="F427" s="16"/>
      <c r="G427" s="16"/>
      <c r="H427" s="60"/>
      <c r="I427" s="60"/>
      <c r="J427" s="16"/>
    </row>
    <row r="428" spans="2:10" x14ac:dyDescent="0.3">
      <c r="B428" s="16"/>
      <c r="C428" s="60"/>
      <c r="D428" s="16"/>
      <c r="E428" s="16"/>
      <c r="F428" s="16"/>
      <c r="G428" s="16"/>
      <c r="H428" s="60"/>
      <c r="I428" s="60"/>
      <c r="J428" s="16"/>
    </row>
    <row r="429" spans="2:10" x14ac:dyDescent="0.3">
      <c r="B429" s="16"/>
      <c r="C429" s="60"/>
      <c r="D429" s="16"/>
      <c r="E429" s="16"/>
      <c r="F429" s="16"/>
      <c r="G429" s="16"/>
      <c r="H429" s="60"/>
      <c r="I429" s="60"/>
      <c r="J429" s="16"/>
    </row>
    <row r="430" spans="2:10" x14ac:dyDescent="0.3">
      <c r="B430" s="16"/>
      <c r="C430" s="60"/>
      <c r="D430" s="16"/>
      <c r="E430" s="16"/>
      <c r="F430" s="16"/>
      <c r="G430" s="16"/>
      <c r="H430" s="60"/>
      <c r="I430" s="60"/>
      <c r="J430" s="16"/>
    </row>
    <row r="431" spans="2:10" x14ac:dyDescent="0.3">
      <c r="B431" s="16"/>
      <c r="C431" s="60"/>
      <c r="D431" s="16"/>
      <c r="E431" s="16"/>
      <c r="F431" s="16"/>
      <c r="G431" s="16"/>
      <c r="H431" s="60"/>
      <c r="I431" s="60"/>
      <c r="J431" s="16"/>
    </row>
    <row r="432" spans="2:10" x14ac:dyDescent="0.3">
      <c r="B432" s="16"/>
      <c r="C432" s="60"/>
      <c r="D432" s="16"/>
      <c r="E432" s="16"/>
      <c r="F432" s="16"/>
      <c r="G432" s="16"/>
      <c r="H432" s="60"/>
      <c r="I432" s="60"/>
      <c r="J432" s="16"/>
    </row>
    <row r="433" spans="2:10" x14ac:dyDescent="0.3">
      <c r="B433" s="16"/>
      <c r="C433" s="60"/>
      <c r="D433" s="16"/>
      <c r="E433" s="16"/>
      <c r="F433" s="16"/>
      <c r="G433" s="16"/>
      <c r="H433" s="60"/>
      <c r="I433" s="60"/>
      <c r="J433" s="16"/>
    </row>
    <row r="434" spans="2:10" x14ac:dyDescent="0.3">
      <c r="B434" s="16"/>
      <c r="C434" s="60"/>
      <c r="D434" s="16"/>
      <c r="E434" s="16"/>
      <c r="F434" s="16"/>
      <c r="G434" s="16"/>
      <c r="H434" s="60"/>
      <c r="I434" s="60"/>
      <c r="J434" s="16"/>
    </row>
    <row r="435" spans="2:10" x14ac:dyDescent="0.3">
      <c r="B435" s="16"/>
      <c r="C435" s="60"/>
      <c r="D435" s="16"/>
      <c r="E435" s="16"/>
      <c r="F435" s="16"/>
      <c r="G435" s="16"/>
      <c r="H435" s="60"/>
      <c r="I435" s="60"/>
      <c r="J435" s="16"/>
    </row>
    <row r="436" spans="2:10" x14ac:dyDescent="0.3">
      <c r="B436" s="16"/>
      <c r="C436" s="60"/>
      <c r="D436" s="16"/>
      <c r="E436" s="16"/>
      <c r="F436" s="16"/>
      <c r="G436" s="16"/>
      <c r="H436" s="60"/>
      <c r="I436" s="60"/>
      <c r="J436" s="16"/>
    </row>
    <row r="437" spans="2:10" x14ac:dyDescent="0.3">
      <c r="B437" s="16"/>
      <c r="C437" s="60"/>
      <c r="D437" s="16"/>
      <c r="E437" s="16"/>
      <c r="F437" s="16"/>
      <c r="G437" s="16"/>
      <c r="H437" s="60"/>
      <c r="I437" s="60"/>
      <c r="J437" s="16"/>
    </row>
    <row r="438" spans="2:10" x14ac:dyDescent="0.3">
      <c r="B438" s="16"/>
      <c r="C438" s="60"/>
      <c r="D438" s="16"/>
      <c r="E438" s="16"/>
      <c r="F438" s="16"/>
      <c r="G438" s="16"/>
      <c r="H438" s="60"/>
      <c r="I438" s="60"/>
      <c r="J438" s="16"/>
    </row>
    <row r="439" spans="2:10" x14ac:dyDescent="0.3">
      <c r="B439" s="16"/>
      <c r="C439" s="60"/>
      <c r="D439" s="16"/>
      <c r="E439" s="16"/>
      <c r="F439" s="16"/>
      <c r="G439" s="16"/>
      <c r="H439" s="60"/>
      <c r="I439" s="60"/>
      <c r="J439" s="16"/>
    </row>
    <row r="440" spans="2:10" x14ac:dyDescent="0.3">
      <c r="B440" s="16"/>
      <c r="C440" s="60"/>
      <c r="D440" s="16"/>
      <c r="E440" s="16"/>
      <c r="F440" s="16"/>
      <c r="G440" s="16"/>
      <c r="H440" s="60"/>
      <c r="I440" s="60"/>
      <c r="J440" s="16"/>
    </row>
    <row r="441" spans="2:10" x14ac:dyDescent="0.3">
      <c r="B441" s="16"/>
      <c r="C441" s="60"/>
      <c r="D441" s="16"/>
      <c r="E441" s="16"/>
      <c r="F441" s="16"/>
      <c r="G441" s="16"/>
      <c r="H441" s="60"/>
      <c r="I441" s="60"/>
      <c r="J441" s="16"/>
    </row>
    <row r="442" spans="2:10" x14ac:dyDescent="0.3">
      <c r="B442" s="16"/>
      <c r="C442" s="60"/>
      <c r="D442" s="16"/>
      <c r="E442" s="16"/>
      <c r="F442" s="16"/>
      <c r="G442" s="16"/>
      <c r="H442" s="60"/>
      <c r="I442" s="60"/>
      <c r="J442" s="16"/>
    </row>
    <row r="443" spans="2:10" x14ac:dyDescent="0.3">
      <c r="B443" s="16"/>
      <c r="C443" s="60"/>
      <c r="D443" s="16"/>
      <c r="E443" s="16"/>
      <c r="F443" s="16"/>
      <c r="G443" s="16"/>
      <c r="H443" s="60"/>
      <c r="I443" s="60"/>
      <c r="J443" s="16"/>
    </row>
    <row r="444" spans="2:10" x14ac:dyDescent="0.3">
      <c r="B444" s="16"/>
      <c r="C444" s="60"/>
      <c r="D444" s="16"/>
      <c r="E444" s="16"/>
      <c r="F444" s="16"/>
      <c r="G444" s="16"/>
      <c r="H444" s="60"/>
      <c r="I444" s="60"/>
      <c r="J444" s="16"/>
    </row>
    <row r="445" spans="2:10" x14ac:dyDescent="0.3">
      <c r="B445" s="16"/>
      <c r="C445" s="60"/>
      <c r="D445" s="16"/>
      <c r="E445" s="16"/>
      <c r="F445" s="16"/>
      <c r="G445" s="16"/>
      <c r="H445" s="60"/>
      <c r="I445" s="60"/>
      <c r="J445" s="16"/>
    </row>
    <row r="446" spans="2:10" x14ac:dyDescent="0.3">
      <c r="B446" s="16"/>
      <c r="C446" s="60"/>
      <c r="D446" s="16"/>
      <c r="E446" s="16"/>
      <c r="F446" s="16"/>
      <c r="G446" s="16"/>
      <c r="H446" s="60"/>
      <c r="I446" s="60"/>
      <c r="J446" s="16"/>
    </row>
    <row r="447" spans="2:10" x14ac:dyDescent="0.3">
      <c r="B447" s="16"/>
      <c r="C447" s="60"/>
      <c r="D447" s="16"/>
      <c r="E447" s="16"/>
      <c r="F447" s="16"/>
      <c r="G447" s="16"/>
      <c r="H447" s="60"/>
      <c r="I447" s="60"/>
      <c r="J447" s="16"/>
    </row>
    <row r="448" spans="2:10" x14ac:dyDescent="0.3">
      <c r="B448" s="16"/>
      <c r="C448" s="60"/>
      <c r="D448" s="16"/>
      <c r="E448" s="16"/>
      <c r="F448" s="16"/>
      <c r="G448" s="16"/>
      <c r="H448" s="60"/>
      <c r="I448" s="60"/>
      <c r="J448" s="16"/>
    </row>
    <row r="449" spans="2:10" x14ac:dyDescent="0.3">
      <c r="B449" s="16"/>
      <c r="C449" s="60"/>
      <c r="D449" s="16"/>
      <c r="E449" s="16"/>
      <c r="F449" s="16"/>
      <c r="G449" s="16"/>
      <c r="H449" s="60"/>
      <c r="I449" s="60"/>
      <c r="J449" s="16"/>
    </row>
    <row r="450" spans="2:10" x14ac:dyDescent="0.3">
      <c r="B450" s="16"/>
      <c r="C450" s="60"/>
      <c r="D450" s="16"/>
      <c r="E450" s="16"/>
      <c r="F450" s="16"/>
      <c r="G450" s="16"/>
      <c r="H450" s="60"/>
      <c r="I450" s="60"/>
      <c r="J450" s="16"/>
    </row>
    <row r="451" spans="2:10" x14ac:dyDescent="0.3">
      <c r="B451" s="16"/>
      <c r="C451" s="60"/>
      <c r="D451" s="16"/>
      <c r="E451" s="16"/>
      <c r="F451" s="16"/>
      <c r="G451" s="16"/>
      <c r="H451" s="60"/>
      <c r="I451" s="60"/>
      <c r="J451" s="16"/>
    </row>
    <row r="452" spans="2:10" x14ac:dyDescent="0.3">
      <c r="B452" s="16"/>
      <c r="C452" s="60"/>
      <c r="D452" s="16"/>
      <c r="E452" s="16"/>
      <c r="F452" s="16"/>
      <c r="G452" s="16"/>
      <c r="H452" s="60"/>
      <c r="I452" s="60"/>
      <c r="J452" s="16"/>
    </row>
    <row r="453" spans="2:10" x14ac:dyDescent="0.3">
      <c r="B453" s="16"/>
      <c r="C453" s="60"/>
      <c r="D453" s="16"/>
      <c r="E453" s="16"/>
      <c r="F453" s="16"/>
      <c r="G453" s="16"/>
      <c r="H453" s="60"/>
      <c r="I453" s="60"/>
      <c r="J453" s="16"/>
    </row>
    <row r="454" spans="2:10" x14ac:dyDescent="0.3">
      <c r="B454" s="16"/>
      <c r="C454" s="60"/>
      <c r="D454" s="16"/>
      <c r="E454" s="16"/>
      <c r="F454" s="16"/>
      <c r="G454" s="16"/>
      <c r="H454" s="60"/>
      <c r="I454" s="60"/>
      <c r="J454" s="16"/>
    </row>
    <row r="455" spans="2:10" x14ac:dyDescent="0.3">
      <c r="B455" s="16"/>
      <c r="C455" s="60"/>
      <c r="D455" s="16"/>
      <c r="E455" s="16"/>
      <c r="F455" s="16"/>
      <c r="G455" s="16"/>
      <c r="H455" s="60"/>
      <c r="I455" s="60"/>
      <c r="J455" s="16"/>
    </row>
    <row r="456" spans="2:10" x14ac:dyDescent="0.3">
      <c r="B456" s="16"/>
      <c r="C456" s="60"/>
      <c r="D456" s="16"/>
      <c r="E456" s="16"/>
      <c r="F456" s="16"/>
      <c r="G456" s="16"/>
      <c r="H456" s="60"/>
      <c r="I456" s="60"/>
      <c r="J456" s="16"/>
    </row>
    <row r="457" spans="2:10" x14ac:dyDescent="0.3">
      <c r="B457" s="16"/>
      <c r="C457" s="60"/>
      <c r="D457" s="16"/>
      <c r="E457" s="16"/>
      <c r="F457" s="16"/>
      <c r="G457" s="16"/>
      <c r="H457" s="60"/>
      <c r="I457" s="60"/>
      <c r="J457" s="16"/>
    </row>
    <row r="458" spans="2:10" x14ac:dyDescent="0.3">
      <c r="B458" s="16"/>
      <c r="C458" s="60"/>
      <c r="D458" s="16"/>
      <c r="E458" s="16"/>
      <c r="F458" s="16"/>
      <c r="G458" s="16"/>
      <c r="H458" s="60"/>
      <c r="I458" s="60"/>
      <c r="J458" s="16"/>
    </row>
    <row r="459" spans="2:10" x14ac:dyDescent="0.3">
      <c r="B459" s="16"/>
      <c r="C459" s="60"/>
      <c r="D459" s="16"/>
      <c r="E459" s="16"/>
      <c r="F459" s="16"/>
      <c r="G459" s="16"/>
      <c r="H459" s="60"/>
      <c r="I459" s="60"/>
      <c r="J459" s="16"/>
    </row>
    <row r="460" spans="2:10" x14ac:dyDescent="0.3">
      <c r="B460" s="16"/>
      <c r="C460" s="60"/>
      <c r="D460" s="16"/>
      <c r="E460" s="16"/>
      <c r="F460" s="16"/>
      <c r="G460" s="16"/>
      <c r="H460" s="60"/>
      <c r="I460" s="60"/>
      <c r="J460" s="16"/>
    </row>
    <row r="461" spans="2:10" x14ac:dyDescent="0.3">
      <c r="B461" s="16"/>
      <c r="C461" s="60"/>
      <c r="D461" s="16"/>
      <c r="E461" s="16"/>
      <c r="F461" s="16"/>
      <c r="G461" s="16"/>
      <c r="H461" s="60"/>
      <c r="I461" s="60"/>
      <c r="J461" s="16"/>
    </row>
    <row r="462" spans="2:10" x14ac:dyDescent="0.3">
      <c r="B462" s="16"/>
      <c r="C462" s="60"/>
      <c r="D462" s="16"/>
      <c r="E462" s="16"/>
      <c r="F462" s="16"/>
      <c r="G462" s="16"/>
      <c r="H462" s="60"/>
      <c r="I462" s="60"/>
      <c r="J462" s="16"/>
    </row>
    <row r="463" spans="2:10" x14ac:dyDescent="0.3">
      <c r="B463" s="16"/>
      <c r="C463" s="60"/>
      <c r="D463" s="16"/>
      <c r="E463" s="16"/>
      <c r="F463" s="16"/>
      <c r="G463" s="16"/>
      <c r="H463" s="60"/>
      <c r="I463" s="60"/>
      <c r="J463" s="16"/>
    </row>
    <row r="464" spans="2:10" x14ac:dyDescent="0.3">
      <c r="B464" s="16"/>
      <c r="C464" s="60"/>
      <c r="D464" s="16"/>
      <c r="E464" s="16"/>
      <c r="F464" s="16"/>
      <c r="G464" s="16"/>
      <c r="H464" s="60"/>
      <c r="I464" s="60"/>
      <c r="J464" s="16"/>
    </row>
    <row r="465" spans="2:10" x14ac:dyDescent="0.3">
      <c r="B465" s="16"/>
      <c r="C465" s="60"/>
      <c r="D465" s="16"/>
      <c r="E465" s="16"/>
      <c r="F465" s="16"/>
      <c r="G465" s="16"/>
      <c r="H465" s="60"/>
      <c r="I465" s="60"/>
      <c r="J465" s="16"/>
    </row>
    <row r="466" spans="2:10" x14ac:dyDescent="0.3">
      <c r="B466" s="16"/>
      <c r="C466" s="60"/>
      <c r="D466" s="16"/>
      <c r="E466" s="16"/>
      <c r="F466" s="16"/>
      <c r="G466" s="16"/>
      <c r="H466" s="60"/>
      <c r="I466" s="60"/>
      <c r="J466" s="16"/>
    </row>
    <row r="467" spans="2:10" x14ac:dyDescent="0.3">
      <c r="B467" s="16"/>
      <c r="C467" s="60"/>
      <c r="D467" s="16"/>
      <c r="E467" s="16"/>
      <c r="F467" s="16"/>
      <c r="G467" s="16"/>
      <c r="H467" s="60"/>
      <c r="I467" s="60"/>
      <c r="J467" s="16"/>
    </row>
    <row r="468" spans="2:10" x14ac:dyDescent="0.3">
      <c r="B468" s="16"/>
      <c r="C468" s="60"/>
      <c r="D468" s="16"/>
      <c r="E468" s="16"/>
      <c r="F468" s="16"/>
      <c r="G468" s="16"/>
      <c r="H468" s="60"/>
      <c r="I468" s="60"/>
      <c r="J468" s="16"/>
    </row>
    <row r="469" spans="2:10" x14ac:dyDescent="0.3">
      <c r="B469" s="16"/>
      <c r="C469" s="60"/>
      <c r="D469" s="16"/>
      <c r="E469" s="16"/>
      <c r="F469" s="16"/>
      <c r="G469" s="16"/>
      <c r="H469" s="60"/>
      <c r="I469" s="60"/>
      <c r="J469" s="16"/>
    </row>
    <row r="470" spans="2:10" x14ac:dyDescent="0.3">
      <c r="B470" s="16"/>
      <c r="C470" s="60"/>
      <c r="D470" s="16"/>
      <c r="E470" s="16"/>
      <c r="F470" s="16"/>
      <c r="G470" s="16"/>
      <c r="H470" s="60"/>
      <c r="I470" s="60"/>
      <c r="J470" s="16"/>
    </row>
    <row r="471" spans="2:10" x14ac:dyDescent="0.3">
      <c r="B471" s="16"/>
      <c r="C471" s="60"/>
      <c r="D471" s="16"/>
      <c r="E471" s="16"/>
      <c r="F471" s="16"/>
      <c r="G471" s="16"/>
      <c r="H471" s="60"/>
      <c r="I471" s="60"/>
      <c r="J471" s="16"/>
    </row>
    <row r="472" spans="2:10" x14ac:dyDescent="0.3">
      <c r="B472" s="16"/>
      <c r="C472" s="60"/>
      <c r="D472" s="16"/>
      <c r="E472" s="16"/>
      <c r="F472" s="16"/>
      <c r="G472" s="16"/>
      <c r="H472" s="60"/>
      <c r="I472" s="60"/>
      <c r="J472" s="16"/>
    </row>
    <row r="473" spans="2:10" x14ac:dyDescent="0.3">
      <c r="B473" s="16"/>
      <c r="C473" s="60"/>
      <c r="D473" s="16"/>
      <c r="E473" s="16"/>
      <c r="F473" s="16"/>
      <c r="G473" s="16"/>
      <c r="H473" s="60"/>
      <c r="I473" s="60"/>
      <c r="J473" s="16"/>
    </row>
    <row r="474" spans="2:10" x14ac:dyDescent="0.3">
      <c r="B474" s="16"/>
      <c r="C474" s="60"/>
      <c r="D474" s="16"/>
      <c r="E474" s="16"/>
      <c r="F474" s="16"/>
      <c r="G474" s="16"/>
      <c r="H474" s="60"/>
      <c r="I474" s="60"/>
      <c r="J474" s="16"/>
    </row>
    <row r="475" spans="2:10" x14ac:dyDescent="0.3">
      <c r="B475" s="16"/>
      <c r="C475" s="60"/>
      <c r="D475" s="16"/>
      <c r="E475" s="16"/>
      <c r="F475" s="16"/>
      <c r="G475" s="16"/>
      <c r="H475" s="60"/>
      <c r="I475" s="60"/>
      <c r="J475" s="16"/>
    </row>
    <row r="476" spans="2:10" x14ac:dyDescent="0.3">
      <c r="B476" s="16"/>
      <c r="C476" s="60"/>
      <c r="D476" s="16"/>
      <c r="E476" s="16"/>
      <c r="F476" s="16"/>
      <c r="G476" s="16"/>
      <c r="H476" s="60"/>
      <c r="I476" s="60"/>
      <c r="J476" s="16"/>
    </row>
    <row r="477" spans="2:10" x14ac:dyDescent="0.3">
      <c r="B477" s="16"/>
      <c r="C477" s="60"/>
      <c r="D477" s="16"/>
      <c r="E477" s="16"/>
      <c r="F477" s="16"/>
      <c r="G477" s="16"/>
      <c r="H477" s="60"/>
      <c r="I477" s="60"/>
      <c r="J477" s="16"/>
    </row>
    <row r="478" spans="2:10" x14ac:dyDescent="0.3">
      <c r="B478" s="16"/>
      <c r="C478" s="60"/>
      <c r="D478" s="16"/>
      <c r="E478" s="16"/>
      <c r="F478" s="16"/>
      <c r="G478" s="16"/>
      <c r="H478" s="60"/>
      <c r="I478" s="60"/>
      <c r="J478" s="16"/>
    </row>
    <row r="479" spans="2:10" x14ac:dyDescent="0.3">
      <c r="B479" s="16"/>
      <c r="C479" s="60"/>
      <c r="D479" s="16"/>
      <c r="E479" s="16"/>
      <c r="F479" s="16"/>
      <c r="G479" s="16"/>
      <c r="H479" s="60"/>
      <c r="I479" s="60"/>
      <c r="J479" s="16"/>
    </row>
    <row r="480" spans="2:10" x14ac:dyDescent="0.3">
      <c r="B480" s="16"/>
      <c r="C480" s="60"/>
      <c r="D480" s="16"/>
      <c r="E480" s="16"/>
      <c r="F480" s="16"/>
      <c r="G480" s="16"/>
      <c r="H480" s="60"/>
      <c r="I480" s="60"/>
      <c r="J480" s="16"/>
    </row>
    <row r="481" spans="2:10" x14ac:dyDescent="0.3">
      <c r="B481" s="16"/>
      <c r="C481" s="60"/>
      <c r="D481" s="16"/>
      <c r="E481" s="16"/>
      <c r="F481" s="16"/>
      <c r="G481" s="16"/>
      <c r="H481" s="60"/>
      <c r="I481" s="60"/>
      <c r="J481" s="16"/>
    </row>
    <row r="482" spans="2:10" x14ac:dyDescent="0.3">
      <c r="B482" s="16"/>
      <c r="C482" s="60"/>
      <c r="D482" s="16"/>
      <c r="E482" s="16"/>
      <c r="F482" s="16"/>
      <c r="G482" s="16"/>
      <c r="H482" s="60"/>
      <c r="I482" s="60"/>
      <c r="J482" s="16"/>
    </row>
    <row r="483" spans="2:10" x14ac:dyDescent="0.3">
      <c r="B483" s="16"/>
      <c r="C483" s="60"/>
      <c r="D483" s="16"/>
      <c r="E483" s="16"/>
      <c r="F483" s="16"/>
      <c r="G483" s="16"/>
      <c r="H483" s="60"/>
      <c r="I483" s="60"/>
      <c r="J483" s="16"/>
    </row>
    <row r="484" spans="2:10" x14ac:dyDescent="0.3">
      <c r="B484" s="16"/>
      <c r="C484" s="60"/>
      <c r="D484" s="16"/>
      <c r="E484" s="16"/>
      <c r="F484" s="16"/>
      <c r="G484" s="16"/>
      <c r="H484" s="60"/>
      <c r="I484" s="60"/>
      <c r="J484" s="16"/>
    </row>
    <row r="485" spans="2:10" x14ac:dyDescent="0.3">
      <c r="B485" s="16"/>
      <c r="C485" s="60"/>
      <c r="D485" s="16"/>
      <c r="E485" s="16"/>
      <c r="F485" s="16"/>
      <c r="G485" s="16"/>
      <c r="H485" s="60"/>
      <c r="I485" s="60"/>
      <c r="J485" s="16"/>
    </row>
    <row r="486" spans="2:10" x14ac:dyDescent="0.3">
      <c r="B486" s="16"/>
      <c r="C486" s="60"/>
      <c r="D486" s="16"/>
      <c r="E486" s="16"/>
      <c r="F486" s="16"/>
      <c r="G486" s="16"/>
      <c r="H486" s="60"/>
      <c r="I486" s="60"/>
      <c r="J486" s="16"/>
    </row>
    <row r="487" spans="2:10" x14ac:dyDescent="0.3">
      <c r="B487" s="16"/>
      <c r="C487" s="60"/>
      <c r="D487" s="16"/>
      <c r="E487" s="16"/>
      <c r="F487" s="16"/>
      <c r="G487" s="16"/>
      <c r="H487" s="60"/>
      <c r="I487" s="60"/>
      <c r="J487" s="16"/>
    </row>
    <row r="488" spans="2:10" x14ac:dyDescent="0.3">
      <c r="B488" s="16"/>
      <c r="C488" s="60"/>
      <c r="D488" s="16"/>
      <c r="E488" s="16"/>
      <c r="F488" s="16"/>
      <c r="G488" s="16"/>
      <c r="H488" s="60"/>
      <c r="I488" s="60"/>
      <c r="J488" s="16"/>
    </row>
    <row r="489" spans="2:10" x14ac:dyDescent="0.3">
      <c r="B489" s="16"/>
      <c r="C489" s="60"/>
      <c r="D489" s="16"/>
      <c r="E489" s="16"/>
      <c r="F489" s="16"/>
      <c r="G489" s="16"/>
      <c r="H489" s="60"/>
      <c r="I489" s="60"/>
      <c r="J489" s="16"/>
    </row>
    <row r="490" spans="2:10" x14ac:dyDescent="0.3">
      <c r="B490" s="16"/>
      <c r="C490" s="60"/>
      <c r="D490" s="16"/>
      <c r="E490" s="16"/>
      <c r="F490" s="16"/>
      <c r="G490" s="16"/>
      <c r="H490" s="60"/>
      <c r="I490" s="60"/>
      <c r="J490" s="16"/>
    </row>
    <row r="491" spans="2:10" x14ac:dyDescent="0.3">
      <c r="B491" s="16"/>
      <c r="C491" s="60"/>
      <c r="D491" s="16"/>
      <c r="E491" s="16"/>
      <c r="F491" s="16"/>
      <c r="G491" s="16"/>
      <c r="H491" s="60"/>
      <c r="I491" s="60"/>
      <c r="J491" s="16"/>
    </row>
    <row r="492" spans="2:10" x14ac:dyDescent="0.3">
      <c r="B492" s="16"/>
      <c r="C492" s="60"/>
      <c r="D492" s="16"/>
      <c r="E492" s="16"/>
      <c r="F492" s="16"/>
      <c r="G492" s="16"/>
      <c r="H492" s="60"/>
      <c r="I492" s="60"/>
      <c r="J492" s="16"/>
    </row>
    <row r="493" spans="2:10" x14ac:dyDescent="0.3">
      <c r="B493" s="16"/>
      <c r="C493" s="60"/>
      <c r="D493" s="16"/>
      <c r="E493" s="16"/>
      <c r="F493" s="16"/>
      <c r="G493" s="16"/>
      <c r="H493" s="60"/>
      <c r="I493" s="60"/>
      <c r="J493" s="16"/>
    </row>
    <row r="494" spans="2:10" x14ac:dyDescent="0.3">
      <c r="B494" s="16"/>
      <c r="C494" s="60"/>
      <c r="D494" s="16"/>
      <c r="E494" s="16"/>
      <c r="F494" s="16"/>
      <c r="G494" s="16"/>
      <c r="H494" s="60"/>
      <c r="I494" s="60"/>
      <c r="J494" s="16"/>
    </row>
    <row r="495" spans="2:10" x14ac:dyDescent="0.3">
      <c r="B495" s="16"/>
      <c r="C495" s="60"/>
      <c r="D495" s="16"/>
      <c r="E495" s="16"/>
      <c r="F495" s="16"/>
      <c r="G495" s="16"/>
      <c r="H495" s="60"/>
      <c r="I495" s="60"/>
      <c r="J495" s="16"/>
    </row>
    <row r="496" spans="2:10" x14ac:dyDescent="0.3">
      <c r="B496" s="16"/>
      <c r="C496" s="60"/>
      <c r="D496" s="16"/>
      <c r="E496" s="16"/>
      <c r="F496" s="16"/>
      <c r="G496" s="16"/>
      <c r="H496" s="60"/>
      <c r="I496" s="60"/>
      <c r="J496" s="16"/>
    </row>
    <row r="497" spans="2:10" x14ac:dyDescent="0.3">
      <c r="B497" s="16"/>
      <c r="C497" s="60"/>
      <c r="D497" s="16"/>
      <c r="E497" s="16"/>
      <c r="F497" s="16"/>
      <c r="G497" s="16"/>
      <c r="H497" s="60"/>
      <c r="I497" s="60"/>
      <c r="J497" s="16"/>
    </row>
    <row r="498" spans="2:10" x14ac:dyDescent="0.3">
      <c r="B498" s="16"/>
      <c r="C498" s="60"/>
      <c r="D498" s="16"/>
      <c r="E498" s="16"/>
      <c r="F498" s="16"/>
      <c r="G498" s="16"/>
      <c r="H498" s="60"/>
      <c r="I498" s="60"/>
      <c r="J498" s="16"/>
    </row>
    <row r="499" spans="2:10" x14ac:dyDescent="0.3">
      <c r="B499" s="16"/>
      <c r="C499" s="60"/>
      <c r="D499" s="16"/>
      <c r="E499" s="16"/>
      <c r="F499" s="16"/>
      <c r="G499" s="16"/>
      <c r="H499" s="60"/>
      <c r="I499" s="60"/>
      <c r="J499" s="16"/>
    </row>
    <row r="500" spans="2:10" x14ac:dyDescent="0.3">
      <c r="B500" s="16"/>
      <c r="C500" s="60"/>
      <c r="D500" s="16"/>
      <c r="E500" s="16"/>
      <c r="F500" s="16"/>
      <c r="G500" s="16"/>
      <c r="H500" s="60"/>
      <c r="I500" s="60"/>
      <c r="J500" s="16"/>
    </row>
    <row r="501" spans="2:10" x14ac:dyDescent="0.3">
      <c r="B501" s="16"/>
      <c r="C501" s="60"/>
      <c r="D501" s="16"/>
      <c r="E501" s="16"/>
      <c r="F501" s="16"/>
      <c r="G501" s="16"/>
      <c r="H501" s="60"/>
      <c r="I501" s="60"/>
      <c r="J501" s="16"/>
    </row>
    <row r="502" spans="2:10" x14ac:dyDescent="0.3">
      <c r="B502" s="16"/>
      <c r="C502" s="60"/>
      <c r="D502" s="16"/>
      <c r="E502" s="16"/>
      <c r="F502" s="16"/>
      <c r="G502" s="16"/>
      <c r="H502" s="60"/>
      <c r="I502" s="60"/>
      <c r="J502" s="16"/>
    </row>
    <row r="503" spans="2:10" x14ac:dyDescent="0.3">
      <c r="B503" s="16"/>
      <c r="C503" s="60"/>
      <c r="D503" s="16"/>
      <c r="E503" s="16"/>
      <c r="F503" s="16"/>
      <c r="G503" s="16"/>
      <c r="H503" s="60"/>
      <c r="I503" s="60"/>
      <c r="J503" s="16"/>
    </row>
    <row r="504" spans="2:10" x14ac:dyDescent="0.3">
      <c r="B504" s="16"/>
      <c r="C504" s="60"/>
      <c r="D504" s="16"/>
      <c r="E504" s="16"/>
      <c r="F504" s="16"/>
      <c r="G504" s="16"/>
      <c r="H504" s="60"/>
      <c r="I504" s="60"/>
      <c r="J504" s="16"/>
    </row>
    <row r="505" spans="2:10" x14ac:dyDescent="0.3">
      <c r="B505" s="16"/>
      <c r="C505" s="60"/>
      <c r="D505" s="16"/>
      <c r="E505" s="16"/>
      <c r="F505" s="16"/>
      <c r="G505" s="16"/>
      <c r="H505" s="60"/>
      <c r="I505" s="60"/>
      <c r="J505" s="16"/>
    </row>
    <row r="506" spans="2:10" x14ac:dyDescent="0.3">
      <c r="B506" s="16"/>
      <c r="C506" s="60"/>
      <c r="D506" s="16"/>
      <c r="E506" s="16"/>
      <c r="F506" s="16"/>
      <c r="G506" s="16"/>
      <c r="H506" s="60"/>
      <c r="I506" s="60"/>
      <c r="J506" s="16"/>
    </row>
    <row r="507" spans="2:10" x14ac:dyDescent="0.3">
      <c r="B507" s="16"/>
      <c r="C507" s="60"/>
      <c r="D507" s="16"/>
      <c r="E507" s="16"/>
      <c r="F507" s="16"/>
      <c r="G507" s="16"/>
      <c r="H507" s="60"/>
      <c r="I507" s="60"/>
      <c r="J507" s="16"/>
    </row>
    <row r="508" spans="2:10" x14ac:dyDescent="0.3">
      <c r="B508" s="16"/>
      <c r="C508" s="60"/>
      <c r="D508" s="16"/>
      <c r="E508" s="16"/>
      <c r="F508" s="16"/>
      <c r="G508" s="16"/>
      <c r="H508" s="60"/>
      <c r="I508" s="60"/>
      <c r="J508" s="16"/>
    </row>
    <row r="509" spans="2:10" x14ac:dyDescent="0.3">
      <c r="B509" s="16"/>
      <c r="C509" s="60"/>
      <c r="D509" s="16"/>
      <c r="E509" s="16"/>
      <c r="F509" s="16"/>
      <c r="G509" s="16"/>
      <c r="H509" s="60"/>
      <c r="I509" s="60"/>
      <c r="J509" s="16"/>
    </row>
    <row r="510" spans="2:10" x14ac:dyDescent="0.3">
      <c r="B510" s="16"/>
      <c r="C510" s="60"/>
      <c r="D510" s="16"/>
      <c r="E510" s="16"/>
      <c r="F510" s="16"/>
      <c r="G510" s="16"/>
      <c r="H510" s="60"/>
      <c r="I510" s="60"/>
      <c r="J510" s="16"/>
    </row>
    <row r="511" spans="2:10" x14ac:dyDescent="0.3">
      <c r="B511" s="16"/>
      <c r="C511" s="60"/>
      <c r="D511" s="16"/>
      <c r="E511" s="16"/>
      <c r="F511" s="16"/>
      <c r="G511" s="16"/>
      <c r="H511" s="60"/>
      <c r="I511" s="60"/>
      <c r="J511" s="16"/>
    </row>
    <row r="512" spans="2:10" x14ac:dyDescent="0.3">
      <c r="B512" s="16"/>
      <c r="C512" s="60"/>
      <c r="D512" s="16"/>
      <c r="E512" s="16"/>
      <c r="F512" s="16"/>
      <c r="G512" s="16"/>
      <c r="H512" s="60"/>
      <c r="I512" s="60"/>
      <c r="J512" s="16"/>
    </row>
    <row r="513" spans="2:10" x14ac:dyDescent="0.3">
      <c r="B513" s="16"/>
      <c r="C513" s="60"/>
      <c r="D513" s="16"/>
      <c r="E513" s="16"/>
      <c r="F513" s="16"/>
      <c r="G513" s="16"/>
      <c r="H513" s="60"/>
      <c r="I513" s="60"/>
      <c r="J513" s="16"/>
    </row>
    <row r="514" spans="2:10" x14ac:dyDescent="0.3">
      <c r="B514" s="16"/>
      <c r="C514" s="60"/>
      <c r="D514" s="16"/>
      <c r="E514" s="16"/>
      <c r="F514" s="16"/>
      <c r="G514" s="16"/>
      <c r="H514" s="60"/>
      <c r="I514" s="60"/>
      <c r="J514" s="16"/>
    </row>
    <row r="515" spans="2:10" x14ac:dyDescent="0.3">
      <c r="B515" s="16"/>
      <c r="C515" s="60"/>
      <c r="D515" s="16"/>
      <c r="E515" s="16"/>
      <c r="F515" s="16"/>
      <c r="G515" s="16"/>
      <c r="H515" s="60"/>
      <c r="I515" s="60"/>
      <c r="J515" s="16"/>
    </row>
    <row r="516" spans="2:10" x14ac:dyDescent="0.3">
      <c r="B516" s="16"/>
      <c r="C516" s="60"/>
      <c r="D516" s="16"/>
      <c r="E516" s="16"/>
      <c r="F516" s="16"/>
      <c r="G516" s="16"/>
      <c r="H516" s="60"/>
      <c r="I516" s="60"/>
      <c r="J516" s="16"/>
    </row>
    <row r="517" spans="2:10" x14ac:dyDescent="0.3">
      <c r="B517" s="16"/>
      <c r="C517" s="60"/>
      <c r="D517" s="16"/>
      <c r="E517" s="16"/>
      <c r="F517" s="16"/>
      <c r="G517" s="16"/>
      <c r="H517" s="60"/>
      <c r="I517" s="60"/>
      <c r="J517" s="16"/>
    </row>
    <row r="518" spans="2:10" x14ac:dyDescent="0.3">
      <c r="B518" s="16"/>
      <c r="C518" s="60"/>
      <c r="D518" s="16"/>
      <c r="E518" s="16"/>
      <c r="F518" s="16"/>
      <c r="G518" s="16"/>
      <c r="H518" s="60"/>
      <c r="I518" s="60"/>
      <c r="J518" s="16"/>
    </row>
    <row r="519" spans="2:10" x14ac:dyDescent="0.3">
      <c r="B519" s="16"/>
      <c r="C519" s="60"/>
      <c r="D519" s="16"/>
      <c r="E519" s="16"/>
      <c r="F519" s="16"/>
      <c r="G519" s="16"/>
      <c r="H519" s="60"/>
      <c r="I519" s="60"/>
      <c r="J519" s="16"/>
    </row>
    <row r="520" spans="2:10" x14ac:dyDescent="0.3">
      <c r="B520" s="16"/>
      <c r="C520" s="60"/>
      <c r="D520" s="16"/>
      <c r="E520" s="16"/>
      <c r="F520" s="16"/>
      <c r="G520" s="16"/>
      <c r="H520" s="60"/>
      <c r="I520" s="60"/>
      <c r="J520" s="16"/>
    </row>
    <row r="521" spans="2:10" x14ac:dyDescent="0.3">
      <c r="B521" s="16"/>
      <c r="C521" s="60"/>
      <c r="D521" s="16"/>
      <c r="E521" s="16"/>
      <c r="F521" s="16"/>
      <c r="G521" s="16"/>
      <c r="H521" s="60"/>
      <c r="I521" s="60"/>
      <c r="J521" s="16"/>
    </row>
    <row r="522" spans="2:10" x14ac:dyDescent="0.3">
      <c r="B522" s="16"/>
      <c r="C522" s="60"/>
      <c r="D522" s="16"/>
      <c r="E522" s="16"/>
      <c r="F522" s="16"/>
      <c r="G522" s="16"/>
      <c r="H522" s="60"/>
      <c r="I522" s="60"/>
      <c r="J522" s="16"/>
    </row>
    <row r="523" spans="2:10" x14ac:dyDescent="0.3">
      <c r="B523" s="16"/>
      <c r="C523" s="60"/>
      <c r="D523" s="16"/>
      <c r="E523" s="16"/>
      <c r="F523" s="16"/>
      <c r="G523" s="16"/>
      <c r="H523" s="60"/>
      <c r="I523" s="60"/>
      <c r="J523" s="16"/>
    </row>
    <row r="524" spans="2:10" x14ac:dyDescent="0.3">
      <c r="B524" s="16"/>
      <c r="C524" s="60"/>
      <c r="D524" s="16"/>
      <c r="E524" s="16"/>
      <c r="F524" s="16"/>
      <c r="G524" s="16"/>
      <c r="H524" s="60"/>
      <c r="I524" s="60"/>
      <c r="J524" s="16"/>
    </row>
    <row r="525" spans="2:10" x14ac:dyDescent="0.3">
      <c r="B525" s="16"/>
      <c r="C525" s="60"/>
      <c r="D525" s="16"/>
      <c r="E525" s="16"/>
      <c r="F525" s="16"/>
      <c r="G525" s="16"/>
      <c r="H525" s="60"/>
      <c r="I525" s="60"/>
      <c r="J525" s="16"/>
    </row>
    <row r="526" spans="2:10" x14ac:dyDescent="0.3">
      <c r="B526" s="16"/>
      <c r="C526" s="60"/>
      <c r="D526" s="16"/>
      <c r="E526" s="16"/>
      <c r="F526" s="16"/>
      <c r="G526" s="16"/>
      <c r="H526" s="60"/>
      <c r="I526" s="60"/>
      <c r="J526" s="16"/>
    </row>
    <row r="527" spans="2:10" x14ac:dyDescent="0.3">
      <c r="B527" s="16"/>
      <c r="C527" s="60"/>
      <c r="D527" s="16"/>
      <c r="E527" s="16"/>
      <c r="F527" s="16"/>
      <c r="G527" s="16"/>
      <c r="H527" s="60"/>
      <c r="I527" s="60"/>
      <c r="J527" s="16"/>
    </row>
    <row r="528" spans="2:10" x14ac:dyDescent="0.3">
      <c r="B528" s="16"/>
      <c r="C528" s="60"/>
      <c r="D528" s="16"/>
      <c r="E528" s="16"/>
      <c r="F528" s="16"/>
      <c r="G528" s="16"/>
      <c r="H528" s="60"/>
      <c r="I528" s="60"/>
      <c r="J528" s="16"/>
    </row>
    <row r="529" spans="2:10" x14ac:dyDescent="0.3">
      <c r="B529" s="16"/>
      <c r="C529" s="60"/>
      <c r="D529" s="16"/>
      <c r="E529" s="16"/>
      <c r="F529" s="16"/>
      <c r="G529" s="16"/>
      <c r="H529" s="60"/>
      <c r="I529" s="60"/>
      <c r="J529" s="16"/>
    </row>
    <row r="530" spans="2:10" x14ac:dyDescent="0.3">
      <c r="B530" s="16"/>
      <c r="C530" s="60"/>
      <c r="D530" s="16"/>
      <c r="E530" s="16"/>
      <c r="F530" s="16"/>
      <c r="G530" s="16"/>
      <c r="H530" s="60"/>
      <c r="I530" s="60"/>
      <c r="J530" s="16"/>
    </row>
    <row r="531" spans="2:10" x14ac:dyDescent="0.3">
      <c r="B531" s="16"/>
      <c r="C531" s="60"/>
      <c r="D531" s="16"/>
      <c r="E531" s="16"/>
      <c r="F531" s="16"/>
      <c r="G531" s="16"/>
      <c r="H531" s="60"/>
      <c r="I531" s="60"/>
      <c r="J531" s="16"/>
    </row>
    <row r="532" spans="2:10" x14ac:dyDescent="0.3">
      <c r="B532" s="16"/>
      <c r="C532" s="60"/>
      <c r="D532" s="16"/>
      <c r="E532" s="16"/>
      <c r="F532" s="16"/>
      <c r="G532" s="16"/>
      <c r="H532" s="60"/>
      <c r="I532" s="60"/>
      <c r="J532" s="16"/>
    </row>
    <row r="533" spans="2:10" x14ac:dyDescent="0.3">
      <c r="B533" s="16"/>
      <c r="C533" s="60"/>
      <c r="D533" s="16"/>
      <c r="E533" s="16"/>
      <c r="F533" s="16"/>
      <c r="G533" s="16"/>
      <c r="H533" s="60"/>
      <c r="I533" s="60"/>
      <c r="J533" s="16"/>
    </row>
    <row r="534" spans="2:10" x14ac:dyDescent="0.3">
      <c r="B534" s="16"/>
      <c r="C534" s="60"/>
      <c r="D534" s="16"/>
      <c r="E534" s="16"/>
      <c r="F534" s="16"/>
      <c r="G534" s="16"/>
      <c r="H534" s="60"/>
      <c r="I534" s="60"/>
      <c r="J534" s="16"/>
    </row>
    <row r="535" spans="2:10" x14ac:dyDescent="0.3">
      <c r="B535" s="16"/>
      <c r="C535" s="60"/>
      <c r="D535" s="16"/>
      <c r="E535" s="16"/>
      <c r="F535" s="16"/>
      <c r="G535" s="16"/>
      <c r="H535" s="60"/>
      <c r="I535" s="60"/>
      <c r="J535" s="16"/>
    </row>
    <row r="536" spans="2:10" x14ac:dyDescent="0.3">
      <c r="B536" s="16"/>
      <c r="C536" s="60"/>
      <c r="D536" s="16"/>
      <c r="E536" s="16"/>
      <c r="F536" s="16"/>
      <c r="G536" s="16"/>
      <c r="H536" s="60"/>
      <c r="I536" s="60"/>
      <c r="J536" s="16"/>
    </row>
    <row r="537" spans="2:10" x14ac:dyDescent="0.3">
      <c r="B537" s="16"/>
      <c r="C537" s="60"/>
      <c r="D537" s="16"/>
      <c r="E537" s="16"/>
      <c r="F537" s="16"/>
      <c r="G537" s="16"/>
      <c r="H537" s="60"/>
      <c r="I537" s="60"/>
      <c r="J537" s="16"/>
    </row>
    <row r="538" spans="2:10" x14ac:dyDescent="0.3">
      <c r="B538" s="16"/>
      <c r="C538" s="60"/>
      <c r="D538" s="16"/>
      <c r="E538" s="16"/>
      <c r="F538" s="16"/>
      <c r="G538" s="16"/>
      <c r="H538" s="60"/>
      <c r="I538" s="60"/>
      <c r="J538" s="16"/>
    </row>
    <row r="539" spans="2:10" x14ac:dyDescent="0.3">
      <c r="B539" s="16"/>
      <c r="C539" s="60"/>
      <c r="D539" s="16"/>
      <c r="E539" s="16"/>
      <c r="F539" s="16"/>
      <c r="G539" s="16"/>
      <c r="H539" s="60"/>
      <c r="I539" s="60"/>
      <c r="J539" s="16"/>
    </row>
    <row r="540" spans="2:10" x14ac:dyDescent="0.3">
      <c r="B540" s="16"/>
      <c r="C540" s="60"/>
      <c r="D540" s="16"/>
      <c r="E540" s="16"/>
      <c r="F540" s="16"/>
      <c r="G540" s="16"/>
      <c r="H540" s="60"/>
      <c r="I540" s="60"/>
      <c r="J540" s="16"/>
    </row>
    <row r="541" spans="2:10" x14ac:dyDescent="0.3">
      <c r="B541" s="16"/>
      <c r="C541" s="60"/>
      <c r="D541" s="16"/>
      <c r="E541" s="16"/>
      <c r="F541" s="16"/>
      <c r="G541" s="16"/>
      <c r="H541" s="60"/>
      <c r="I541" s="60"/>
      <c r="J541" s="16"/>
    </row>
    <row r="542" spans="2:10" x14ac:dyDescent="0.3">
      <c r="B542" s="16"/>
      <c r="C542" s="60"/>
      <c r="D542" s="16"/>
      <c r="E542" s="16"/>
      <c r="F542" s="16"/>
      <c r="G542" s="16"/>
      <c r="H542" s="60"/>
      <c r="I542" s="60"/>
      <c r="J542" s="16"/>
    </row>
    <row r="543" spans="2:10" x14ac:dyDescent="0.3">
      <c r="B543" s="16"/>
      <c r="C543" s="60"/>
      <c r="D543" s="16"/>
      <c r="E543" s="16"/>
      <c r="F543" s="16"/>
      <c r="G543" s="16"/>
      <c r="H543" s="60"/>
      <c r="I543" s="60"/>
      <c r="J543" s="16"/>
    </row>
    <row r="544" spans="2:10" x14ac:dyDescent="0.3">
      <c r="B544" s="16"/>
      <c r="C544" s="60"/>
      <c r="D544" s="16"/>
      <c r="E544" s="16"/>
      <c r="F544" s="16"/>
      <c r="G544" s="16"/>
      <c r="H544" s="60"/>
      <c r="I544" s="60"/>
      <c r="J544" s="16"/>
    </row>
    <row r="545" spans="2:10" x14ac:dyDescent="0.3">
      <c r="B545" s="16"/>
      <c r="C545" s="60"/>
      <c r="D545" s="16"/>
      <c r="E545" s="16"/>
      <c r="F545" s="16"/>
      <c r="G545" s="16"/>
      <c r="H545" s="60"/>
      <c r="I545" s="60"/>
      <c r="J545" s="16"/>
    </row>
    <row r="546" spans="2:10" x14ac:dyDescent="0.3">
      <c r="B546" s="16"/>
      <c r="C546" s="60"/>
      <c r="D546" s="16"/>
      <c r="E546" s="16"/>
      <c r="F546" s="16"/>
      <c r="G546" s="16"/>
      <c r="H546" s="60"/>
      <c r="I546" s="60"/>
      <c r="J546" s="16"/>
    </row>
    <row r="547" spans="2:10" x14ac:dyDescent="0.3">
      <c r="B547" s="16"/>
      <c r="C547" s="60"/>
      <c r="D547" s="16"/>
      <c r="E547" s="16"/>
      <c r="F547" s="16"/>
      <c r="G547" s="16"/>
      <c r="H547" s="60"/>
      <c r="I547" s="60"/>
      <c r="J547" s="16"/>
    </row>
    <row r="548" spans="2:10" x14ac:dyDescent="0.3">
      <c r="B548" s="16"/>
      <c r="C548" s="60"/>
      <c r="D548" s="16"/>
      <c r="E548" s="16"/>
      <c r="F548" s="16"/>
      <c r="G548" s="16"/>
      <c r="H548" s="60"/>
      <c r="I548" s="60"/>
      <c r="J548" s="16"/>
    </row>
    <row r="549" spans="2:10" x14ac:dyDescent="0.3">
      <c r="B549" s="16"/>
      <c r="C549" s="60"/>
      <c r="D549" s="16"/>
      <c r="E549" s="16"/>
      <c r="F549" s="16"/>
      <c r="G549" s="16"/>
      <c r="H549" s="60"/>
      <c r="I549" s="60"/>
      <c r="J549" s="16"/>
    </row>
    <row r="550" spans="2:10" x14ac:dyDescent="0.3">
      <c r="B550" s="16"/>
      <c r="C550" s="60"/>
      <c r="D550" s="16"/>
      <c r="E550" s="16"/>
      <c r="F550" s="16"/>
      <c r="G550" s="16"/>
      <c r="H550" s="60"/>
      <c r="I550" s="60"/>
      <c r="J550" s="16"/>
    </row>
    <row r="551" spans="2:10" x14ac:dyDescent="0.3">
      <c r="B551" s="16"/>
      <c r="C551" s="60"/>
      <c r="D551" s="16"/>
      <c r="E551" s="16"/>
      <c r="F551" s="16"/>
      <c r="G551" s="16"/>
      <c r="H551" s="60"/>
      <c r="I551" s="60"/>
      <c r="J551" s="16"/>
    </row>
    <row r="552" spans="2:10" x14ac:dyDescent="0.3">
      <c r="B552" s="16"/>
      <c r="C552" s="60"/>
      <c r="D552" s="16"/>
      <c r="E552" s="16"/>
      <c r="F552" s="16"/>
      <c r="G552" s="16"/>
      <c r="H552" s="60"/>
      <c r="I552" s="60"/>
      <c r="J552" s="16"/>
    </row>
    <row r="553" spans="2:10" x14ac:dyDescent="0.3">
      <c r="B553" s="16"/>
      <c r="C553" s="60"/>
      <c r="D553" s="16"/>
      <c r="E553" s="16"/>
      <c r="F553" s="16"/>
      <c r="G553" s="16"/>
      <c r="H553" s="60"/>
      <c r="I553" s="60"/>
      <c r="J553" s="16"/>
    </row>
    <row r="554" spans="2:10" x14ac:dyDescent="0.3">
      <c r="B554" s="16"/>
      <c r="C554" s="60"/>
      <c r="D554" s="16"/>
      <c r="E554" s="16"/>
      <c r="F554" s="16"/>
      <c r="G554" s="16"/>
      <c r="H554" s="60"/>
      <c r="I554" s="60"/>
      <c r="J554" s="16"/>
    </row>
    <row r="555" spans="2:10" x14ac:dyDescent="0.3">
      <c r="B555" s="16"/>
      <c r="C555" s="60"/>
      <c r="D555" s="16"/>
      <c r="E555" s="16"/>
      <c r="F555" s="16"/>
      <c r="G555" s="16"/>
      <c r="H555" s="60"/>
      <c r="I555" s="60"/>
      <c r="J555" s="16"/>
    </row>
    <row r="556" spans="2:10" x14ac:dyDescent="0.3">
      <c r="B556" s="16"/>
      <c r="C556" s="60"/>
      <c r="D556" s="16"/>
      <c r="E556" s="16"/>
      <c r="F556" s="16"/>
      <c r="G556" s="16"/>
      <c r="H556" s="60"/>
      <c r="I556" s="60"/>
      <c r="J556" s="16"/>
    </row>
    <row r="557" spans="2:10" x14ac:dyDescent="0.3">
      <c r="B557" s="16"/>
      <c r="C557" s="60"/>
      <c r="D557" s="16"/>
      <c r="E557" s="16"/>
      <c r="F557" s="16"/>
      <c r="G557" s="16"/>
      <c r="H557" s="60"/>
      <c r="I557" s="60"/>
      <c r="J557" s="16"/>
    </row>
    <row r="558" spans="2:10" x14ac:dyDescent="0.3">
      <c r="B558" s="16"/>
      <c r="C558" s="60"/>
      <c r="D558" s="16"/>
      <c r="E558" s="16"/>
      <c r="F558" s="16"/>
      <c r="G558" s="16"/>
      <c r="H558" s="60"/>
      <c r="I558" s="60"/>
      <c r="J558" s="16"/>
    </row>
    <row r="559" spans="2:10" x14ac:dyDescent="0.3">
      <c r="B559" s="16"/>
      <c r="C559" s="60"/>
      <c r="D559" s="16"/>
      <c r="E559" s="16"/>
      <c r="F559" s="16"/>
      <c r="G559" s="16"/>
      <c r="H559" s="60"/>
      <c r="I559" s="60"/>
      <c r="J559" s="16"/>
    </row>
    <row r="560" spans="2:10" x14ac:dyDescent="0.3">
      <c r="B560" s="16"/>
      <c r="C560" s="60"/>
      <c r="D560" s="16"/>
      <c r="E560" s="16"/>
      <c r="F560" s="16"/>
      <c r="G560" s="16"/>
      <c r="H560" s="60"/>
      <c r="I560" s="60"/>
      <c r="J560" s="16"/>
    </row>
    <row r="561" spans="2:10" x14ac:dyDescent="0.3">
      <c r="B561" s="16"/>
      <c r="C561" s="60"/>
      <c r="D561" s="16"/>
      <c r="E561" s="16"/>
      <c r="F561" s="16"/>
      <c r="G561" s="16"/>
      <c r="H561" s="60"/>
      <c r="I561" s="60"/>
      <c r="J561" s="16"/>
    </row>
    <row r="562" spans="2:10" x14ac:dyDescent="0.3">
      <c r="B562" s="16"/>
      <c r="C562" s="60"/>
      <c r="D562" s="16"/>
      <c r="E562" s="16"/>
      <c r="F562" s="16"/>
      <c r="G562" s="16"/>
      <c r="H562" s="60"/>
      <c r="I562" s="60"/>
      <c r="J562" s="16"/>
    </row>
    <row r="563" spans="2:10" x14ac:dyDescent="0.3">
      <c r="B563" s="16"/>
      <c r="C563" s="60"/>
      <c r="D563" s="16"/>
      <c r="E563" s="16"/>
      <c r="F563" s="16"/>
      <c r="G563" s="16"/>
      <c r="H563" s="60"/>
      <c r="I563" s="60"/>
      <c r="J563" s="16"/>
    </row>
    <row r="564" spans="2:10" x14ac:dyDescent="0.3">
      <c r="B564" s="16"/>
      <c r="C564" s="60"/>
      <c r="D564" s="16"/>
      <c r="E564" s="16"/>
      <c r="F564" s="16"/>
      <c r="G564" s="16"/>
      <c r="H564" s="60"/>
      <c r="I564" s="60"/>
      <c r="J564" s="16"/>
    </row>
    <row r="565" spans="2:10" x14ac:dyDescent="0.3">
      <c r="B565" s="16"/>
      <c r="C565" s="60"/>
      <c r="D565" s="16"/>
      <c r="E565" s="16"/>
      <c r="F565" s="16"/>
      <c r="G565" s="16"/>
      <c r="H565" s="60"/>
      <c r="I565" s="60"/>
      <c r="J565" s="16"/>
    </row>
    <row r="566" spans="2:10" x14ac:dyDescent="0.3">
      <c r="B566" s="16"/>
      <c r="C566" s="60"/>
      <c r="D566" s="16"/>
      <c r="E566" s="16"/>
      <c r="F566" s="16"/>
      <c r="G566" s="16"/>
      <c r="H566" s="60"/>
      <c r="I566" s="60"/>
      <c r="J566" s="16"/>
    </row>
    <row r="567" spans="2:10" x14ac:dyDescent="0.3">
      <c r="B567" s="16"/>
      <c r="C567" s="60"/>
      <c r="D567" s="16"/>
      <c r="E567" s="16"/>
      <c r="F567" s="16"/>
      <c r="G567" s="16"/>
      <c r="H567" s="60"/>
      <c r="I567" s="60"/>
      <c r="J567" s="16"/>
    </row>
    <row r="568" spans="2:10" x14ac:dyDescent="0.3">
      <c r="B568" s="16"/>
      <c r="C568" s="60"/>
      <c r="D568" s="16"/>
      <c r="E568" s="16"/>
      <c r="F568" s="16"/>
      <c r="G568" s="16"/>
      <c r="H568" s="60"/>
      <c r="I568" s="60"/>
      <c r="J568" s="16"/>
    </row>
    <row r="569" spans="2:10" x14ac:dyDescent="0.3">
      <c r="B569" s="16"/>
      <c r="C569" s="60"/>
      <c r="D569" s="16"/>
      <c r="E569" s="16"/>
      <c r="F569" s="16"/>
      <c r="G569" s="16"/>
      <c r="H569" s="60"/>
      <c r="I569" s="60"/>
      <c r="J569" s="16"/>
    </row>
    <row r="570" spans="2:10" x14ac:dyDescent="0.3">
      <c r="B570" s="16"/>
      <c r="C570" s="60"/>
      <c r="D570" s="16"/>
      <c r="E570" s="16"/>
      <c r="F570" s="16"/>
      <c r="G570" s="16"/>
      <c r="H570" s="60"/>
      <c r="I570" s="60"/>
      <c r="J570" s="16"/>
    </row>
    <row r="571" spans="2:10" x14ac:dyDescent="0.3">
      <c r="B571" s="16"/>
      <c r="C571" s="60"/>
      <c r="D571" s="16"/>
      <c r="E571" s="16"/>
      <c r="F571" s="16"/>
      <c r="G571" s="16"/>
      <c r="H571" s="60"/>
      <c r="I571" s="60"/>
      <c r="J571" s="16"/>
    </row>
    <row r="572" spans="2:10" x14ac:dyDescent="0.3">
      <c r="B572" s="16"/>
      <c r="C572" s="60"/>
      <c r="D572" s="16"/>
      <c r="E572" s="16"/>
      <c r="F572" s="16"/>
      <c r="G572" s="16"/>
      <c r="H572" s="60"/>
      <c r="I572" s="60"/>
      <c r="J572" s="16"/>
    </row>
    <row r="573" spans="2:10" x14ac:dyDescent="0.3">
      <c r="B573" s="16"/>
      <c r="C573" s="60"/>
      <c r="D573" s="16"/>
      <c r="E573" s="16"/>
      <c r="F573" s="16"/>
      <c r="G573" s="16"/>
      <c r="H573" s="60"/>
      <c r="I573" s="60"/>
      <c r="J573" s="16"/>
    </row>
    <row r="574" spans="2:10" x14ac:dyDescent="0.3">
      <c r="B574" s="16"/>
      <c r="C574" s="60"/>
      <c r="D574" s="16"/>
      <c r="E574" s="16"/>
      <c r="F574" s="16"/>
      <c r="G574" s="16"/>
      <c r="H574" s="60"/>
      <c r="I574" s="60"/>
      <c r="J574" s="16"/>
    </row>
    <row r="575" spans="2:10" x14ac:dyDescent="0.3">
      <c r="B575" s="16"/>
      <c r="C575" s="60"/>
      <c r="D575" s="16"/>
      <c r="E575" s="16"/>
      <c r="F575" s="16"/>
      <c r="G575" s="16"/>
      <c r="H575" s="60"/>
      <c r="I575" s="60"/>
      <c r="J575" s="16"/>
    </row>
    <row r="576" spans="2:10" x14ac:dyDescent="0.3">
      <c r="B576" s="16"/>
      <c r="C576" s="60"/>
      <c r="D576" s="16"/>
      <c r="E576" s="16"/>
      <c r="F576" s="16"/>
      <c r="G576" s="16"/>
      <c r="H576" s="60"/>
      <c r="I576" s="60"/>
      <c r="J576" s="16"/>
    </row>
    <row r="577" spans="2:10" x14ac:dyDescent="0.3">
      <c r="B577" s="16"/>
      <c r="C577" s="60"/>
      <c r="D577" s="16"/>
      <c r="E577" s="16"/>
      <c r="F577" s="16"/>
      <c r="G577" s="16"/>
      <c r="H577" s="60"/>
      <c r="I577" s="60"/>
      <c r="J577" s="16"/>
    </row>
    <row r="578" spans="2:10" x14ac:dyDescent="0.3">
      <c r="B578" s="16"/>
      <c r="C578" s="60"/>
      <c r="D578" s="16"/>
      <c r="E578" s="16"/>
      <c r="F578" s="16"/>
      <c r="G578" s="16"/>
      <c r="H578" s="60"/>
      <c r="I578" s="60"/>
      <c r="J578" s="16"/>
    </row>
    <row r="579" spans="2:10" x14ac:dyDescent="0.3">
      <c r="B579" s="16"/>
      <c r="C579" s="60"/>
      <c r="D579" s="16"/>
      <c r="E579" s="16"/>
      <c r="F579" s="16"/>
      <c r="G579" s="16"/>
      <c r="H579" s="60"/>
      <c r="I579" s="60"/>
      <c r="J579" s="16"/>
    </row>
    <row r="580" spans="2:10" x14ac:dyDescent="0.3">
      <c r="B580" s="16"/>
      <c r="C580" s="60"/>
      <c r="D580" s="16"/>
      <c r="E580" s="16"/>
      <c r="F580" s="16"/>
      <c r="G580" s="16"/>
      <c r="H580" s="60"/>
      <c r="I580" s="60"/>
      <c r="J580" s="16"/>
    </row>
    <row r="581" spans="2:10" x14ac:dyDescent="0.3">
      <c r="B581" s="16"/>
      <c r="C581" s="60"/>
      <c r="D581" s="16"/>
      <c r="E581" s="16"/>
      <c r="F581" s="16"/>
      <c r="G581" s="16"/>
      <c r="H581" s="60"/>
      <c r="I581" s="60"/>
      <c r="J581" s="16"/>
    </row>
    <row r="582" spans="2:10" x14ac:dyDescent="0.3">
      <c r="B582" s="16"/>
      <c r="C582" s="60"/>
      <c r="D582" s="16"/>
      <c r="E582" s="16"/>
      <c r="F582" s="16"/>
      <c r="G582" s="16"/>
      <c r="H582" s="60"/>
      <c r="I582" s="60"/>
      <c r="J582" s="16"/>
    </row>
    <row r="583" spans="2:10" x14ac:dyDescent="0.3">
      <c r="B583" s="16"/>
      <c r="C583" s="60"/>
      <c r="D583" s="16"/>
      <c r="E583" s="16"/>
      <c r="F583" s="16"/>
      <c r="G583" s="16"/>
      <c r="H583" s="60"/>
      <c r="I583" s="60"/>
      <c r="J583" s="16"/>
    </row>
    <row r="584" spans="2:10" x14ac:dyDescent="0.3">
      <c r="B584" s="16"/>
      <c r="C584" s="60"/>
      <c r="D584" s="16"/>
      <c r="E584" s="16"/>
      <c r="F584" s="16"/>
      <c r="G584" s="16"/>
      <c r="H584" s="60"/>
      <c r="I584" s="60"/>
      <c r="J584" s="16"/>
    </row>
    <row r="585" spans="2:10" x14ac:dyDescent="0.3">
      <c r="B585" s="16"/>
      <c r="C585" s="60"/>
      <c r="D585" s="16"/>
      <c r="E585" s="16"/>
      <c r="F585" s="16"/>
      <c r="G585" s="16"/>
      <c r="H585" s="60"/>
      <c r="I585" s="60"/>
      <c r="J585" s="16"/>
    </row>
    <row r="586" spans="2:10" x14ac:dyDescent="0.3">
      <c r="B586" s="16"/>
      <c r="C586" s="60"/>
      <c r="D586" s="16"/>
      <c r="E586" s="16"/>
      <c r="F586" s="16"/>
      <c r="G586" s="16"/>
      <c r="H586" s="60"/>
      <c r="I586" s="60"/>
      <c r="J586" s="16"/>
    </row>
    <row r="587" spans="2:10" x14ac:dyDescent="0.3">
      <c r="B587" s="16"/>
      <c r="C587" s="60"/>
      <c r="D587" s="16"/>
      <c r="E587" s="16"/>
      <c r="F587" s="16"/>
      <c r="G587" s="16"/>
      <c r="H587" s="60"/>
      <c r="I587" s="60"/>
      <c r="J587" s="16"/>
    </row>
    <row r="588" spans="2:10" x14ac:dyDescent="0.3">
      <c r="B588" s="16"/>
      <c r="C588" s="60"/>
      <c r="D588" s="16"/>
      <c r="E588" s="16"/>
      <c r="F588" s="16"/>
      <c r="G588" s="16"/>
      <c r="H588" s="60"/>
      <c r="I588" s="60"/>
      <c r="J588" s="16"/>
    </row>
    <row r="589" spans="2:10" x14ac:dyDescent="0.3">
      <c r="B589" s="16"/>
      <c r="C589" s="60"/>
      <c r="D589" s="16"/>
      <c r="E589" s="16"/>
      <c r="F589" s="16"/>
      <c r="G589" s="16"/>
      <c r="H589" s="60"/>
      <c r="I589" s="60"/>
      <c r="J589" s="16"/>
    </row>
    <row r="590" spans="2:10" x14ac:dyDescent="0.3">
      <c r="B590" s="16"/>
      <c r="C590" s="60"/>
      <c r="D590" s="16"/>
      <c r="E590" s="16"/>
      <c r="F590" s="16"/>
      <c r="G590" s="16"/>
      <c r="H590" s="60"/>
      <c r="I590" s="60"/>
      <c r="J590" s="16"/>
    </row>
    <row r="591" spans="2:10" x14ac:dyDescent="0.3">
      <c r="B591" s="16"/>
      <c r="C591" s="60"/>
      <c r="D591" s="16"/>
      <c r="E591" s="16"/>
      <c r="F591" s="16"/>
      <c r="G591" s="16"/>
      <c r="H591" s="60"/>
      <c r="I591" s="60"/>
      <c r="J591" s="16"/>
    </row>
    <row r="592" spans="2:10" x14ac:dyDescent="0.3">
      <c r="B592" s="16"/>
      <c r="C592" s="60"/>
      <c r="D592" s="16"/>
      <c r="E592" s="16"/>
      <c r="F592" s="16"/>
      <c r="G592" s="16"/>
      <c r="H592" s="60"/>
      <c r="I592" s="60"/>
      <c r="J592" s="16"/>
    </row>
    <row r="593" spans="2:10" x14ac:dyDescent="0.3">
      <c r="B593" s="16"/>
      <c r="C593" s="60"/>
      <c r="D593" s="16"/>
      <c r="E593" s="16"/>
      <c r="F593" s="16"/>
      <c r="G593" s="16"/>
      <c r="H593" s="60"/>
      <c r="I593" s="60"/>
      <c r="J593" s="16"/>
    </row>
    <row r="594" spans="2:10" x14ac:dyDescent="0.3">
      <c r="B594" s="16"/>
      <c r="C594" s="60"/>
      <c r="D594" s="16"/>
      <c r="E594" s="16"/>
      <c r="F594" s="16"/>
      <c r="G594" s="16"/>
      <c r="H594" s="60"/>
      <c r="I594" s="60"/>
      <c r="J594" s="16"/>
    </row>
    <row r="595" spans="2:10" x14ac:dyDescent="0.3">
      <c r="B595" s="16"/>
      <c r="C595" s="60"/>
      <c r="D595" s="16"/>
      <c r="E595" s="16"/>
      <c r="F595" s="16"/>
      <c r="G595" s="16"/>
      <c r="H595" s="60"/>
      <c r="I595" s="60"/>
      <c r="J595" s="16"/>
    </row>
    <row r="596" spans="2:10" x14ac:dyDescent="0.3">
      <c r="B596" s="16"/>
      <c r="C596" s="60"/>
      <c r="D596" s="16"/>
      <c r="E596" s="16"/>
      <c r="F596" s="16"/>
      <c r="G596" s="16"/>
      <c r="H596" s="60"/>
      <c r="I596" s="60"/>
      <c r="J596" s="16"/>
    </row>
    <row r="597" spans="2:10" x14ac:dyDescent="0.3">
      <c r="B597" s="16"/>
      <c r="C597" s="60"/>
      <c r="D597" s="16"/>
      <c r="E597" s="16"/>
      <c r="F597" s="16"/>
      <c r="G597" s="16"/>
      <c r="H597" s="60"/>
      <c r="I597" s="60"/>
      <c r="J597" s="16"/>
    </row>
    <row r="598" spans="2:10" x14ac:dyDescent="0.3">
      <c r="B598" s="16"/>
      <c r="C598" s="60"/>
      <c r="D598" s="16"/>
      <c r="E598" s="16"/>
      <c r="F598" s="16"/>
      <c r="G598" s="16"/>
      <c r="H598" s="60"/>
      <c r="I598" s="60"/>
      <c r="J598" s="16"/>
    </row>
    <row r="599" spans="2:10" x14ac:dyDescent="0.3">
      <c r="B599" s="16"/>
      <c r="C599" s="60"/>
      <c r="D599" s="16"/>
      <c r="E599" s="16"/>
      <c r="F599" s="16"/>
      <c r="G599" s="16"/>
      <c r="H599" s="60"/>
      <c r="I599" s="60"/>
      <c r="J599" s="16"/>
    </row>
    <row r="600" spans="2:10" x14ac:dyDescent="0.3">
      <c r="B600" s="16"/>
      <c r="C600" s="60"/>
      <c r="D600" s="16"/>
      <c r="E600" s="16"/>
      <c r="F600" s="16"/>
      <c r="G600" s="16"/>
      <c r="H600" s="60"/>
      <c r="I600" s="60"/>
      <c r="J600" s="16"/>
    </row>
    <row r="601" spans="2:10" x14ac:dyDescent="0.3">
      <c r="B601" s="16"/>
      <c r="C601" s="60"/>
      <c r="D601" s="16"/>
      <c r="E601" s="16"/>
      <c r="F601" s="16"/>
      <c r="G601" s="16"/>
      <c r="H601" s="60"/>
      <c r="I601" s="60"/>
      <c r="J601" s="16"/>
    </row>
    <row r="602" spans="2:10" x14ac:dyDescent="0.3">
      <c r="B602" s="16"/>
      <c r="C602" s="60"/>
      <c r="D602" s="16"/>
      <c r="E602" s="16"/>
      <c r="F602" s="16"/>
      <c r="G602" s="16"/>
      <c r="H602" s="60"/>
      <c r="I602" s="60"/>
      <c r="J602" s="16"/>
    </row>
    <row r="603" spans="2:10" x14ac:dyDescent="0.3">
      <c r="B603" s="16"/>
      <c r="C603" s="60"/>
      <c r="D603" s="16"/>
      <c r="E603" s="16"/>
      <c r="F603" s="16"/>
      <c r="G603" s="16"/>
      <c r="H603" s="60"/>
      <c r="I603" s="60"/>
      <c r="J603" s="16"/>
    </row>
    <row r="604" spans="2:10" x14ac:dyDescent="0.3">
      <c r="B604" s="16"/>
      <c r="C604" s="60"/>
      <c r="D604" s="16"/>
      <c r="E604" s="16"/>
      <c r="F604" s="16"/>
      <c r="G604" s="16"/>
      <c r="H604" s="60"/>
      <c r="I604" s="60"/>
      <c r="J604" s="16"/>
    </row>
    <row r="605" spans="2:10" x14ac:dyDescent="0.3">
      <c r="B605" s="16"/>
      <c r="C605" s="60"/>
      <c r="D605" s="16"/>
      <c r="E605" s="16"/>
      <c r="F605" s="16"/>
      <c r="G605" s="16"/>
      <c r="H605" s="60"/>
      <c r="I605" s="60"/>
      <c r="J605" s="16"/>
    </row>
    <row r="606" spans="2:10" x14ac:dyDescent="0.3">
      <c r="B606" s="16"/>
      <c r="C606" s="60"/>
      <c r="D606" s="16"/>
      <c r="E606" s="16"/>
      <c r="F606" s="16"/>
      <c r="G606" s="16"/>
      <c r="H606" s="60"/>
      <c r="I606" s="60"/>
      <c r="J606" s="16"/>
    </row>
    <row r="607" spans="2:10" x14ac:dyDescent="0.3">
      <c r="B607" s="16"/>
      <c r="C607" s="60"/>
      <c r="D607" s="16"/>
      <c r="E607" s="16"/>
      <c r="F607" s="16"/>
      <c r="G607" s="16"/>
      <c r="H607" s="60"/>
      <c r="I607" s="60"/>
      <c r="J607" s="16"/>
    </row>
    <row r="608" spans="2:10" x14ac:dyDescent="0.3">
      <c r="B608" s="16"/>
      <c r="C608" s="60"/>
      <c r="D608" s="16"/>
      <c r="E608" s="16"/>
      <c r="F608" s="16"/>
      <c r="G608" s="16"/>
      <c r="H608" s="60"/>
      <c r="I608" s="60"/>
      <c r="J608" s="16"/>
    </row>
    <row r="609" spans="2:10" x14ac:dyDescent="0.3">
      <c r="B609" s="16"/>
      <c r="C609" s="60"/>
      <c r="D609" s="16"/>
      <c r="E609" s="16"/>
      <c r="F609" s="16"/>
      <c r="G609" s="16"/>
      <c r="H609" s="60"/>
      <c r="I609" s="60"/>
      <c r="J609" s="16"/>
    </row>
    <row r="610" spans="2:10" x14ac:dyDescent="0.3">
      <c r="B610" s="16"/>
      <c r="C610" s="60"/>
      <c r="D610" s="16"/>
      <c r="E610" s="16"/>
      <c r="F610" s="16"/>
      <c r="G610" s="16"/>
      <c r="H610" s="60"/>
      <c r="I610" s="60"/>
      <c r="J610" s="16"/>
    </row>
    <row r="611" spans="2:10" x14ac:dyDescent="0.3">
      <c r="B611" s="16"/>
      <c r="C611" s="60"/>
      <c r="D611" s="16"/>
      <c r="E611" s="16"/>
      <c r="F611" s="16"/>
      <c r="G611" s="16"/>
      <c r="H611" s="60"/>
      <c r="I611" s="60"/>
      <c r="J611" s="16"/>
    </row>
    <row r="612" spans="2:10" x14ac:dyDescent="0.3">
      <c r="B612" s="16"/>
      <c r="C612" s="60"/>
      <c r="D612" s="16"/>
      <c r="E612" s="16"/>
      <c r="F612" s="16"/>
      <c r="G612" s="16"/>
      <c r="H612" s="60"/>
      <c r="I612" s="60"/>
      <c r="J612" s="16"/>
    </row>
    <row r="613" spans="2:10" x14ac:dyDescent="0.3">
      <c r="B613" s="16"/>
      <c r="C613" s="60"/>
      <c r="D613" s="16"/>
      <c r="E613" s="16"/>
      <c r="F613" s="16"/>
      <c r="G613" s="16"/>
      <c r="H613" s="60"/>
      <c r="I613" s="60"/>
      <c r="J613" s="16"/>
    </row>
    <row r="614" spans="2:10" x14ac:dyDescent="0.3">
      <c r="B614" s="16"/>
      <c r="C614" s="60"/>
      <c r="D614" s="16"/>
      <c r="E614" s="16"/>
      <c r="F614" s="16"/>
      <c r="G614" s="16"/>
      <c r="H614" s="60"/>
      <c r="I614" s="60"/>
      <c r="J614" s="16"/>
    </row>
    <row r="615" spans="2:10" x14ac:dyDescent="0.3">
      <c r="B615" s="16"/>
      <c r="C615" s="60"/>
      <c r="D615" s="16"/>
      <c r="E615" s="16"/>
      <c r="F615" s="16"/>
      <c r="G615" s="16"/>
      <c r="H615" s="60"/>
      <c r="I615" s="60"/>
      <c r="J615" s="16"/>
    </row>
    <row r="616" spans="2:10" x14ac:dyDescent="0.3">
      <c r="B616" s="16"/>
      <c r="C616" s="60"/>
      <c r="D616" s="16"/>
      <c r="E616" s="16"/>
      <c r="F616" s="16"/>
      <c r="G616" s="16"/>
      <c r="H616" s="60"/>
      <c r="I616" s="60"/>
      <c r="J616" s="16"/>
    </row>
    <row r="617" spans="2:10" x14ac:dyDescent="0.3">
      <c r="B617" s="16"/>
      <c r="C617" s="60"/>
      <c r="D617" s="16"/>
      <c r="E617" s="16"/>
      <c r="F617" s="16"/>
      <c r="G617" s="16"/>
      <c r="H617" s="60"/>
      <c r="I617" s="60"/>
      <c r="J617" s="16"/>
    </row>
    <row r="618" spans="2:10" x14ac:dyDescent="0.3">
      <c r="B618" s="16"/>
      <c r="C618" s="60"/>
      <c r="D618" s="16"/>
      <c r="E618" s="16"/>
      <c r="F618" s="16"/>
      <c r="G618" s="16"/>
      <c r="H618" s="60"/>
      <c r="I618" s="60"/>
      <c r="J618" s="16"/>
    </row>
    <row r="619" spans="2:10" x14ac:dyDescent="0.3">
      <c r="B619" s="16"/>
      <c r="C619" s="60"/>
      <c r="D619" s="16"/>
      <c r="E619" s="16"/>
      <c r="F619" s="16"/>
      <c r="G619" s="16"/>
      <c r="H619" s="60"/>
      <c r="I619" s="60"/>
      <c r="J619" s="16"/>
    </row>
    <row r="620" spans="2:10" x14ac:dyDescent="0.3">
      <c r="B620" s="16"/>
      <c r="C620" s="60"/>
      <c r="D620" s="16"/>
      <c r="E620" s="16"/>
      <c r="F620" s="16"/>
      <c r="G620" s="16"/>
      <c r="H620" s="60"/>
      <c r="I620" s="60"/>
      <c r="J620" s="16"/>
    </row>
    <row r="621" spans="2:10" x14ac:dyDescent="0.3">
      <c r="B621" s="16"/>
      <c r="C621" s="60"/>
      <c r="D621" s="16"/>
      <c r="E621" s="16"/>
      <c r="F621" s="16"/>
      <c r="G621" s="16"/>
      <c r="H621" s="60"/>
      <c r="I621" s="60"/>
      <c r="J621" s="16"/>
    </row>
    <row r="622" spans="2:10" x14ac:dyDescent="0.3">
      <c r="B622" s="16"/>
      <c r="C622" s="60"/>
      <c r="D622" s="16"/>
      <c r="E622" s="16"/>
      <c r="F622" s="16"/>
      <c r="G622" s="16"/>
      <c r="H622" s="60"/>
      <c r="I622" s="60"/>
      <c r="J622" s="16"/>
    </row>
    <row r="623" spans="2:10" x14ac:dyDescent="0.3">
      <c r="B623" s="16"/>
      <c r="C623" s="60"/>
      <c r="D623" s="16"/>
      <c r="E623" s="16"/>
      <c r="F623" s="16"/>
      <c r="G623" s="16"/>
      <c r="H623" s="60"/>
      <c r="I623" s="60"/>
      <c r="J623" s="16"/>
    </row>
    <row r="624" spans="2:10" x14ac:dyDescent="0.3">
      <c r="B624" s="16"/>
      <c r="C624" s="60"/>
      <c r="D624" s="16"/>
      <c r="E624" s="16"/>
      <c r="F624" s="16"/>
      <c r="G624" s="16"/>
      <c r="H624" s="60"/>
      <c r="I624" s="60"/>
      <c r="J624" s="16"/>
    </row>
    <row r="625" spans="2:10" x14ac:dyDescent="0.3">
      <c r="B625" s="16"/>
      <c r="C625" s="60"/>
      <c r="D625" s="16"/>
      <c r="E625" s="16"/>
      <c r="F625" s="16"/>
      <c r="G625" s="16"/>
      <c r="H625" s="60"/>
      <c r="I625" s="60"/>
      <c r="J625" s="16"/>
    </row>
    <row r="626" spans="2:10" x14ac:dyDescent="0.3">
      <c r="B626" s="16"/>
      <c r="C626" s="60"/>
      <c r="D626" s="16"/>
      <c r="E626" s="16"/>
      <c r="F626" s="16"/>
      <c r="G626" s="16"/>
      <c r="H626" s="60"/>
      <c r="I626" s="60"/>
      <c r="J626" s="16"/>
    </row>
    <row r="627" spans="2:10" x14ac:dyDescent="0.3">
      <c r="B627" s="16"/>
      <c r="C627" s="60"/>
      <c r="D627" s="16"/>
      <c r="E627" s="16"/>
      <c r="F627" s="16"/>
      <c r="G627" s="16"/>
      <c r="H627" s="60"/>
      <c r="I627" s="60"/>
      <c r="J627" s="16"/>
    </row>
    <row r="628" spans="2:10" x14ac:dyDescent="0.3">
      <c r="B628" s="16"/>
      <c r="C628" s="60"/>
      <c r="D628" s="16"/>
      <c r="E628" s="16"/>
      <c r="F628" s="16"/>
      <c r="G628" s="16"/>
      <c r="H628" s="60"/>
      <c r="I628" s="60"/>
      <c r="J628" s="16"/>
    </row>
    <row r="629" spans="2:10" x14ac:dyDescent="0.3">
      <c r="B629" s="16"/>
      <c r="C629" s="60"/>
      <c r="D629" s="16"/>
      <c r="E629" s="16"/>
      <c r="F629" s="16"/>
      <c r="G629" s="16"/>
      <c r="H629" s="60"/>
      <c r="I629" s="60"/>
      <c r="J629" s="16"/>
    </row>
    <row r="630" spans="2:10" x14ac:dyDescent="0.3">
      <c r="B630" s="16"/>
      <c r="C630" s="60"/>
      <c r="D630" s="16"/>
      <c r="E630" s="16"/>
      <c r="F630" s="16"/>
      <c r="G630" s="16"/>
      <c r="H630" s="60"/>
      <c r="I630" s="60"/>
      <c r="J630" s="16"/>
    </row>
    <row r="631" spans="2:10" x14ac:dyDescent="0.3">
      <c r="B631" s="16"/>
      <c r="C631" s="60"/>
      <c r="D631" s="16"/>
      <c r="E631" s="16"/>
      <c r="F631" s="16"/>
      <c r="G631" s="16"/>
      <c r="H631" s="60"/>
      <c r="I631" s="60"/>
      <c r="J631" s="16"/>
    </row>
    <row r="632" spans="2:10" x14ac:dyDescent="0.3">
      <c r="B632" s="16"/>
      <c r="C632" s="60"/>
      <c r="D632" s="16"/>
      <c r="E632" s="16"/>
      <c r="F632" s="16"/>
      <c r="G632" s="16"/>
      <c r="H632" s="60"/>
      <c r="I632" s="60"/>
      <c r="J632" s="16"/>
    </row>
    <row r="633" spans="2:10" x14ac:dyDescent="0.3">
      <c r="B633" s="16"/>
      <c r="C633" s="60"/>
      <c r="D633" s="16"/>
      <c r="E633" s="16"/>
      <c r="F633" s="16"/>
      <c r="G633" s="16"/>
      <c r="H633" s="60"/>
      <c r="I633" s="60"/>
      <c r="J633" s="16"/>
    </row>
    <row r="634" spans="2:10" x14ac:dyDescent="0.3">
      <c r="B634" s="16"/>
      <c r="C634" s="60"/>
      <c r="D634" s="16"/>
      <c r="E634" s="16"/>
      <c r="F634" s="16"/>
      <c r="G634" s="16"/>
      <c r="H634" s="60"/>
      <c r="I634" s="60"/>
      <c r="J634" s="16"/>
    </row>
    <row r="635" spans="2:10" x14ac:dyDescent="0.3">
      <c r="B635" s="16"/>
      <c r="C635" s="60"/>
      <c r="D635" s="16"/>
      <c r="E635" s="16"/>
      <c r="F635" s="16"/>
      <c r="G635" s="16"/>
      <c r="H635" s="60"/>
      <c r="I635" s="60"/>
      <c r="J635" s="16"/>
    </row>
    <row r="636" spans="2:10" x14ac:dyDescent="0.3">
      <c r="B636" s="16"/>
      <c r="C636" s="60"/>
      <c r="D636" s="16"/>
      <c r="E636" s="16"/>
      <c r="F636" s="16"/>
      <c r="G636" s="16"/>
      <c r="H636" s="60"/>
      <c r="I636" s="60"/>
      <c r="J636" s="16"/>
    </row>
    <row r="637" spans="2:10" x14ac:dyDescent="0.3">
      <c r="B637" s="16"/>
      <c r="C637" s="60"/>
      <c r="D637" s="16"/>
      <c r="E637" s="16"/>
      <c r="F637" s="16"/>
      <c r="G637" s="16"/>
      <c r="H637" s="60"/>
      <c r="I637" s="60"/>
      <c r="J637" s="16"/>
    </row>
    <row r="638" spans="2:10" x14ac:dyDescent="0.3">
      <c r="B638" s="16"/>
      <c r="C638" s="60"/>
      <c r="D638" s="16"/>
      <c r="E638" s="16"/>
      <c r="F638" s="16"/>
      <c r="G638" s="16"/>
      <c r="H638" s="60"/>
      <c r="I638" s="60"/>
      <c r="J638" s="16"/>
    </row>
    <row r="639" spans="2:10" x14ac:dyDescent="0.3">
      <c r="B639" s="16"/>
      <c r="C639" s="60"/>
      <c r="D639" s="16"/>
      <c r="E639" s="16"/>
      <c r="F639" s="16"/>
      <c r="G639" s="16"/>
      <c r="H639" s="60"/>
      <c r="I639" s="60"/>
      <c r="J639" s="16"/>
    </row>
    <row r="640" spans="2:10" x14ac:dyDescent="0.3">
      <c r="B640" s="16"/>
      <c r="C640" s="60"/>
      <c r="D640" s="16"/>
      <c r="E640" s="16"/>
      <c r="F640" s="16"/>
      <c r="G640" s="16"/>
      <c r="H640" s="60"/>
      <c r="I640" s="60"/>
      <c r="J640" s="16"/>
    </row>
    <row r="641" spans="2:10" x14ac:dyDescent="0.3">
      <c r="B641" s="16"/>
      <c r="C641" s="60"/>
      <c r="D641" s="16"/>
      <c r="E641" s="16"/>
      <c r="F641" s="16"/>
      <c r="G641" s="16"/>
      <c r="H641" s="60"/>
      <c r="I641" s="60"/>
      <c r="J641" s="16"/>
    </row>
    <row r="642" spans="2:10" x14ac:dyDescent="0.3">
      <c r="B642" s="16"/>
      <c r="C642" s="60"/>
      <c r="D642" s="16"/>
      <c r="E642" s="16"/>
      <c r="F642" s="16"/>
      <c r="G642" s="16"/>
      <c r="H642" s="60"/>
      <c r="I642" s="60"/>
      <c r="J642" s="16"/>
    </row>
    <row r="643" spans="2:10" x14ac:dyDescent="0.3">
      <c r="B643" s="16"/>
      <c r="C643" s="60"/>
      <c r="D643" s="16"/>
      <c r="E643" s="16"/>
      <c r="F643" s="16"/>
      <c r="G643" s="16"/>
      <c r="H643" s="60"/>
      <c r="I643" s="60"/>
      <c r="J643" s="16"/>
    </row>
    <row r="644" spans="2:10" x14ac:dyDescent="0.3">
      <c r="B644" s="16"/>
      <c r="C644" s="60"/>
      <c r="D644" s="16"/>
      <c r="E644" s="16"/>
      <c r="F644" s="16"/>
      <c r="G644" s="16"/>
      <c r="H644" s="60"/>
      <c r="I644" s="60"/>
      <c r="J644" s="16"/>
    </row>
    <row r="645" spans="2:10" x14ac:dyDescent="0.3">
      <c r="B645" s="16"/>
      <c r="C645" s="60"/>
      <c r="D645" s="16"/>
      <c r="E645" s="16"/>
      <c r="F645" s="16"/>
      <c r="G645" s="16"/>
      <c r="H645" s="60"/>
      <c r="I645" s="60"/>
      <c r="J645" s="16"/>
    </row>
    <row r="646" spans="2:10" x14ac:dyDescent="0.3">
      <c r="B646" s="16"/>
      <c r="C646" s="60"/>
      <c r="D646" s="16"/>
      <c r="E646" s="16"/>
      <c r="F646" s="16"/>
      <c r="G646" s="16"/>
      <c r="H646" s="60"/>
      <c r="I646" s="60"/>
      <c r="J646" s="16"/>
    </row>
    <row r="647" spans="2:10" x14ac:dyDescent="0.3">
      <c r="B647" s="16"/>
      <c r="C647" s="60"/>
      <c r="D647" s="16"/>
      <c r="E647" s="16"/>
      <c r="F647" s="16"/>
      <c r="G647" s="16"/>
      <c r="H647" s="60"/>
      <c r="I647" s="60"/>
      <c r="J647" s="16"/>
    </row>
    <row r="648" spans="2:10" x14ac:dyDescent="0.3">
      <c r="B648" s="16"/>
      <c r="C648" s="60"/>
      <c r="D648" s="16"/>
      <c r="E648" s="16"/>
      <c r="F648" s="16"/>
      <c r="G648" s="16"/>
      <c r="H648" s="60"/>
      <c r="I648" s="60"/>
      <c r="J648" s="16"/>
    </row>
    <row r="649" spans="2:10" x14ac:dyDescent="0.3">
      <c r="B649" s="16"/>
      <c r="C649" s="60"/>
      <c r="D649" s="16"/>
      <c r="E649" s="16"/>
      <c r="F649" s="16"/>
      <c r="G649" s="16"/>
      <c r="H649" s="60"/>
      <c r="I649" s="60"/>
      <c r="J649" s="16"/>
    </row>
    <row r="650" spans="2:10" x14ac:dyDescent="0.3">
      <c r="B650" s="16"/>
      <c r="C650" s="60"/>
      <c r="D650" s="16"/>
      <c r="E650" s="16"/>
      <c r="F650" s="16"/>
      <c r="G650" s="16"/>
      <c r="H650" s="60"/>
      <c r="I650" s="60"/>
      <c r="J650" s="16"/>
    </row>
    <row r="651" spans="2:10" x14ac:dyDescent="0.3">
      <c r="B651" s="16"/>
      <c r="C651" s="60"/>
      <c r="D651" s="16"/>
      <c r="E651" s="16"/>
      <c r="F651" s="16"/>
      <c r="G651" s="16"/>
      <c r="H651" s="60"/>
      <c r="I651" s="60"/>
      <c r="J651" s="16"/>
    </row>
    <row r="652" spans="2:10" x14ac:dyDescent="0.3">
      <c r="B652" s="16"/>
      <c r="C652" s="60"/>
      <c r="D652" s="16"/>
      <c r="E652" s="16"/>
      <c r="F652" s="16"/>
      <c r="G652" s="16"/>
      <c r="H652" s="60"/>
      <c r="I652" s="60"/>
      <c r="J652" s="16"/>
    </row>
    <row r="653" spans="2:10" x14ac:dyDescent="0.3">
      <c r="B653" s="16"/>
      <c r="C653" s="60"/>
      <c r="D653" s="16"/>
      <c r="E653" s="16"/>
      <c r="F653" s="16"/>
      <c r="G653" s="16"/>
      <c r="H653" s="60"/>
      <c r="I653" s="60"/>
      <c r="J653" s="16"/>
    </row>
    <row r="654" spans="2:10" x14ac:dyDescent="0.3">
      <c r="B654" s="16"/>
      <c r="C654" s="60"/>
      <c r="D654" s="16"/>
      <c r="E654" s="16"/>
      <c r="F654" s="16"/>
      <c r="G654" s="16"/>
      <c r="H654" s="60"/>
      <c r="I654" s="60"/>
      <c r="J654" s="16"/>
    </row>
    <row r="655" spans="2:10" x14ac:dyDescent="0.3">
      <c r="B655" s="16"/>
      <c r="C655" s="60"/>
      <c r="D655" s="16"/>
      <c r="E655" s="16"/>
      <c r="F655" s="16"/>
      <c r="G655" s="16"/>
      <c r="H655" s="60"/>
      <c r="I655" s="60"/>
      <c r="J655" s="16"/>
    </row>
    <row r="656" spans="2:10" x14ac:dyDescent="0.3">
      <c r="B656" s="16"/>
      <c r="C656" s="60"/>
      <c r="D656" s="16"/>
      <c r="E656" s="16"/>
      <c r="F656" s="16"/>
      <c r="G656" s="16"/>
      <c r="H656" s="60"/>
      <c r="I656" s="60"/>
      <c r="J656" s="16"/>
    </row>
    <row r="657" spans="2:10" x14ac:dyDescent="0.3">
      <c r="B657" s="16"/>
      <c r="C657" s="60"/>
      <c r="D657" s="16"/>
      <c r="E657" s="16"/>
      <c r="F657" s="16"/>
      <c r="G657" s="16"/>
      <c r="H657" s="60"/>
      <c r="I657" s="60"/>
      <c r="J657" s="16"/>
    </row>
    <row r="658" spans="2:10" x14ac:dyDescent="0.3">
      <c r="B658" s="16"/>
      <c r="C658" s="60"/>
      <c r="D658" s="16"/>
      <c r="E658" s="16"/>
      <c r="F658" s="16"/>
      <c r="G658" s="16"/>
      <c r="H658" s="60"/>
      <c r="I658" s="60"/>
      <c r="J658" s="16"/>
    </row>
    <row r="659" spans="2:10" x14ac:dyDescent="0.3">
      <c r="B659" s="16"/>
      <c r="C659" s="60"/>
      <c r="D659" s="16"/>
      <c r="E659" s="16"/>
      <c r="F659" s="16"/>
      <c r="G659" s="16"/>
      <c r="H659" s="60"/>
      <c r="I659" s="60"/>
      <c r="J659" s="16"/>
    </row>
    <row r="660" spans="2:10" x14ac:dyDescent="0.3">
      <c r="B660" s="16"/>
      <c r="C660" s="60"/>
      <c r="D660" s="16"/>
      <c r="E660" s="16"/>
      <c r="F660" s="16"/>
      <c r="G660" s="16"/>
      <c r="H660" s="60"/>
      <c r="I660" s="60"/>
      <c r="J660" s="16"/>
    </row>
    <row r="661" spans="2:10" x14ac:dyDescent="0.3">
      <c r="B661" s="16"/>
      <c r="C661" s="60"/>
      <c r="D661" s="16"/>
      <c r="E661" s="16"/>
      <c r="F661" s="16"/>
      <c r="G661" s="16"/>
      <c r="H661" s="60"/>
      <c r="I661" s="60"/>
      <c r="J661" s="16"/>
    </row>
    <row r="662" spans="2:10" x14ac:dyDescent="0.3">
      <c r="B662" s="16"/>
      <c r="C662" s="60"/>
      <c r="D662" s="16"/>
      <c r="E662" s="16"/>
      <c r="F662" s="16"/>
      <c r="G662" s="16"/>
      <c r="H662" s="60"/>
      <c r="I662" s="60"/>
      <c r="J662" s="16"/>
    </row>
    <row r="663" spans="2:10" x14ac:dyDescent="0.3">
      <c r="B663" s="16"/>
      <c r="C663" s="60"/>
      <c r="D663" s="16"/>
      <c r="E663" s="16"/>
      <c r="F663" s="16"/>
      <c r="G663" s="16"/>
      <c r="H663" s="60"/>
      <c r="I663" s="60"/>
      <c r="J663" s="16"/>
    </row>
    <row r="664" spans="2:10" x14ac:dyDescent="0.3">
      <c r="B664" s="16"/>
      <c r="C664" s="60"/>
      <c r="D664" s="16"/>
      <c r="E664" s="16"/>
      <c r="F664" s="16"/>
      <c r="G664" s="16"/>
      <c r="H664" s="60"/>
      <c r="I664" s="60"/>
      <c r="J664" s="16"/>
    </row>
    <row r="665" spans="2:10" x14ac:dyDescent="0.3">
      <c r="B665" s="16"/>
      <c r="C665" s="60"/>
      <c r="D665" s="16"/>
      <c r="E665" s="16"/>
      <c r="F665" s="16"/>
      <c r="G665" s="16"/>
      <c r="H665" s="60"/>
      <c r="I665" s="60"/>
      <c r="J665" s="16"/>
    </row>
    <row r="666" spans="2:10" x14ac:dyDescent="0.3">
      <c r="B666" s="16"/>
      <c r="C666" s="60"/>
      <c r="D666" s="16"/>
      <c r="E666" s="16"/>
      <c r="F666" s="16"/>
      <c r="G666" s="16"/>
      <c r="H666" s="60"/>
      <c r="I666" s="60"/>
      <c r="J666" s="16"/>
    </row>
    <row r="667" spans="2:10" x14ac:dyDescent="0.3">
      <c r="B667" s="16"/>
      <c r="C667" s="60"/>
      <c r="D667" s="16"/>
      <c r="E667" s="16"/>
      <c r="F667" s="16"/>
      <c r="G667" s="16"/>
      <c r="H667" s="60"/>
      <c r="I667" s="60"/>
      <c r="J667" s="16"/>
    </row>
    <row r="668" spans="2:10" x14ac:dyDescent="0.3">
      <c r="B668" s="16"/>
      <c r="C668" s="60"/>
      <c r="D668" s="16"/>
      <c r="E668" s="16"/>
      <c r="F668" s="16"/>
      <c r="G668" s="16"/>
      <c r="H668" s="60"/>
      <c r="I668" s="60"/>
      <c r="J668" s="16"/>
    </row>
    <row r="669" spans="2:10" x14ac:dyDescent="0.3">
      <c r="B669" s="16"/>
      <c r="C669" s="60"/>
      <c r="D669" s="16"/>
      <c r="E669" s="16"/>
      <c r="F669" s="16"/>
      <c r="G669" s="16"/>
      <c r="H669" s="60"/>
      <c r="I669" s="60"/>
      <c r="J669" s="16"/>
    </row>
    <row r="670" spans="2:10" x14ac:dyDescent="0.3">
      <c r="B670" s="16"/>
      <c r="C670" s="60"/>
      <c r="D670" s="16"/>
      <c r="E670" s="16"/>
      <c r="F670" s="16"/>
      <c r="G670" s="16"/>
      <c r="H670" s="60"/>
      <c r="I670" s="60"/>
      <c r="J670" s="16"/>
    </row>
    <row r="671" spans="2:10" x14ac:dyDescent="0.3">
      <c r="B671" s="16"/>
      <c r="C671" s="60"/>
      <c r="D671" s="16"/>
      <c r="E671" s="16"/>
      <c r="F671" s="16"/>
      <c r="G671" s="16"/>
      <c r="H671" s="60"/>
      <c r="I671" s="60"/>
      <c r="J671" s="16"/>
    </row>
    <row r="672" spans="2:10" x14ac:dyDescent="0.3">
      <c r="B672" s="16"/>
      <c r="C672" s="60"/>
      <c r="D672" s="16"/>
      <c r="E672" s="16"/>
      <c r="F672" s="16"/>
      <c r="G672" s="16"/>
      <c r="H672" s="60"/>
      <c r="I672" s="60"/>
      <c r="J672" s="16"/>
    </row>
    <row r="673" spans="2:10" x14ac:dyDescent="0.3">
      <c r="B673" s="16"/>
      <c r="C673" s="60"/>
      <c r="D673" s="16"/>
      <c r="E673" s="16"/>
      <c r="F673" s="16"/>
      <c r="G673" s="16"/>
      <c r="H673" s="60"/>
      <c r="I673" s="60"/>
      <c r="J673" s="16"/>
    </row>
    <row r="674" spans="2:10" x14ac:dyDescent="0.3">
      <c r="B674" s="16"/>
      <c r="C674" s="60"/>
      <c r="D674" s="16"/>
      <c r="E674" s="16"/>
      <c r="F674" s="16"/>
      <c r="G674" s="16"/>
      <c r="H674" s="60"/>
      <c r="I674" s="60"/>
      <c r="J674" s="16"/>
    </row>
    <row r="675" spans="2:10" x14ac:dyDescent="0.3">
      <c r="B675" s="16"/>
      <c r="C675" s="60"/>
      <c r="D675" s="16"/>
      <c r="E675" s="16"/>
      <c r="F675" s="16"/>
      <c r="G675" s="16"/>
      <c r="H675" s="60"/>
      <c r="I675" s="60"/>
      <c r="J675" s="16"/>
    </row>
    <row r="676" spans="2:10" x14ac:dyDescent="0.3">
      <c r="B676" s="16"/>
      <c r="C676" s="60"/>
      <c r="D676" s="16"/>
      <c r="E676" s="16"/>
      <c r="F676" s="16"/>
      <c r="G676" s="16"/>
      <c r="H676" s="60"/>
      <c r="I676" s="60"/>
      <c r="J676" s="16"/>
    </row>
    <row r="677" spans="2:10" x14ac:dyDescent="0.3">
      <c r="B677" s="16"/>
      <c r="C677" s="60"/>
      <c r="D677" s="16"/>
      <c r="E677" s="16"/>
      <c r="F677" s="16"/>
      <c r="G677" s="16"/>
      <c r="H677" s="60"/>
      <c r="I677" s="60"/>
      <c r="J677" s="16"/>
    </row>
    <row r="678" spans="2:10" x14ac:dyDescent="0.3">
      <c r="B678" s="16"/>
      <c r="C678" s="60"/>
      <c r="D678" s="16"/>
      <c r="E678" s="16"/>
      <c r="F678" s="16"/>
      <c r="G678" s="16"/>
      <c r="H678" s="60"/>
      <c r="I678" s="60"/>
      <c r="J678" s="16"/>
    </row>
    <row r="679" spans="2:10" x14ac:dyDescent="0.3">
      <c r="B679" s="16"/>
      <c r="C679" s="60"/>
      <c r="D679" s="16"/>
      <c r="E679" s="16"/>
      <c r="F679" s="16"/>
      <c r="G679" s="16"/>
      <c r="H679" s="60"/>
      <c r="I679" s="60"/>
      <c r="J679" s="16"/>
    </row>
    <row r="680" spans="2:10" x14ac:dyDescent="0.3">
      <c r="B680" s="16"/>
      <c r="C680" s="60"/>
      <c r="D680" s="16"/>
      <c r="E680" s="16"/>
      <c r="F680" s="16"/>
      <c r="G680" s="16"/>
      <c r="H680" s="60"/>
      <c r="I680" s="60"/>
      <c r="J680" s="16"/>
    </row>
    <row r="681" spans="2:10" x14ac:dyDescent="0.3">
      <c r="B681" s="16"/>
      <c r="C681" s="60"/>
      <c r="D681" s="16"/>
      <c r="E681" s="16"/>
      <c r="F681" s="16"/>
      <c r="G681" s="16"/>
      <c r="H681" s="60"/>
      <c r="I681" s="60"/>
      <c r="J681" s="16"/>
    </row>
    <row r="682" spans="2:10" x14ac:dyDescent="0.3">
      <c r="B682" s="16"/>
      <c r="C682" s="60"/>
      <c r="D682" s="16"/>
      <c r="E682" s="16"/>
      <c r="F682" s="16"/>
      <c r="G682" s="16"/>
      <c r="H682" s="60"/>
      <c r="I682" s="60"/>
      <c r="J682" s="16"/>
    </row>
    <row r="683" spans="2:10" x14ac:dyDescent="0.3">
      <c r="B683" s="16"/>
      <c r="C683" s="60"/>
      <c r="D683" s="16"/>
      <c r="E683" s="16"/>
      <c r="F683" s="16"/>
      <c r="G683" s="16"/>
      <c r="H683" s="60"/>
      <c r="I683" s="60"/>
      <c r="J683" s="16"/>
    </row>
    <row r="684" spans="2:10" x14ac:dyDescent="0.3">
      <c r="B684" s="16"/>
      <c r="C684" s="60"/>
      <c r="D684" s="16"/>
      <c r="E684" s="16"/>
      <c r="F684" s="16"/>
      <c r="G684" s="16"/>
      <c r="H684" s="60"/>
      <c r="I684" s="60"/>
      <c r="J684" s="16"/>
    </row>
    <row r="685" spans="2:10" x14ac:dyDescent="0.3">
      <c r="B685" s="16"/>
      <c r="C685" s="60"/>
      <c r="D685" s="16"/>
      <c r="E685" s="16"/>
      <c r="F685" s="16"/>
      <c r="G685" s="16"/>
      <c r="H685" s="60"/>
      <c r="I685" s="60"/>
      <c r="J685" s="16"/>
    </row>
    <row r="686" spans="2:10" x14ac:dyDescent="0.3">
      <c r="B686" s="16"/>
      <c r="C686" s="60"/>
      <c r="D686" s="16"/>
      <c r="E686" s="16"/>
      <c r="F686" s="16"/>
      <c r="G686" s="16"/>
      <c r="H686" s="60"/>
      <c r="I686" s="60"/>
      <c r="J686" s="16"/>
    </row>
    <row r="687" spans="2:10" x14ac:dyDescent="0.3">
      <c r="B687" s="16"/>
      <c r="C687" s="60"/>
      <c r="D687" s="16"/>
      <c r="E687" s="16"/>
      <c r="F687" s="16"/>
      <c r="G687" s="16"/>
      <c r="H687" s="60"/>
      <c r="I687" s="60"/>
      <c r="J687" s="16"/>
    </row>
    <row r="688" spans="2:10" x14ac:dyDescent="0.3">
      <c r="B688" s="16"/>
      <c r="C688" s="60"/>
      <c r="D688" s="16"/>
      <c r="E688" s="16"/>
      <c r="F688" s="16"/>
      <c r="G688" s="16"/>
      <c r="H688" s="60"/>
      <c r="I688" s="60"/>
      <c r="J688" s="16"/>
    </row>
    <row r="689" spans="2:10" x14ac:dyDescent="0.3">
      <c r="B689" s="16"/>
      <c r="C689" s="60"/>
      <c r="D689" s="16"/>
      <c r="E689" s="16"/>
      <c r="F689" s="16"/>
      <c r="G689" s="16"/>
      <c r="H689" s="60"/>
      <c r="I689" s="60"/>
      <c r="J689" s="16"/>
    </row>
    <row r="690" spans="2:10" x14ac:dyDescent="0.3">
      <c r="B690" s="16"/>
      <c r="C690" s="60"/>
      <c r="D690" s="16"/>
      <c r="E690" s="16"/>
      <c r="F690" s="16"/>
      <c r="G690" s="16"/>
      <c r="H690" s="60"/>
      <c r="I690" s="60"/>
      <c r="J690" s="16"/>
    </row>
    <row r="691" spans="2:10" x14ac:dyDescent="0.3">
      <c r="B691" s="16"/>
      <c r="C691" s="60"/>
      <c r="D691" s="16"/>
      <c r="E691" s="16"/>
      <c r="F691" s="16"/>
      <c r="G691" s="16"/>
      <c r="H691" s="60"/>
      <c r="I691" s="60"/>
      <c r="J691" s="16"/>
    </row>
    <row r="692" spans="2:10" x14ac:dyDescent="0.3">
      <c r="B692" s="16"/>
      <c r="C692" s="60"/>
      <c r="D692" s="16"/>
      <c r="E692" s="16"/>
      <c r="F692" s="16"/>
      <c r="G692" s="16"/>
      <c r="H692" s="60"/>
      <c r="I692" s="60"/>
      <c r="J692" s="16"/>
    </row>
    <row r="693" spans="2:10" x14ac:dyDescent="0.3">
      <c r="B693" s="16"/>
      <c r="C693" s="60"/>
      <c r="D693" s="16"/>
      <c r="E693" s="16"/>
      <c r="F693" s="16"/>
      <c r="G693" s="16"/>
      <c r="H693" s="60"/>
      <c r="I693" s="60"/>
      <c r="J693" s="16"/>
    </row>
    <row r="694" spans="2:10" x14ac:dyDescent="0.3">
      <c r="B694" s="16"/>
      <c r="C694" s="60"/>
      <c r="D694" s="16"/>
      <c r="E694" s="16"/>
      <c r="F694" s="16"/>
      <c r="G694" s="16"/>
      <c r="H694" s="60"/>
      <c r="I694" s="60"/>
      <c r="J694" s="16"/>
    </row>
    <row r="695" spans="2:10" x14ac:dyDescent="0.3">
      <c r="B695" s="16"/>
      <c r="C695" s="60"/>
      <c r="D695" s="16"/>
      <c r="E695" s="16"/>
      <c r="F695" s="16"/>
      <c r="G695" s="16"/>
      <c r="H695" s="60"/>
      <c r="I695" s="60"/>
      <c r="J695" s="16"/>
    </row>
    <row r="696" spans="2:10" x14ac:dyDescent="0.3">
      <c r="B696" s="16"/>
      <c r="C696" s="60"/>
      <c r="D696" s="16"/>
      <c r="E696" s="16"/>
      <c r="F696" s="16"/>
      <c r="G696" s="16"/>
      <c r="H696" s="60"/>
      <c r="I696" s="60"/>
      <c r="J696" s="16"/>
    </row>
    <row r="697" spans="2:10" x14ac:dyDescent="0.3">
      <c r="B697" s="16"/>
      <c r="C697" s="60"/>
      <c r="D697" s="16"/>
      <c r="E697" s="16"/>
      <c r="F697" s="16"/>
      <c r="G697" s="16"/>
      <c r="H697" s="60"/>
      <c r="I697" s="60"/>
      <c r="J697" s="16"/>
    </row>
    <row r="698" spans="2:10" x14ac:dyDescent="0.3">
      <c r="B698" s="16"/>
      <c r="C698" s="60"/>
      <c r="D698" s="16"/>
      <c r="E698" s="16"/>
      <c r="F698" s="16"/>
      <c r="G698" s="16"/>
      <c r="H698" s="60"/>
      <c r="I698" s="60"/>
      <c r="J698" s="16"/>
    </row>
    <row r="699" spans="2:10" x14ac:dyDescent="0.3">
      <c r="B699" s="16"/>
      <c r="C699" s="60"/>
      <c r="D699" s="16"/>
      <c r="E699" s="16"/>
      <c r="F699" s="16"/>
      <c r="G699" s="16"/>
      <c r="H699" s="60"/>
      <c r="I699" s="60"/>
      <c r="J699" s="16"/>
    </row>
    <row r="700" spans="2:10" x14ac:dyDescent="0.3">
      <c r="B700" s="16"/>
      <c r="C700" s="60"/>
      <c r="D700" s="16"/>
      <c r="E700" s="16"/>
      <c r="F700" s="16"/>
      <c r="G700" s="16"/>
      <c r="H700" s="60"/>
      <c r="I700" s="60"/>
      <c r="J700" s="16"/>
    </row>
    <row r="701" spans="2:10" x14ac:dyDescent="0.3">
      <c r="B701" s="16"/>
      <c r="C701" s="60"/>
      <c r="D701" s="16"/>
      <c r="E701" s="16"/>
      <c r="F701" s="16"/>
      <c r="G701" s="16"/>
      <c r="H701" s="60"/>
      <c r="I701" s="60"/>
      <c r="J701" s="16"/>
    </row>
    <row r="702" spans="2:10" x14ac:dyDescent="0.3">
      <c r="B702" s="16"/>
      <c r="C702" s="60"/>
      <c r="D702" s="16"/>
      <c r="E702" s="16"/>
      <c r="F702" s="16"/>
      <c r="G702" s="16"/>
      <c r="H702" s="60"/>
      <c r="I702" s="60"/>
      <c r="J702" s="16"/>
    </row>
    <row r="703" spans="2:10" x14ac:dyDescent="0.3">
      <c r="B703" s="16"/>
      <c r="C703" s="60"/>
      <c r="D703" s="16"/>
      <c r="E703" s="16"/>
      <c r="F703" s="16"/>
      <c r="G703" s="16"/>
      <c r="H703" s="60"/>
      <c r="I703" s="60"/>
      <c r="J703" s="16"/>
    </row>
    <row r="704" spans="2:10" x14ac:dyDescent="0.3">
      <c r="B704" s="16"/>
      <c r="C704" s="60"/>
      <c r="D704" s="16"/>
      <c r="E704" s="16"/>
      <c r="F704" s="16"/>
      <c r="G704" s="16"/>
      <c r="H704" s="60"/>
      <c r="I704" s="60"/>
      <c r="J704" s="16"/>
    </row>
    <row r="705" spans="2:10" x14ac:dyDescent="0.3">
      <c r="B705" s="16"/>
      <c r="C705" s="60"/>
      <c r="D705" s="16"/>
      <c r="E705" s="16"/>
      <c r="F705" s="16"/>
      <c r="G705" s="16"/>
      <c r="H705" s="60"/>
      <c r="I705" s="60"/>
      <c r="J705" s="16"/>
    </row>
    <row r="706" spans="2:10" x14ac:dyDescent="0.3">
      <c r="B706" s="16"/>
      <c r="C706" s="60"/>
      <c r="D706" s="16"/>
      <c r="E706" s="16"/>
      <c r="F706" s="16"/>
      <c r="G706" s="16"/>
      <c r="H706" s="60"/>
      <c r="I706" s="60"/>
      <c r="J706" s="16"/>
    </row>
    <row r="707" spans="2:10" x14ac:dyDescent="0.3">
      <c r="B707" s="16"/>
      <c r="C707" s="60"/>
      <c r="D707" s="16"/>
      <c r="E707" s="16"/>
      <c r="F707" s="16"/>
      <c r="G707" s="16"/>
      <c r="H707" s="60"/>
      <c r="I707" s="60"/>
      <c r="J707" s="16"/>
    </row>
    <row r="708" spans="2:10" x14ac:dyDescent="0.3">
      <c r="B708" s="16"/>
      <c r="C708" s="60"/>
      <c r="D708" s="16"/>
      <c r="E708" s="16"/>
      <c r="F708" s="16"/>
      <c r="G708" s="16"/>
      <c r="H708" s="60"/>
      <c r="I708" s="60"/>
      <c r="J708" s="16"/>
    </row>
    <row r="709" spans="2:10" x14ac:dyDescent="0.3">
      <c r="B709" s="16"/>
      <c r="C709" s="60"/>
      <c r="D709" s="16"/>
      <c r="E709" s="16"/>
      <c r="F709" s="16"/>
      <c r="G709" s="16"/>
      <c r="H709" s="60"/>
      <c r="I709" s="60"/>
      <c r="J709" s="16"/>
    </row>
    <row r="710" spans="2:10" x14ac:dyDescent="0.3">
      <c r="B710" s="16"/>
      <c r="C710" s="60"/>
      <c r="D710" s="16"/>
      <c r="E710" s="16"/>
      <c r="F710" s="16"/>
      <c r="G710" s="16"/>
      <c r="H710" s="60"/>
      <c r="I710" s="60"/>
      <c r="J710" s="16"/>
    </row>
    <row r="711" spans="2:10" x14ac:dyDescent="0.3">
      <c r="B711" s="16"/>
      <c r="C711" s="60"/>
      <c r="D711" s="16"/>
      <c r="E711" s="16"/>
      <c r="F711" s="16"/>
      <c r="G711" s="16"/>
      <c r="H711" s="60"/>
      <c r="I711" s="60"/>
      <c r="J711" s="16"/>
    </row>
    <row r="712" spans="2:10" x14ac:dyDescent="0.3">
      <c r="B712" s="16"/>
      <c r="C712" s="60"/>
      <c r="D712" s="16"/>
      <c r="E712" s="16"/>
      <c r="F712" s="16"/>
      <c r="G712" s="16"/>
      <c r="H712" s="60"/>
      <c r="I712" s="60"/>
      <c r="J712" s="16"/>
    </row>
    <row r="713" spans="2:10" x14ac:dyDescent="0.3">
      <c r="B713" s="16"/>
      <c r="C713" s="60"/>
      <c r="D713" s="16"/>
      <c r="E713" s="16"/>
      <c r="F713" s="16"/>
      <c r="G713" s="16"/>
      <c r="H713" s="60"/>
      <c r="I713" s="60"/>
      <c r="J713" s="16"/>
    </row>
    <row r="714" spans="2:10" x14ac:dyDescent="0.3">
      <c r="B714" s="16"/>
      <c r="C714" s="60"/>
      <c r="D714" s="16"/>
      <c r="E714" s="16"/>
      <c r="F714" s="16"/>
      <c r="G714" s="16"/>
      <c r="H714" s="60"/>
      <c r="I714" s="60"/>
      <c r="J714" s="16"/>
    </row>
    <row r="715" spans="2:10" x14ac:dyDescent="0.3">
      <c r="B715" s="16"/>
      <c r="C715" s="60"/>
      <c r="D715" s="16"/>
      <c r="E715" s="16"/>
      <c r="F715" s="16"/>
      <c r="G715" s="16"/>
      <c r="H715" s="60"/>
      <c r="I715" s="60"/>
      <c r="J715" s="16"/>
    </row>
    <row r="716" spans="2:10" x14ac:dyDescent="0.3">
      <c r="B716" s="16"/>
      <c r="C716" s="60"/>
      <c r="D716" s="16"/>
      <c r="E716" s="16"/>
      <c r="F716" s="16"/>
      <c r="G716" s="16"/>
      <c r="H716" s="60"/>
      <c r="I716" s="60"/>
      <c r="J716" s="16"/>
    </row>
    <row r="717" spans="2:10" x14ac:dyDescent="0.3">
      <c r="B717" s="16"/>
      <c r="C717" s="60"/>
      <c r="D717" s="16"/>
      <c r="E717" s="16"/>
      <c r="F717" s="16"/>
      <c r="G717" s="16"/>
      <c r="H717" s="60"/>
      <c r="I717" s="60"/>
      <c r="J717" s="16"/>
    </row>
    <row r="718" spans="2:10" x14ac:dyDescent="0.3">
      <c r="B718" s="16"/>
      <c r="C718" s="60"/>
      <c r="D718" s="16"/>
      <c r="E718" s="16"/>
      <c r="F718" s="16"/>
      <c r="G718" s="16"/>
      <c r="H718" s="60"/>
      <c r="I718" s="60"/>
      <c r="J718" s="16"/>
    </row>
    <row r="719" spans="2:10" x14ac:dyDescent="0.3">
      <c r="B719" s="16"/>
      <c r="C719" s="60"/>
      <c r="D719" s="16"/>
      <c r="E719" s="16"/>
      <c r="F719" s="16"/>
      <c r="G719" s="16"/>
      <c r="H719" s="60"/>
      <c r="I719" s="60"/>
      <c r="J719" s="16"/>
    </row>
    <row r="720" spans="2:10" x14ac:dyDescent="0.3">
      <c r="B720" s="16"/>
      <c r="C720" s="60"/>
      <c r="D720" s="16"/>
      <c r="E720" s="16"/>
      <c r="F720" s="16"/>
      <c r="G720" s="16"/>
      <c r="H720" s="60"/>
      <c r="I720" s="60"/>
      <c r="J720" s="16"/>
    </row>
    <row r="721" spans="2:10" x14ac:dyDescent="0.3">
      <c r="B721" s="16"/>
      <c r="C721" s="60"/>
      <c r="D721" s="16"/>
      <c r="E721" s="16"/>
      <c r="F721" s="16"/>
      <c r="G721" s="16"/>
      <c r="H721" s="60"/>
      <c r="I721" s="60"/>
      <c r="J721" s="16"/>
    </row>
    <row r="722" spans="2:10" x14ac:dyDescent="0.3">
      <c r="B722" s="16"/>
      <c r="C722" s="60"/>
      <c r="D722" s="16"/>
      <c r="E722" s="16"/>
      <c r="F722" s="16"/>
      <c r="G722" s="16"/>
      <c r="H722" s="60"/>
      <c r="I722" s="60"/>
      <c r="J722" s="16"/>
    </row>
    <row r="723" spans="2:10" x14ac:dyDescent="0.3">
      <c r="B723" s="16"/>
      <c r="C723" s="60"/>
      <c r="D723" s="16"/>
      <c r="E723" s="16"/>
      <c r="F723" s="16"/>
      <c r="G723" s="16"/>
      <c r="H723" s="60"/>
      <c r="I723" s="60"/>
      <c r="J723" s="16"/>
    </row>
    <row r="724" spans="2:10" x14ac:dyDescent="0.3">
      <c r="B724" s="16"/>
      <c r="C724" s="60"/>
      <c r="D724" s="16"/>
      <c r="E724" s="16"/>
      <c r="F724" s="16"/>
      <c r="G724" s="16"/>
      <c r="H724" s="60"/>
      <c r="I724" s="60"/>
      <c r="J724" s="16"/>
    </row>
    <row r="725" spans="2:10" x14ac:dyDescent="0.3">
      <c r="B725" s="16"/>
      <c r="C725" s="60"/>
      <c r="D725" s="16"/>
      <c r="E725" s="16"/>
      <c r="F725" s="16"/>
      <c r="G725" s="16"/>
      <c r="H725" s="60"/>
      <c r="I725" s="60"/>
      <c r="J725" s="16"/>
    </row>
    <row r="726" spans="2:10" x14ac:dyDescent="0.3">
      <c r="B726" s="16"/>
      <c r="C726" s="60"/>
      <c r="D726" s="16"/>
      <c r="E726" s="16"/>
      <c r="F726" s="16"/>
      <c r="G726" s="16"/>
      <c r="H726" s="60"/>
      <c r="I726" s="60"/>
      <c r="J726" s="16"/>
    </row>
    <row r="727" spans="2:10" x14ac:dyDescent="0.3">
      <c r="B727" s="16"/>
      <c r="C727" s="60"/>
      <c r="D727" s="16"/>
      <c r="E727" s="16"/>
      <c r="F727" s="16"/>
      <c r="G727" s="16"/>
      <c r="H727" s="60"/>
      <c r="I727" s="60"/>
      <c r="J727" s="16"/>
    </row>
    <row r="728" spans="2:10" x14ac:dyDescent="0.3">
      <c r="B728" s="16"/>
      <c r="C728" s="60"/>
      <c r="D728" s="16"/>
      <c r="E728" s="16"/>
      <c r="F728" s="16"/>
      <c r="G728" s="16"/>
      <c r="H728" s="60"/>
      <c r="I728" s="60"/>
      <c r="J728" s="16"/>
    </row>
    <row r="729" spans="2:10" x14ac:dyDescent="0.3">
      <c r="B729" s="16"/>
      <c r="C729" s="60"/>
      <c r="D729" s="16"/>
      <c r="E729" s="16"/>
      <c r="F729" s="16"/>
      <c r="G729" s="16"/>
      <c r="H729" s="60"/>
      <c r="I729" s="60"/>
      <c r="J729" s="16"/>
    </row>
    <row r="730" spans="2:10" x14ac:dyDescent="0.3">
      <c r="B730" s="16"/>
      <c r="C730" s="60"/>
      <c r="D730" s="16"/>
      <c r="E730" s="16"/>
      <c r="F730" s="16"/>
      <c r="G730" s="16"/>
      <c r="H730" s="60"/>
      <c r="I730" s="60"/>
      <c r="J730" s="16"/>
    </row>
    <row r="731" spans="2:10" x14ac:dyDescent="0.3">
      <c r="B731" s="16"/>
      <c r="C731" s="60"/>
      <c r="D731" s="16"/>
      <c r="E731" s="16"/>
      <c r="F731" s="16"/>
      <c r="G731" s="16"/>
      <c r="H731" s="60"/>
      <c r="I731" s="60"/>
      <c r="J731" s="16"/>
    </row>
    <row r="732" spans="2:10" x14ac:dyDescent="0.3">
      <c r="B732" s="16"/>
      <c r="C732" s="60"/>
      <c r="D732" s="16"/>
      <c r="E732" s="16"/>
      <c r="F732" s="16"/>
      <c r="G732" s="16"/>
      <c r="H732" s="60"/>
      <c r="I732" s="60"/>
      <c r="J732" s="16"/>
    </row>
    <row r="733" spans="2:10" x14ac:dyDescent="0.3">
      <c r="B733" s="16"/>
      <c r="C733" s="60"/>
      <c r="D733" s="16"/>
      <c r="E733" s="16"/>
      <c r="F733" s="16"/>
      <c r="G733" s="16"/>
      <c r="H733" s="60"/>
      <c r="I733" s="60"/>
      <c r="J733" s="16"/>
    </row>
    <row r="734" spans="2:10" x14ac:dyDescent="0.3">
      <c r="B734" s="16"/>
      <c r="C734" s="60"/>
      <c r="D734" s="16"/>
      <c r="E734" s="16"/>
      <c r="F734" s="16"/>
      <c r="G734" s="16"/>
      <c r="H734" s="60"/>
      <c r="I734" s="60"/>
      <c r="J734" s="16"/>
    </row>
    <row r="735" spans="2:10" x14ac:dyDescent="0.3">
      <c r="B735" s="16"/>
      <c r="C735" s="60"/>
      <c r="D735" s="16"/>
      <c r="E735" s="16"/>
      <c r="F735" s="16"/>
      <c r="G735" s="16"/>
      <c r="H735" s="60"/>
      <c r="I735" s="60"/>
      <c r="J735" s="16"/>
    </row>
    <row r="736" spans="2:10" x14ac:dyDescent="0.3">
      <c r="B736" s="16"/>
      <c r="C736" s="60"/>
      <c r="D736" s="16"/>
      <c r="E736" s="16"/>
      <c r="F736" s="16"/>
      <c r="G736" s="16"/>
      <c r="H736" s="60"/>
      <c r="I736" s="60"/>
      <c r="J736" s="16"/>
    </row>
    <row r="737" spans="2:10" x14ac:dyDescent="0.3">
      <c r="B737" s="16"/>
      <c r="C737" s="60"/>
      <c r="D737" s="16"/>
      <c r="E737" s="16"/>
      <c r="F737" s="16"/>
      <c r="G737" s="16"/>
      <c r="H737" s="60"/>
      <c r="I737" s="60"/>
      <c r="J737" s="16"/>
    </row>
    <row r="738" spans="2:10" x14ac:dyDescent="0.3">
      <c r="B738" s="16"/>
      <c r="C738" s="60"/>
      <c r="D738" s="16"/>
      <c r="E738" s="16"/>
      <c r="F738" s="16"/>
      <c r="G738" s="16"/>
      <c r="H738" s="60"/>
      <c r="I738" s="60"/>
      <c r="J738" s="16"/>
    </row>
    <row r="739" spans="2:10" x14ac:dyDescent="0.3">
      <c r="B739" s="16"/>
      <c r="C739" s="60"/>
      <c r="D739" s="16"/>
      <c r="E739" s="16"/>
      <c r="F739" s="16"/>
      <c r="G739" s="16"/>
      <c r="H739" s="60"/>
      <c r="I739" s="60"/>
      <c r="J739" s="16"/>
    </row>
    <row r="740" spans="2:10" x14ac:dyDescent="0.3">
      <c r="B740" s="16"/>
      <c r="C740" s="60"/>
      <c r="D740" s="16"/>
      <c r="E740" s="16"/>
      <c r="F740" s="16"/>
      <c r="G740" s="16"/>
      <c r="H740" s="60"/>
      <c r="I740" s="60"/>
      <c r="J740" s="16"/>
    </row>
    <row r="741" spans="2:10" x14ac:dyDescent="0.3">
      <c r="B741" s="16"/>
      <c r="C741" s="60"/>
      <c r="D741" s="16"/>
      <c r="E741" s="16"/>
      <c r="F741" s="16"/>
      <c r="G741" s="16"/>
      <c r="H741" s="60"/>
      <c r="I741" s="60"/>
      <c r="J741" s="16"/>
    </row>
    <row r="742" spans="2:10" x14ac:dyDescent="0.3">
      <c r="B742" s="16"/>
      <c r="C742" s="60"/>
      <c r="D742" s="16"/>
      <c r="E742" s="16"/>
      <c r="F742" s="16"/>
      <c r="G742" s="16"/>
      <c r="H742" s="60"/>
      <c r="I742" s="60"/>
      <c r="J742" s="16"/>
    </row>
    <row r="743" spans="2:10" x14ac:dyDescent="0.3">
      <c r="B743" s="16"/>
      <c r="C743" s="60"/>
      <c r="D743" s="16"/>
      <c r="E743" s="16"/>
      <c r="F743" s="16"/>
      <c r="G743" s="16"/>
      <c r="H743" s="60"/>
      <c r="I743" s="60"/>
      <c r="J743" s="16"/>
    </row>
    <row r="744" spans="2:10" x14ac:dyDescent="0.3">
      <c r="B744" s="16"/>
      <c r="C744" s="60"/>
      <c r="D744" s="16"/>
      <c r="E744" s="16"/>
      <c r="F744" s="16"/>
      <c r="G744" s="16"/>
      <c r="H744" s="60"/>
      <c r="I744" s="60"/>
      <c r="J744" s="16"/>
    </row>
    <row r="745" spans="2:10" x14ac:dyDescent="0.3">
      <c r="B745" s="16"/>
      <c r="C745" s="60"/>
      <c r="D745" s="16"/>
      <c r="E745" s="16"/>
      <c r="F745" s="16"/>
      <c r="G745" s="16"/>
      <c r="H745" s="60"/>
      <c r="I745" s="60"/>
      <c r="J745" s="16"/>
    </row>
    <row r="746" spans="2:10" x14ac:dyDescent="0.3">
      <c r="B746" s="16"/>
      <c r="C746" s="60"/>
      <c r="D746" s="16"/>
      <c r="E746" s="16"/>
      <c r="F746" s="16"/>
      <c r="G746" s="16"/>
      <c r="H746" s="60"/>
      <c r="I746" s="60"/>
      <c r="J746" s="16"/>
    </row>
    <row r="747" spans="2:10" x14ac:dyDescent="0.3">
      <c r="B747" s="16"/>
      <c r="C747" s="60"/>
      <c r="D747" s="16"/>
      <c r="E747" s="16"/>
      <c r="F747" s="16"/>
      <c r="G747" s="16"/>
      <c r="H747" s="60"/>
      <c r="I747" s="60"/>
      <c r="J747" s="16"/>
    </row>
    <row r="748" spans="2:10" x14ac:dyDescent="0.3">
      <c r="B748" s="16"/>
      <c r="C748" s="60"/>
      <c r="D748" s="16"/>
      <c r="E748" s="16"/>
      <c r="F748" s="16"/>
      <c r="G748" s="16"/>
      <c r="H748" s="60"/>
      <c r="I748" s="60"/>
      <c r="J748" s="16"/>
    </row>
    <row r="749" spans="2:10" x14ac:dyDescent="0.3">
      <c r="B749" s="16"/>
      <c r="C749" s="60"/>
      <c r="D749" s="16"/>
      <c r="E749" s="16"/>
      <c r="F749" s="16"/>
      <c r="G749" s="16"/>
      <c r="H749" s="60"/>
      <c r="I749" s="60"/>
      <c r="J749" s="16"/>
    </row>
    <row r="750" spans="2:10" x14ac:dyDescent="0.3">
      <c r="B750" s="16"/>
      <c r="C750" s="60"/>
      <c r="D750" s="16"/>
      <c r="E750" s="16"/>
      <c r="F750" s="16"/>
      <c r="G750" s="16"/>
      <c r="H750" s="60"/>
      <c r="I750" s="60"/>
      <c r="J750" s="16"/>
    </row>
    <row r="751" spans="2:10" x14ac:dyDescent="0.3">
      <c r="B751" s="16"/>
      <c r="C751" s="60"/>
      <c r="D751" s="16"/>
      <c r="E751" s="16"/>
      <c r="F751" s="16"/>
      <c r="G751" s="16"/>
      <c r="H751" s="60"/>
      <c r="I751" s="60"/>
      <c r="J751" s="16"/>
    </row>
    <row r="752" spans="2:10" x14ac:dyDescent="0.3">
      <c r="B752" s="16"/>
      <c r="C752" s="60"/>
      <c r="D752" s="16"/>
      <c r="E752" s="16"/>
      <c r="F752" s="16"/>
      <c r="G752" s="16"/>
      <c r="H752" s="60"/>
      <c r="I752" s="60"/>
      <c r="J752" s="16"/>
    </row>
    <row r="753" spans="2:10" x14ac:dyDescent="0.3">
      <c r="B753" s="16"/>
      <c r="C753" s="60"/>
      <c r="D753" s="16"/>
      <c r="E753" s="16"/>
      <c r="F753" s="16"/>
      <c r="G753" s="16"/>
      <c r="H753" s="60"/>
      <c r="I753" s="60"/>
      <c r="J753" s="16"/>
    </row>
    <row r="754" spans="2:10" x14ac:dyDescent="0.3">
      <c r="B754" s="16"/>
      <c r="C754" s="60"/>
      <c r="D754" s="16"/>
      <c r="E754" s="16"/>
      <c r="F754" s="16"/>
      <c r="G754" s="16"/>
      <c r="H754" s="60"/>
      <c r="I754" s="60"/>
      <c r="J754" s="16"/>
    </row>
    <row r="755" spans="2:10" x14ac:dyDescent="0.3">
      <c r="B755" s="16"/>
      <c r="C755" s="60"/>
      <c r="D755" s="16"/>
      <c r="E755" s="16"/>
      <c r="F755" s="16"/>
      <c r="G755" s="16"/>
      <c r="H755" s="60"/>
      <c r="I755" s="60"/>
      <c r="J755" s="16"/>
    </row>
    <row r="756" spans="2:10" x14ac:dyDescent="0.3">
      <c r="B756" s="16"/>
      <c r="C756" s="60"/>
      <c r="D756" s="16"/>
      <c r="E756" s="16"/>
      <c r="F756" s="16"/>
      <c r="G756" s="16"/>
      <c r="H756" s="60"/>
      <c r="I756" s="60"/>
      <c r="J756" s="16"/>
    </row>
    <row r="757" spans="2:10" x14ac:dyDescent="0.3">
      <c r="B757" s="16"/>
      <c r="C757" s="60"/>
      <c r="D757" s="16"/>
      <c r="E757" s="16"/>
      <c r="F757" s="16"/>
      <c r="G757" s="16"/>
      <c r="H757" s="60"/>
      <c r="I757" s="60"/>
      <c r="J757" s="16"/>
    </row>
    <row r="758" spans="2:10" x14ac:dyDescent="0.3">
      <c r="B758" s="16"/>
      <c r="C758" s="60"/>
      <c r="D758" s="16"/>
      <c r="E758" s="16"/>
      <c r="F758" s="16"/>
      <c r="G758" s="16"/>
      <c r="H758" s="60"/>
      <c r="I758" s="60"/>
      <c r="J758" s="16"/>
    </row>
    <row r="759" spans="2:10" x14ac:dyDescent="0.3">
      <c r="B759" s="16"/>
      <c r="C759" s="60"/>
      <c r="D759" s="16"/>
      <c r="E759" s="16"/>
      <c r="F759" s="16"/>
      <c r="G759" s="16"/>
      <c r="H759" s="60"/>
      <c r="I759" s="60"/>
      <c r="J759" s="16"/>
    </row>
    <row r="760" spans="2:10" x14ac:dyDescent="0.3">
      <c r="B760" s="16"/>
      <c r="C760" s="60"/>
      <c r="D760" s="16"/>
      <c r="E760" s="16"/>
      <c r="F760" s="16"/>
      <c r="G760" s="16"/>
      <c r="H760" s="60"/>
      <c r="I760" s="60"/>
      <c r="J760" s="16"/>
    </row>
    <row r="761" spans="2:10" x14ac:dyDescent="0.3">
      <c r="B761" s="16"/>
      <c r="C761" s="60"/>
      <c r="D761" s="16"/>
      <c r="E761" s="16"/>
      <c r="F761" s="16"/>
      <c r="G761" s="16"/>
      <c r="H761" s="60"/>
      <c r="I761" s="60"/>
      <c r="J761" s="16"/>
    </row>
    <row r="762" spans="2:10" x14ac:dyDescent="0.3">
      <c r="B762" s="16"/>
      <c r="C762" s="60"/>
      <c r="D762" s="16"/>
      <c r="E762" s="16"/>
      <c r="F762" s="16"/>
      <c r="G762" s="16"/>
      <c r="H762" s="60"/>
      <c r="I762" s="60"/>
      <c r="J762" s="16"/>
    </row>
    <row r="763" spans="2:10" x14ac:dyDescent="0.3">
      <c r="B763" s="16"/>
      <c r="C763" s="60"/>
      <c r="D763" s="16"/>
      <c r="E763" s="16"/>
      <c r="F763" s="16"/>
      <c r="G763" s="16"/>
      <c r="H763" s="60"/>
      <c r="I763" s="60"/>
      <c r="J763" s="16"/>
    </row>
    <row r="764" spans="2:10" x14ac:dyDescent="0.3">
      <c r="B764" s="16"/>
      <c r="C764" s="60"/>
      <c r="D764" s="16"/>
      <c r="E764" s="16"/>
      <c r="F764" s="16"/>
      <c r="G764" s="16"/>
      <c r="H764" s="60"/>
      <c r="I764" s="60"/>
      <c r="J764" s="16"/>
    </row>
    <row r="765" spans="2:10" x14ac:dyDescent="0.3">
      <c r="B765" s="16"/>
      <c r="C765" s="60"/>
      <c r="D765" s="16"/>
      <c r="E765" s="16"/>
      <c r="F765" s="16"/>
      <c r="G765" s="16"/>
      <c r="H765" s="60"/>
      <c r="I765" s="60"/>
      <c r="J765" s="16"/>
    </row>
    <row r="766" spans="2:10" x14ac:dyDescent="0.3">
      <c r="B766" s="16"/>
      <c r="C766" s="60"/>
      <c r="D766" s="16"/>
      <c r="E766" s="16"/>
      <c r="F766" s="16"/>
      <c r="G766" s="16"/>
      <c r="H766" s="60"/>
      <c r="I766" s="60"/>
      <c r="J766" s="16"/>
    </row>
    <row r="767" spans="2:10" x14ac:dyDescent="0.3">
      <c r="B767" s="16"/>
      <c r="C767" s="60"/>
      <c r="D767" s="16"/>
      <c r="E767" s="16"/>
      <c r="F767" s="16"/>
      <c r="G767" s="16"/>
      <c r="H767" s="60"/>
      <c r="I767" s="60"/>
      <c r="J767" s="16"/>
    </row>
    <row r="768" spans="2:10" x14ac:dyDescent="0.3">
      <c r="B768" s="16"/>
      <c r="C768" s="60"/>
      <c r="D768" s="16"/>
      <c r="E768" s="16"/>
      <c r="F768" s="16"/>
      <c r="G768" s="16"/>
      <c r="H768" s="60"/>
      <c r="I768" s="60"/>
      <c r="J768" s="16"/>
    </row>
    <row r="769" spans="2:10" x14ac:dyDescent="0.3">
      <c r="B769" s="16"/>
      <c r="C769" s="60"/>
      <c r="D769" s="16"/>
      <c r="E769" s="16"/>
      <c r="F769" s="16"/>
      <c r="G769" s="16"/>
      <c r="H769" s="60"/>
      <c r="I769" s="60"/>
      <c r="J769" s="16"/>
    </row>
    <row r="770" spans="2:10" x14ac:dyDescent="0.3">
      <c r="B770" s="16"/>
      <c r="C770" s="60"/>
      <c r="D770" s="16"/>
      <c r="E770" s="16"/>
      <c r="F770" s="16"/>
      <c r="G770" s="16"/>
      <c r="H770" s="60"/>
      <c r="I770" s="60"/>
      <c r="J770" s="16"/>
    </row>
    <row r="771" spans="2:10" x14ac:dyDescent="0.3">
      <c r="B771" s="16"/>
      <c r="C771" s="60"/>
      <c r="D771" s="16"/>
      <c r="E771" s="16"/>
      <c r="F771" s="16"/>
      <c r="G771" s="16"/>
      <c r="H771" s="60"/>
      <c r="I771" s="60"/>
      <c r="J771" s="16"/>
    </row>
    <row r="772" spans="2:10" x14ac:dyDescent="0.3">
      <c r="B772" s="16"/>
      <c r="C772" s="60"/>
      <c r="D772" s="16"/>
      <c r="E772" s="16"/>
      <c r="F772" s="16"/>
      <c r="G772" s="16"/>
      <c r="H772" s="60"/>
      <c r="I772" s="60"/>
      <c r="J772" s="16"/>
    </row>
    <row r="773" spans="2:10" x14ac:dyDescent="0.3">
      <c r="B773" s="16"/>
      <c r="C773" s="60"/>
      <c r="D773" s="16"/>
      <c r="E773" s="16"/>
      <c r="F773" s="16"/>
      <c r="G773" s="16"/>
      <c r="H773" s="60"/>
      <c r="I773" s="60"/>
      <c r="J773" s="16"/>
    </row>
    <row r="774" spans="2:10" x14ac:dyDescent="0.3">
      <c r="B774" s="16"/>
      <c r="C774" s="60"/>
      <c r="D774" s="16"/>
      <c r="E774" s="16"/>
      <c r="F774" s="16"/>
      <c r="G774" s="16"/>
      <c r="H774" s="60"/>
      <c r="I774" s="60"/>
      <c r="J774" s="16"/>
    </row>
    <row r="775" spans="2:10" x14ac:dyDescent="0.3">
      <c r="B775" s="16"/>
      <c r="C775" s="60"/>
      <c r="D775" s="16"/>
      <c r="E775" s="16"/>
      <c r="F775" s="16"/>
      <c r="G775" s="16"/>
      <c r="H775" s="60"/>
      <c r="I775" s="60"/>
      <c r="J775" s="16"/>
    </row>
    <row r="776" spans="2:10" x14ac:dyDescent="0.3">
      <c r="B776" s="16"/>
      <c r="C776" s="60"/>
      <c r="D776" s="16"/>
      <c r="E776" s="16"/>
      <c r="F776" s="16"/>
      <c r="G776" s="16"/>
      <c r="H776" s="60"/>
      <c r="I776" s="60"/>
      <c r="J776" s="16"/>
    </row>
    <row r="777" spans="2:10" x14ac:dyDescent="0.3">
      <c r="B777" s="16"/>
      <c r="C777" s="60"/>
      <c r="D777" s="16"/>
      <c r="E777" s="16"/>
      <c r="F777" s="16"/>
      <c r="G777" s="16"/>
      <c r="H777" s="60"/>
      <c r="I777" s="60"/>
      <c r="J777" s="16"/>
    </row>
    <row r="778" spans="2:10" x14ac:dyDescent="0.3">
      <c r="B778" s="16"/>
      <c r="C778" s="60"/>
      <c r="D778" s="16"/>
      <c r="E778" s="16"/>
      <c r="F778" s="16"/>
      <c r="G778" s="16"/>
      <c r="H778" s="60"/>
      <c r="I778" s="60"/>
      <c r="J778" s="16"/>
    </row>
    <row r="779" spans="2:10" x14ac:dyDescent="0.3">
      <c r="B779" s="16"/>
      <c r="C779" s="60"/>
      <c r="D779" s="16"/>
      <c r="E779" s="16"/>
      <c r="F779" s="16"/>
      <c r="G779" s="16"/>
      <c r="H779" s="60"/>
      <c r="I779" s="60"/>
      <c r="J779" s="16"/>
    </row>
    <row r="780" spans="2:10" x14ac:dyDescent="0.3">
      <c r="B780" s="16"/>
      <c r="C780" s="60"/>
      <c r="D780" s="16"/>
      <c r="E780" s="16"/>
      <c r="F780" s="16"/>
      <c r="G780" s="16"/>
      <c r="H780" s="60"/>
      <c r="I780" s="60"/>
      <c r="J780" s="16"/>
    </row>
    <row r="781" spans="2:10" x14ac:dyDescent="0.3">
      <c r="B781" s="16"/>
      <c r="C781" s="60"/>
      <c r="D781" s="16"/>
      <c r="E781" s="16"/>
      <c r="F781" s="16"/>
      <c r="G781" s="16"/>
      <c r="H781" s="60"/>
      <c r="I781" s="60"/>
      <c r="J781" s="16"/>
    </row>
    <row r="782" spans="2:10" x14ac:dyDescent="0.3">
      <c r="B782" s="16"/>
      <c r="C782" s="60"/>
      <c r="D782" s="16"/>
      <c r="E782" s="16"/>
      <c r="F782" s="16"/>
      <c r="G782" s="16"/>
      <c r="H782" s="60"/>
      <c r="I782" s="60"/>
      <c r="J782" s="16"/>
    </row>
    <row r="783" spans="2:10" x14ac:dyDescent="0.3">
      <c r="B783" s="16"/>
      <c r="C783" s="60"/>
      <c r="D783" s="16"/>
      <c r="E783" s="16"/>
      <c r="F783" s="16"/>
      <c r="G783" s="16"/>
      <c r="H783" s="60"/>
      <c r="I783" s="60"/>
      <c r="J783" s="16"/>
    </row>
    <row r="784" spans="2:10" x14ac:dyDescent="0.3">
      <c r="B784" s="16"/>
      <c r="C784" s="60"/>
      <c r="D784" s="16"/>
      <c r="E784" s="16"/>
      <c r="F784" s="16"/>
      <c r="G784" s="16"/>
      <c r="H784" s="60"/>
      <c r="I784" s="60"/>
      <c r="J784" s="16"/>
    </row>
    <row r="785" spans="2:10" x14ac:dyDescent="0.3">
      <c r="B785" s="16"/>
      <c r="C785" s="60"/>
      <c r="D785" s="16"/>
      <c r="E785" s="16"/>
      <c r="F785" s="16"/>
      <c r="G785" s="16"/>
      <c r="H785" s="60"/>
      <c r="I785" s="60"/>
      <c r="J785" s="16"/>
    </row>
    <row r="786" spans="2:10" x14ac:dyDescent="0.3">
      <c r="B786" s="16"/>
      <c r="C786" s="60"/>
      <c r="D786" s="16"/>
      <c r="E786" s="16"/>
      <c r="F786" s="16"/>
      <c r="G786" s="16"/>
      <c r="H786" s="60"/>
      <c r="I786" s="60"/>
      <c r="J786" s="16"/>
    </row>
    <row r="787" spans="2:10" x14ac:dyDescent="0.3">
      <c r="B787" s="16"/>
      <c r="C787" s="60"/>
      <c r="D787" s="16"/>
      <c r="E787" s="16"/>
      <c r="F787" s="16"/>
      <c r="G787" s="16"/>
      <c r="H787" s="60"/>
      <c r="I787" s="60"/>
      <c r="J787" s="16"/>
    </row>
    <row r="788" spans="2:10" x14ac:dyDescent="0.3">
      <c r="B788" s="16"/>
      <c r="C788" s="60"/>
      <c r="D788" s="16"/>
      <c r="E788" s="16"/>
      <c r="F788" s="16"/>
      <c r="G788" s="16"/>
      <c r="H788" s="60"/>
      <c r="I788" s="60"/>
      <c r="J788" s="16"/>
    </row>
    <row r="789" spans="2:10" x14ac:dyDescent="0.3">
      <c r="B789" s="16"/>
      <c r="C789" s="60"/>
      <c r="D789" s="16"/>
      <c r="E789" s="16"/>
      <c r="F789" s="16"/>
      <c r="G789" s="16"/>
      <c r="H789" s="60"/>
      <c r="I789" s="60"/>
      <c r="J789" s="16"/>
    </row>
    <row r="790" spans="2:10" x14ac:dyDescent="0.3">
      <c r="B790" s="16"/>
      <c r="C790" s="60"/>
      <c r="D790" s="16"/>
      <c r="E790" s="16"/>
      <c r="F790" s="16"/>
      <c r="G790" s="16"/>
      <c r="H790" s="60"/>
      <c r="I790" s="60"/>
      <c r="J790" s="16"/>
    </row>
    <row r="791" spans="2:10" x14ac:dyDescent="0.3">
      <c r="B791" s="16"/>
      <c r="C791" s="60"/>
      <c r="D791" s="16"/>
      <c r="E791" s="16"/>
      <c r="F791" s="16"/>
      <c r="G791" s="16"/>
      <c r="H791" s="60"/>
      <c r="I791" s="60"/>
      <c r="J791" s="16"/>
    </row>
    <row r="792" spans="2:10" x14ac:dyDescent="0.3">
      <c r="B792" s="16"/>
      <c r="C792" s="60"/>
      <c r="D792" s="16"/>
      <c r="E792" s="16"/>
      <c r="F792" s="16"/>
      <c r="G792" s="16"/>
      <c r="H792" s="60"/>
      <c r="I792" s="60"/>
      <c r="J792" s="16"/>
    </row>
    <row r="793" spans="2:10" x14ac:dyDescent="0.3">
      <c r="B793" s="16"/>
      <c r="C793" s="60"/>
      <c r="D793" s="16"/>
      <c r="E793" s="16"/>
      <c r="F793" s="16"/>
      <c r="G793" s="16"/>
      <c r="H793" s="60"/>
      <c r="I793" s="60"/>
      <c r="J793" s="16"/>
    </row>
    <row r="794" spans="2:10" x14ac:dyDescent="0.3">
      <c r="B794" s="16"/>
      <c r="C794" s="60"/>
      <c r="D794" s="16"/>
      <c r="E794" s="16"/>
      <c r="F794" s="16"/>
      <c r="G794" s="16"/>
      <c r="H794" s="60"/>
      <c r="I794" s="60"/>
      <c r="J794" s="16"/>
    </row>
    <row r="795" spans="2:10" x14ac:dyDescent="0.3">
      <c r="B795" s="16"/>
      <c r="C795" s="60"/>
      <c r="D795" s="16"/>
      <c r="E795" s="16"/>
      <c r="F795" s="16"/>
      <c r="G795" s="16"/>
      <c r="H795" s="60"/>
      <c r="I795" s="60"/>
      <c r="J795" s="16"/>
    </row>
    <row r="796" spans="2:10" x14ac:dyDescent="0.3">
      <c r="B796" s="16"/>
      <c r="C796" s="60"/>
      <c r="D796" s="16"/>
      <c r="E796" s="16"/>
      <c r="F796" s="16"/>
      <c r="G796" s="16"/>
      <c r="H796" s="60"/>
      <c r="I796" s="60"/>
      <c r="J796" s="16"/>
    </row>
    <row r="797" spans="2:10" x14ac:dyDescent="0.3">
      <c r="B797" s="16"/>
      <c r="C797" s="60"/>
      <c r="D797" s="16"/>
      <c r="E797" s="16"/>
      <c r="F797" s="16"/>
      <c r="G797" s="16"/>
      <c r="H797" s="60"/>
      <c r="I797" s="60"/>
      <c r="J797" s="16"/>
    </row>
    <row r="798" spans="2:10" x14ac:dyDescent="0.3">
      <c r="B798" s="16"/>
      <c r="C798" s="60"/>
      <c r="D798" s="16"/>
      <c r="E798" s="16"/>
      <c r="F798" s="16"/>
      <c r="G798" s="16"/>
      <c r="H798" s="60"/>
      <c r="I798" s="60"/>
      <c r="J798" s="16"/>
    </row>
    <row r="799" spans="2:10" x14ac:dyDescent="0.3">
      <c r="B799" s="16"/>
      <c r="C799" s="60"/>
      <c r="D799" s="16"/>
      <c r="E799" s="16"/>
      <c r="F799" s="16"/>
      <c r="G799" s="16"/>
      <c r="H799" s="60"/>
      <c r="I799" s="60"/>
      <c r="J799" s="16"/>
    </row>
    <row r="800" spans="2:10" x14ac:dyDescent="0.3">
      <c r="B800" s="16"/>
      <c r="C800" s="60"/>
      <c r="D800" s="16"/>
      <c r="E800" s="16"/>
      <c r="F800" s="16"/>
      <c r="G800" s="16"/>
      <c r="H800" s="60"/>
      <c r="I800" s="60"/>
      <c r="J800" s="16"/>
    </row>
    <row r="801" spans="2:10" x14ac:dyDescent="0.3">
      <c r="B801" s="16"/>
      <c r="C801" s="60"/>
      <c r="D801" s="16"/>
      <c r="E801" s="16"/>
      <c r="F801" s="16"/>
      <c r="G801" s="16"/>
      <c r="H801" s="60"/>
      <c r="I801" s="60"/>
      <c r="J801" s="16"/>
    </row>
    <row r="802" spans="2:10" x14ac:dyDescent="0.3">
      <c r="B802" s="16"/>
      <c r="C802" s="60"/>
      <c r="D802" s="16"/>
      <c r="E802" s="16"/>
      <c r="F802" s="16"/>
      <c r="G802" s="16"/>
      <c r="H802" s="60"/>
      <c r="I802" s="60"/>
      <c r="J802" s="16"/>
    </row>
    <row r="803" spans="2:10" x14ac:dyDescent="0.3">
      <c r="B803" s="16"/>
      <c r="C803" s="60"/>
      <c r="D803" s="16"/>
      <c r="E803" s="16"/>
      <c r="F803" s="16"/>
      <c r="G803" s="16"/>
      <c r="H803" s="60"/>
      <c r="I803" s="60"/>
      <c r="J803" s="16"/>
    </row>
    <row r="804" spans="2:10" x14ac:dyDescent="0.3">
      <c r="B804" s="16"/>
      <c r="C804" s="60"/>
      <c r="D804" s="16"/>
      <c r="E804" s="16"/>
      <c r="F804" s="16"/>
      <c r="G804" s="16"/>
      <c r="H804" s="60"/>
      <c r="I804" s="60"/>
      <c r="J804" s="16"/>
    </row>
    <row r="805" spans="2:10" x14ac:dyDescent="0.3">
      <c r="B805" s="16"/>
      <c r="C805" s="60"/>
      <c r="D805" s="16"/>
      <c r="E805" s="16"/>
      <c r="F805" s="16"/>
      <c r="G805" s="16"/>
      <c r="H805" s="60"/>
      <c r="I805" s="60"/>
      <c r="J805" s="16"/>
    </row>
    <row r="806" spans="2:10" x14ac:dyDescent="0.3">
      <c r="B806" s="16"/>
      <c r="C806" s="60"/>
      <c r="D806" s="16"/>
      <c r="E806" s="16"/>
      <c r="F806" s="16"/>
      <c r="G806" s="16"/>
      <c r="H806" s="60"/>
      <c r="I806" s="60"/>
      <c r="J806" s="16"/>
    </row>
    <row r="807" spans="2:10" x14ac:dyDescent="0.3">
      <c r="B807" s="16"/>
      <c r="C807" s="60"/>
      <c r="D807" s="16"/>
      <c r="E807" s="16"/>
      <c r="F807" s="16"/>
      <c r="G807" s="16"/>
      <c r="H807" s="60"/>
      <c r="I807" s="60"/>
      <c r="J807" s="16"/>
    </row>
    <row r="808" spans="2:10" x14ac:dyDescent="0.3">
      <c r="B808" s="16"/>
      <c r="C808" s="60"/>
      <c r="D808" s="16"/>
      <c r="E808" s="16"/>
      <c r="F808" s="16"/>
      <c r="G808" s="16"/>
      <c r="H808" s="60"/>
      <c r="I808" s="60"/>
      <c r="J808" s="16"/>
    </row>
    <row r="809" spans="2:10" x14ac:dyDescent="0.3">
      <c r="B809" s="16"/>
      <c r="C809" s="60"/>
      <c r="D809" s="16"/>
      <c r="E809" s="16"/>
      <c r="F809" s="16"/>
      <c r="G809" s="16"/>
      <c r="H809" s="60"/>
      <c r="I809" s="60"/>
      <c r="J809" s="16"/>
    </row>
    <row r="810" spans="2:10" x14ac:dyDescent="0.3">
      <c r="B810" s="16"/>
      <c r="C810" s="60"/>
      <c r="D810" s="16"/>
      <c r="E810" s="16"/>
      <c r="F810" s="16"/>
      <c r="G810" s="16"/>
      <c r="H810" s="60"/>
      <c r="I810" s="60"/>
      <c r="J810" s="16"/>
    </row>
    <row r="811" spans="2:10" x14ac:dyDescent="0.3">
      <c r="B811" s="16"/>
      <c r="C811" s="60"/>
      <c r="D811" s="16"/>
      <c r="E811" s="16"/>
      <c r="F811" s="16"/>
      <c r="G811" s="16"/>
      <c r="H811" s="60"/>
      <c r="I811" s="60"/>
      <c r="J811" s="16"/>
    </row>
    <row r="812" spans="2:10" x14ac:dyDescent="0.3">
      <c r="B812" s="16"/>
      <c r="C812" s="60"/>
      <c r="D812" s="16"/>
      <c r="E812" s="16"/>
      <c r="F812" s="16"/>
      <c r="G812" s="16"/>
      <c r="H812" s="60"/>
      <c r="I812" s="60"/>
      <c r="J812" s="16"/>
    </row>
    <row r="813" spans="2:10" x14ac:dyDescent="0.3">
      <c r="B813" s="16"/>
      <c r="C813" s="60"/>
      <c r="D813" s="16"/>
      <c r="E813" s="16"/>
      <c r="F813" s="16"/>
      <c r="G813" s="16"/>
      <c r="H813" s="60"/>
      <c r="I813" s="60"/>
      <c r="J813" s="16"/>
    </row>
    <row r="814" spans="2:10" x14ac:dyDescent="0.3">
      <c r="B814" s="16"/>
      <c r="C814" s="60"/>
      <c r="D814" s="16"/>
      <c r="E814" s="16"/>
      <c r="F814" s="16"/>
      <c r="G814" s="16"/>
      <c r="H814" s="60"/>
      <c r="I814" s="60"/>
      <c r="J814" s="16"/>
    </row>
    <row r="815" spans="2:10" x14ac:dyDescent="0.3">
      <c r="B815" s="16"/>
      <c r="C815" s="60"/>
      <c r="D815" s="16"/>
      <c r="E815" s="16"/>
      <c r="F815" s="16"/>
      <c r="G815" s="16"/>
      <c r="H815" s="60"/>
      <c r="I815" s="60"/>
      <c r="J815" s="16"/>
    </row>
    <row r="816" spans="2:10" x14ac:dyDescent="0.3">
      <c r="B816" s="16"/>
      <c r="C816" s="60"/>
      <c r="D816" s="16"/>
      <c r="E816" s="16"/>
      <c r="F816" s="16"/>
      <c r="G816" s="16"/>
      <c r="H816" s="60"/>
      <c r="I816" s="60"/>
      <c r="J816" s="16"/>
    </row>
    <row r="817" spans="2:10" x14ac:dyDescent="0.3">
      <c r="B817" s="16"/>
      <c r="C817" s="60"/>
      <c r="D817" s="16"/>
      <c r="E817" s="16"/>
      <c r="F817" s="16"/>
      <c r="G817" s="16"/>
      <c r="H817" s="60"/>
      <c r="I817" s="60"/>
      <c r="J817" s="16"/>
    </row>
    <row r="818" spans="2:10" x14ac:dyDescent="0.3">
      <c r="B818" s="16"/>
      <c r="C818" s="60"/>
      <c r="D818" s="16"/>
      <c r="E818" s="16"/>
      <c r="F818" s="16"/>
      <c r="G818" s="16"/>
      <c r="H818" s="60"/>
      <c r="I818" s="60"/>
      <c r="J818" s="16"/>
    </row>
    <row r="819" spans="2:10" x14ac:dyDescent="0.3">
      <c r="B819" s="16"/>
      <c r="C819" s="60"/>
      <c r="D819" s="16"/>
      <c r="E819" s="16"/>
      <c r="F819" s="16"/>
      <c r="G819" s="16"/>
      <c r="H819" s="60"/>
      <c r="I819" s="60"/>
      <c r="J819" s="16"/>
    </row>
    <row r="820" spans="2:10" x14ac:dyDescent="0.3">
      <c r="B820" s="16"/>
      <c r="C820" s="60"/>
      <c r="D820" s="16"/>
      <c r="E820" s="16"/>
      <c r="F820" s="16"/>
      <c r="G820" s="16"/>
      <c r="H820" s="60"/>
      <c r="I820" s="60"/>
      <c r="J820" s="16"/>
    </row>
    <row r="821" spans="2:10" x14ac:dyDescent="0.3">
      <c r="B821" s="16"/>
      <c r="C821" s="60"/>
      <c r="D821" s="16"/>
      <c r="E821" s="16"/>
      <c r="F821" s="16"/>
      <c r="G821" s="16"/>
      <c r="H821" s="60"/>
      <c r="I821" s="60"/>
      <c r="J821" s="16"/>
    </row>
    <row r="822" spans="2:10" x14ac:dyDescent="0.3">
      <c r="B822" s="16"/>
      <c r="C822" s="60"/>
      <c r="D822" s="16"/>
      <c r="E822" s="16"/>
      <c r="F822" s="16"/>
      <c r="G822" s="16"/>
      <c r="H822" s="60"/>
      <c r="I822" s="60"/>
      <c r="J822" s="16"/>
    </row>
    <row r="823" spans="2:10" x14ac:dyDescent="0.3">
      <c r="B823" s="16"/>
      <c r="C823" s="60"/>
      <c r="D823" s="16"/>
      <c r="E823" s="16"/>
      <c r="F823" s="16"/>
      <c r="G823" s="16"/>
      <c r="H823" s="60"/>
      <c r="I823" s="60"/>
      <c r="J823" s="16"/>
    </row>
    <row r="824" spans="2:10" x14ac:dyDescent="0.3">
      <c r="B824" s="16"/>
      <c r="C824" s="60"/>
      <c r="D824" s="16"/>
      <c r="E824" s="16"/>
      <c r="F824" s="16"/>
      <c r="G824" s="16"/>
      <c r="H824" s="60"/>
      <c r="I824" s="60"/>
      <c r="J824" s="16"/>
    </row>
    <row r="825" spans="2:10" x14ac:dyDescent="0.3">
      <c r="B825" s="16"/>
      <c r="C825" s="60"/>
      <c r="D825" s="16"/>
      <c r="E825" s="16"/>
      <c r="F825" s="16"/>
      <c r="G825" s="16"/>
      <c r="H825" s="60"/>
      <c r="I825" s="60"/>
      <c r="J825" s="16"/>
    </row>
    <row r="826" spans="2:10" x14ac:dyDescent="0.3">
      <c r="B826" s="16"/>
      <c r="C826" s="60"/>
      <c r="D826" s="16"/>
      <c r="E826" s="16"/>
      <c r="F826" s="16"/>
      <c r="G826" s="16"/>
      <c r="H826" s="60"/>
      <c r="I826" s="60"/>
      <c r="J826" s="16"/>
    </row>
    <row r="827" spans="2:10" x14ac:dyDescent="0.3">
      <c r="B827" s="16"/>
      <c r="C827" s="60"/>
      <c r="D827" s="16"/>
      <c r="E827" s="16"/>
      <c r="F827" s="16"/>
      <c r="G827" s="16"/>
      <c r="H827" s="60"/>
      <c r="I827" s="60"/>
      <c r="J827" s="16"/>
    </row>
    <row r="828" spans="2:10" x14ac:dyDescent="0.3">
      <c r="B828" s="16"/>
      <c r="C828" s="60"/>
      <c r="D828" s="16"/>
      <c r="E828" s="16"/>
      <c r="F828" s="16"/>
      <c r="G828" s="16"/>
      <c r="H828" s="60"/>
      <c r="I828" s="60"/>
      <c r="J828" s="16"/>
    </row>
    <row r="829" spans="2:10" x14ac:dyDescent="0.3">
      <c r="B829" s="16"/>
      <c r="C829" s="60"/>
      <c r="D829" s="16"/>
      <c r="E829" s="16"/>
      <c r="F829" s="16"/>
      <c r="G829" s="16"/>
      <c r="H829" s="60"/>
      <c r="I829" s="60"/>
      <c r="J829" s="16"/>
    </row>
    <row r="830" spans="2:10" x14ac:dyDescent="0.3">
      <c r="B830" s="16"/>
      <c r="C830" s="60"/>
      <c r="D830" s="16"/>
      <c r="E830" s="16"/>
      <c r="F830" s="16"/>
      <c r="G830" s="16"/>
      <c r="H830" s="60"/>
      <c r="I830" s="60"/>
      <c r="J830" s="16"/>
    </row>
    <row r="831" spans="2:10" x14ac:dyDescent="0.3">
      <c r="B831" s="16"/>
      <c r="C831" s="60"/>
      <c r="D831" s="16"/>
      <c r="E831" s="16"/>
      <c r="F831" s="16"/>
      <c r="G831" s="16"/>
      <c r="H831" s="60"/>
      <c r="I831" s="60"/>
      <c r="J831" s="16"/>
    </row>
    <row r="832" spans="2:10" x14ac:dyDescent="0.3">
      <c r="B832" s="16"/>
      <c r="C832" s="60"/>
      <c r="D832" s="16"/>
      <c r="E832" s="16"/>
      <c r="F832" s="16"/>
      <c r="G832" s="16"/>
      <c r="H832" s="60"/>
      <c r="I832" s="60"/>
      <c r="J832" s="16"/>
    </row>
    <row r="833" spans="2:10" x14ac:dyDescent="0.3">
      <c r="B833" s="16"/>
      <c r="C833" s="60"/>
      <c r="D833" s="16"/>
      <c r="E833" s="16"/>
      <c r="F833" s="16"/>
      <c r="G833" s="16"/>
      <c r="H833" s="60"/>
      <c r="I833" s="60"/>
      <c r="J833" s="16"/>
    </row>
    <row r="834" spans="2:10" x14ac:dyDescent="0.3">
      <c r="B834" s="16"/>
      <c r="C834" s="60"/>
      <c r="D834" s="16"/>
      <c r="E834" s="16"/>
      <c r="F834" s="16"/>
      <c r="G834" s="16"/>
      <c r="H834" s="60"/>
      <c r="I834" s="60"/>
      <c r="J834" s="16"/>
    </row>
    <row r="835" spans="2:10" x14ac:dyDescent="0.3">
      <c r="B835" s="16"/>
      <c r="C835" s="60"/>
      <c r="D835" s="16"/>
      <c r="E835" s="16"/>
      <c r="F835" s="16"/>
      <c r="G835" s="16"/>
      <c r="H835" s="60"/>
      <c r="I835" s="60"/>
      <c r="J835" s="16"/>
    </row>
    <row r="836" spans="2:10" x14ac:dyDescent="0.3">
      <c r="B836" s="16"/>
      <c r="C836" s="60"/>
      <c r="D836" s="16"/>
      <c r="E836" s="16"/>
      <c r="F836" s="16"/>
      <c r="G836" s="16"/>
      <c r="H836" s="60"/>
      <c r="I836" s="60"/>
      <c r="J836" s="16"/>
    </row>
    <row r="837" spans="2:10" x14ac:dyDescent="0.3">
      <c r="B837" s="16"/>
      <c r="C837" s="60"/>
      <c r="D837" s="16"/>
      <c r="E837" s="16"/>
      <c r="F837" s="16"/>
      <c r="G837" s="16"/>
      <c r="H837" s="60"/>
      <c r="I837" s="60"/>
      <c r="J837" s="16"/>
    </row>
    <row r="838" spans="2:10" x14ac:dyDescent="0.3">
      <c r="B838" s="16"/>
      <c r="C838" s="60"/>
      <c r="D838" s="16"/>
      <c r="E838" s="16"/>
      <c r="F838" s="16"/>
      <c r="G838" s="16"/>
      <c r="H838" s="60"/>
      <c r="I838" s="60"/>
      <c r="J838" s="16"/>
    </row>
    <row r="839" spans="2:10" x14ac:dyDescent="0.3">
      <c r="B839" s="16"/>
      <c r="C839" s="60"/>
      <c r="D839" s="16"/>
      <c r="E839" s="16"/>
      <c r="F839" s="16"/>
      <c r="G839" s="16"/>
      <c r="H839" s="60"/>
      <c r="I839" s="60"/>
      <c r="J839" s="16"/>
    </row>
    <row r="840" spans="2:10" x14ac:dyDescent="0.3">
      <c r="B840" s="16"/>
      <c r="C840" s="60"/>
      <c r="D840" s="16"/>
      <c r="E840" s="16"/>
      <c r="F840" s="16"/>
      <c r="G840" s="16"/>
      <c r="H840" s="60"/>
      <c r="I840" s="60"/>
      <c r="J840" s="16"/>
    </row>
    <row r="841" spans="2:10" x14ac:dyDescent="0.3">
      <c r="B841" s="16"/>
      <c r="C841" s="60"/>
      <c r="D841" s="16"/>
      <c r="E841" s="16"/>
      <c r="F841" s="16"/>
      <c r="G841" s="16"/>
      <c r="H841" s="60"/>
      <c r="I841" s="60"/>
      <c r="J841" s="16"/>
    </row>
    <row r="842" spans="2:10" x14ac:dyDescent="0.3">
      <c r="B842" s="16"/>
      <c r="C842" s="60"/>
      <c r="D842" s="16"/>
      <c r="E842" s="16"/>
      <c r="F842" s="16"/>
      <c r="G842" s="16"/>
      <c r="H842" s="60"/>
      <c r="I842" s="60"/>
      <c r="J842" s="16"/>
    </row>
    <row r="843" spans="2:10" x14ac:dyDescent="0.3">
      <c r="B843" s="16"/>
      <c r="C843" s="60"/>
      <c r="D843" s="16"/>
      <c r="E843" s="16"/>
      <c r="F843" s="16"/>
      <c r="G843" s="16"/>
      <c r="H843" s="60"/>
      <c r="I843" s="60"/>
      <c r="J843" s="16"/>
    </row>
    <row r="844" spans="2:10" x14ac:dyDescent="0.3">
      <c r="B844" s="16"/>
      <c r="C844" s="60"/>
      <c r="D844" s="16"/>
      <c r="E844" s="16"/>
      <c r="F844" s="16"/>
      <c r="G844" s="16"/>
      <c r="H844" s="60"/>
      <c r="I844" s="60"/>
      <c r="J844" s="16"/>
    </row>
    <row r="845" spans="2:10" x14ac:dyDescent="0.3">
      <c r="B845" s="16"/>
      <c r="C845" s="60"/>
      <c r="D845" s="16"/>
      <c r="E845" s="16"/>
      <c r="F845" s="16"/>
      <c r="G845" s="16"/>
      <c r="H845" s="60"/>
      <c r="I845" s="60"/>
      <c r="J845" s="16"/>
    </row>
    <row r="846" spans="2:10" x14ac:dyDescent="0.3">
      <c r="B846" s="16"/>
      <c r="C846" s="60"/>
      <c r="D846" s="16"/>
      <c r="E846" s="16"/>
      <c r="F846" s="16"/>
      <c r="G846" s="16"/>
      <c r="H846" s="60"/>
      <c r="I846" s="60"/>
      <c r="J846" s="16"/>
    </row>
    <row r="847" spans="2:10" x14ac:dyDescent="0.3">
      <c r="B847" s="16"/>
      <c r="C847" s="60"/>
      <c r="D847" s="16"/>
      <c r="E847" s="16"/>
      <c r="F847" s="16"/>
      <c r="G847" s="16"/>
      <c r="H847" s="60"/>
      <c r="I847" s="60"/>
      <c r="J847" s="16"/>
    </row>
    <row r="848" spans="2:10" x14ac:dyDescent="0.3">
      <c r="B848" s="16"/>
      <c r="C848" s="60"/>
      <c r="D848" s="16"/>
      <c r="E848" s="16"/>
      <c r="F848" s="16"/>
      <c r="G848" s="16"/>
      <c r="H848" s="60"/>
      <c r="I848" s="60"/>
      <c r="J848" s="16"/>
    </row>
    <row r="849" spans="2:10" x14ac:dyDescent="0.3">
      <c r="B849" s="16"/>
      <c r="C849" s="60"/>
      <c r="D849" s="16"/>
      <c r="E849" s="16"/>
      <c r="F849" s="16"/>
      <c r="G849" s="16"/>
      <c r="H849" s="60"/>
      <c r="I849" s="60"/>
      <c r="J849" s="16"/>
    </row>
    <row r="850" spans="2:10" x14ac:dyDescent="0.3">
      <c r="B850" s="16"/>
      <c r="C850" s="60"/>
      <c r="D850" s="16"/>
      <c r="E850" s="16"/>
      <c r="F850" s="16"/>
      <c r="G850" s="16"/>
      <c r="H850" s="60"/>
      <c r="I850" s="60"/>
      <c r="J850" s="16"/>
    </row>
    <row r="851" spans="2:10" x14ac:dyDescent="0.3">
      <c r="B851" s="16"/>
      <c r="C851" s="60"/>
      <c r="D851" s="16"/>
      <c r="E851" s="16"/>
      <c r="F851" s="16"/>
      <c r="G851" s="16"/>
      <c r="H851" s="60"/>
      <c r="I851" s="60"/>
      <c r="J851" s="16"/>
    </row>
    <row r="852" spans="2:10" x14ac:dyDescent="0.3">
      <c r="B852" s="16"/>
      <c r="C852" s="60"/>
      <c r="D852" s="16"/>
      <c r="E852" s="16"/>
      <c r="F852" s="16"/>
      <c r="G852" s="16"/>
      <c r="H852" s="60"/>
      <c r="I852" s="60"/>
      <c r="J852" s="16"/>
    </row>
    <row r="853" spans="2:10" x14ac:dyDescent="0.3">
      <c r="B853" s="16"/>
      <c r="C853" s="60"/>
      <c r="D853" s="16"/>
      <c r="E853" s="16"/>
      <c r="F853" s="16"/>
      <c r="G853" s="16"/>
      <c r="H853" s="60"/>
      <c r="I853" s="60"/>
      <c r="J853" s="16"/>
    </row>
    <row r="854" spans="2:10" x14ac:dyDescent="0.3">
      <c r="B854" s="16"/>
      <c r="C854" s="60"/>
      <c r="D854" s="16"/>
      <c r="E854" s="16"/>
      <c r="F854" s="16"/>
      <c r="G854" s="16"/>
      <c r="H854" s="60"/>
      <c r="I854" s="60"/>
      <c r="J854" s="16"/>
    </row>
    <row r="855" spans="2:10" x14ac:dyDescent="0.3">
      <c r="B855" s="16"/>
      <c r="C855" s="60"/>
      <c r="D855" s="16"/>
      <c r="E855" s="16"/>
      <c r="F855" s="16"/>
      <c r="G855" s="16"/>
      <c r="H855" s="60"/>
      <c r="I855" s="60"/>
      <c r="J855" s="16"/>
    </row>
    <row r="856" spans="2:10" x14ac:dyDescent="0.3">
      <c r="B856" s="16"/>
      <c r="C856" s="60"/>
      <c r="D856" s="16"/>
      <c r="E856" s="16"/>
      <c r="F856" s="16"/>
      <c r="G856" s="16"/>
      <c r="H856" s="60"/>
      <c r="I856" s="60"/>
      <c r="J856" s="16"/>
    </row>
    <row r="857" spans="2:10" x14ac:dyDescent="0.3">
      <c r="B857" s="16"/>
      <c r="C857" s="60"/>
      <c r="D857" s="16"/>
      <c r="E857" s="16"/>
      <c r="F857" s="16"/>
      <c r="G857" s="16"/>
      <c r="H857" s="60"/>
      <c r="I857" s="60"/>
      <c r="J857" s="16"/>
    </row>
    <row r="858" spans="2:10" x14ac:dyDescent="0.3">
      <c r="B858" s="16"/>
      <c r="C858" s="60"/>
      <c r="D858" s="16"/>
      <c r="E858" s="16"/>
      <c r="F858" s="16"/>
      <c r="G858" s="16"/>
      <c r="H858" s="60"/>
      <c r="I858" s="60"/>
      <c r="J858" s="16"/>
    </row>
    <row r="859" spans="2:10" x14ac:dyDescent="0.3">
      <c r="B859" s="16"/>
      <c r="C859" s="60"/>
      <c r="D859" s="16"/>
      <c r="E859" s="16"/>
      <c r="F859" s="16"/>
      <c r="G859" s="16"/>
      <c r="H859" s="60"/>
      <c r="I859" s="60"/>
      <c r="J859" s="16"/>
    </row>
    <row r="860" spans="2:10" x14ac:dyDescent="0.3">
      <c r="B860" s="16"/>
      <c r="C860" s="60"/>
      <c r="D860" s="16"/>
      <c r="E860" s="16"/>
      <c r="F860" s="16"/>
      <c r="G860" s="16"/>
      <c r="H860" s="60"/>
      <c r="I860" s="60"/>
      <c r="J860" s="16"/>
    </row>
    <row r="861" spans="2:10" x14ac:dyDescent="0.3">
      <c r="B861" s="16"/>
      <c r="C861" s="60"/>
      <c r="D861" s="16"/>
      <c r="E861" s="16"/>
      <c r="F861" s="16"/>
      <c r="G861" s="16"/>
      <c r="H861" s="60"/>
      <c r="I861" s="60"/>
      <c r="J861" s="16"/>
    </row>
    <row r="862" spans="2:10" x14ac:dyDescent="0.3">
      <c r="B862" s="16"/>
      <c r="C862" s="60"/>
      <c r="D862" s="16"/>
      <c r="E862" s="16"/>
      <c r="F862" s="16"/>
      <c r="G862" s="16"/>
      <c r="H862" s="60"/>
      <c r="I862" s="60"/>
      <c r="J862" s="16"/>
    </row>
    <row r="863" spans="2:10" x14ac:dyDescent="0.3">
      <c r="B863" s="16"/>
      <c r="C863" s="60"/>
      <c r="D863" s="16"/>
      <c r="E863" s="16"/>
      <c r="F863" s="16"/>
      <c r="G863" s="16"/>
      <c r="H863" s="60"/>
      <c r="I863" s="60"/>
      <c r="J863" s="16"/>
    </row>
    <row r="864" spans="2:10" x14ac:dyDescent="0.3">
      <c r="B864" s="16"/>
      <c r="C864" s="60"/>
      <c r="D864" s="16"/>
      <c r="E864" s="16"/>
      <c r="F864" s="16"/>
      <c r="G864" s="16"/>
      <c r="H864" s="60"/>
      <c r="I864" s="60"/>
      <c r="J864" s="16"/>
    </row>
    <row r="865" spans="2:10" x14ac:dyDescent="0.3">
      <c r="B865" s="16"/>
      <c r="C865" s="60"/>
      <c r="D865" s="16"/>
      <c r="E865" s="16"/>
      <c r="F865" s="16"/>
      <c r="G865" s="16"/>
      <c r="H865" s="60"/>
      <c r="I865" s="60"/>
      <c r="J865" s="16"/>
    </row>
    <row r="866" spans="2:10" x14ac:dyDescent="0.3">
      <c r="B866" s="16"/>
      <c r="C866" s="60"/>
      <c r="D866" s="16"/>
      <c r="E866" s="16"/>
      <c r="F866" s="16"/>
      <c r="G866" s="16"/>
      <c r="H866" s="60"/>
      <c r="I866" s="60"/>
      <c r="J866" s="16"/>
    </row>
    <row r="867" spans="2:10" x14ac:dyDescent="0.3">
      <c r="B867" s="16"/>
      <c r="C867" s="60"/>
      <c r="D867" s="16"/>
      <c r="E867" s="16"/>
      <c r="F867" s="16"/>
      <c r="G867" s="16"/>
      <c r="H867" s="60"/>
      <c r="I867" s="60"/>
      <c r="J867" s="16"/>
    </row>
    <row r="868" spans="2:10" x14ac:dyDescent="0.3">
      <c r="B868" s="16"/>
      <c r="C868" s="60"/>
      <c r="D868" s="16"/>
      <c r="E868" s="16"/>
      <c r="F868" s="16"/>
      <c r="G868" s="16"/>
      <c r="H868" s="60"/>
      <c r="I868" s="60"/>
      <c r="J868" s="16"/>
    </row>
    <row r="869" spans="2:10" x14ac:dyDescent="0.3">
      <c r="B869" s="16"/>
      <c r="C869" s="60"/>
      <c r="D869" s="16"/>
      <c r="E869" s="16"/>
      <c r="F869" s="16"/>
      <c r="G869" s="16"/>
      <c r="H869" s="60"/>
      <c r="I869" s="60"/>
      <c r="J869" s="16"/>
    </row>
    <row r="870" spans="2:10" x14ac:dyDescent="0.3">
      <c r="B870" s="16"/>
      <c r="C870" s="60"/>
      <c r="D870" s="16"/>
      <c r="E870" s="16"/>
      <c r="F870" s="16"/>
      <c r="G870" s="16"/>
      <c r="H870" s="60"/>
      <c r="I870" s="60"/>
      <c r="J870" s="16"/>
    </row>
    <row r="871" spans="2:10" x14ac:dyDescent="0.3">
      <c r="B871" s="16"/>
      <c r="C871" s="60"/>
      <c r="D871" s="16"/>
      <c r="E871" s="16"/>
      <c r="F871" s="16"/>
      <c r="G871" s="16"/>
      <c r="H871" s="60"/>
      <c r="I871" s="60"/>
      <c r="J871" s="16"/>
    </row>
    <row r="872" spans="2:10" x14ac:dyDescent="0.3">
      <c r="B872" s="16"/>
      <c r="C872" s="60"/>
      <c r="D872" s="16"/>
      <c r="E872" s="16"/>
      <c r="F872" s="16"/>
      <c r="G872" s="16"/>
      <c r="H872" s="60"/>
      <c r="I872" s="60"/>
      <c r="J872" s="16"/>
    </row>
    <row r="873" spans="2:10" x14ac:dyDescent="0.3">
      <c r="B873" s="16"/>
      <c r="C873" s="60"/>
      <c r="D873" s="16"/>
      <c r="E873" s="16"/>
      <c r="F873" s="16"/>
      <c r="G873" s="16"/>
      <c r="H873" s="60"/>
      <c r="I873" s="60"/>
      <c r="J873" s="16"/>
    </row>
    <row r="874" spans="2:10" x14ac:dyDescent="0.3">
      <c r="B874" s="16"/>
      <c r="C874" s="60"/>
      <c r="D874" s="16"/>
      <c r="E874" s="16"/>
      <c r="F874" s="16"/>
      <c r="G874" s="16"/>
      <c r="H874" s="60"/>
      <c r="I874" s="60"/>
      <c r="J874" s="16"/>
    </row>
    <row r="875" spans="2:10" x14ac:dyDescent="0.3">
      <c r="B875" s="16"/>
      <c r="C875" s="60"/>
      <c r="D875" s="16"/>
      <c r="E875" s="16"/>
      <c r="F875" s="16"/>
      <c r="G875" s="16"/>
      <c r="H875" s="60"/>
      <c r="I875" s="60"/>
      <c r="J875" s="16"/>
    </row>
    <row r="876" spans="2:10" x14ac:dyDescent="0.3">
      <c r="B876" s="16"/>
      <c r="C876" s="60"/>
      <c r="D876" s="16"/>
      <c r="E876" s="16"/>
      <c r="F876" s="16"/>
      <c r="G876" s="16"/>
      <c r="H876" s="60"/>
      <c r="I876" s="60"/>
      <c r="J876" s="16"/>
    </row>
    <row r="877" spans="2:10" x14ac:dyDescent="0.3">
      <c r="B877" s="16"/>
      <c r="C877" s="60"/>
      <c r="D877" s="16"/>
      <c r="E877" s="16"/>
      <c r="F877" s="16"/>
      <c r="G877" s="16"/>
      <c r="H877" s="60"/>
      <c r="I877" s="60"/>
      <c r="J877" s="16"/>
    </row>
    <row r="878" spans="2:10" x14ac:dyDescent="0.3">
      <c r="B878" s="16"/>
      <c r="C878" s="60"/>
      <c r="D878" s="16"/>
      <c r="E878" s="16"/>
      <c r="F878" s="16"/>
      <c r="G878" s="16"/>
      <c r="H878" s="60"/>
      <c r="I878" s="60"/>
      <c r="J878" s="16"/>
    </row>
    <row r="879" spans="2:10" x14ac:dyDescent="0.3">
      <c r="B879" s="16"/>
      <c r="C879" s="60"/>
      <c r="D879" s="16"/>
      <c r="E879" s="16"/>
      <c r="F879" s="16"/>
      <c r="G879" s="16"/>
      <c r="H879" s="60"/>
      <c r="I879" s="60"/>
      <c r="J879" s="16"/>
    </row>
    <row r="880" spans="2:10" x14ac:dyDescent="0.3">
      <c r="B880" s="16"/>
      <c r="C880" s="60"/>
      <c r="D880" s="16"/>
      <c r="E880" s="16"/>
      <c r="F880" s="16"/>
      <c r="G880" s="16"/>
      <c r="H880" s="60"/>
      <c r="I880" s="60"/>
      <c r="J880" s="16"/>
    </row>
    <row r="881" spans="2:10" x14ac:dyDescent="0.3">
      <c r="B881" s="16"/>
      <c r="C881" s="60"/>
      <c r="D881" s="16"/>
      <c r="E881" s="16"/>
      <c r="F881" s="16"/>
      <c r="G881" s="16"/>
      <c r="H881" s="60"/>
      <c r="I881" s="60"/>
      <c r="J881" s="16"/>
    </row>
    <row r="882" spans="2:10" x14ac:dyDescent="0.3">
      <c r="B882" s="16"/>
      <c r="C882" s="60"/>
      <c r="D882" s="16"/>
      <c r="E882" s="16"/>
      <c r="F882" s="16"/>
      <c r="G882" s="16"/>
      <c r="H882" s="60"/>
      <c r="I882" s="60"/>
      <c r="J882" s="16"/>
    </row>
    <row r="883" spans="2:10" x14ac:dyDescent="0.3">
      <c r="B883" s="16"/>
      <c r="C883" s="60"/>
      <c r="D883" s="16"/>
      <c r="E883" s="16"/>
      <c r="F883" s="16"/>
      <c r="G883" s="16"/>
      <c r="H883" s="60"/>
      <c r="I883" s="60"/>
      <c r="J883" s="16"/>
    </row>
    <row r="884" spans="2:10" x14ac:dyDescent="0.3">
      <c r="B884" s="16"/>
      <c r="C884" s="60"/>
      <c r="D884" s="16"/>
      <c r="E884" s="16"/>
      <c r="F884" s="16"/>
      <c r="G884" s="16"/>
      <c r="H884" s="60"/>
      <c r="I884" s="60"/>
      <c r="J884" s="16"/>
    </row>
    <row r="885" spans="2:10" x14ac:dyDescent="0.3">
      <c r="B885" s="16"/>
      <c r="C885" s="60"/>
      <c r="D885" s="16"/>
      <c r="E885" s="16"/>
      <c r="F885" s="16"/>
      <c r="G885" s="16"/>
      <c r="H885" s="60"/>
      <c r="I885" s="60"/>
      <c r="J885" s="16"/>
    </row>
    <row r="886" spans="2:10" x14ac:dyDescent="0.3">
      <c r="B886" s="16"/>
      <c r="C886" s="60"/>
      <c r="D886" s="16"/>
      <c r="E886" s="16"/>
      <c r="F886" s="16"/>
      <c r="G886" s="16"/>
      <c r="H886" s="60"/>
      <c r="I886" s="60"/>
      <c r="J886" s="16"/>
    </row>
    <row r="887" spans="2:10" x14ac:dyDescent="0.3">
      <c r="B887" s="16"/>
      <c r="C887" s="60"/>
      <c r="D887" s="16"/>
      <c r="E887" s="16"/>
      <c r="F887" s="16"/>
      <c r="G887" s="16"/>
      <c r="H887" s="60"/>
      <c r="I887" s="60"/>
      <c r="J887" s="16"/>
    </row>
    <row r="888" spans="2:10" x14ac:dyDescent="0.3">
      <c r="B888" s="16"/>
      <c r="C888" s="60"/>
      <c r="D888" s="16"/>
      <c r="E888" s="16"/>
      <c r="F888" s="16"/>
      <c r="G888" s="16"/>
      <c r="H888" s="60"/>
      <c r="I888" s="60"/>
      <c r="J888" s="16"/>
    </row>
    <row r="889" spans="2:10" x14ac:dyDescent="0.3">
      <c r="B889" s="16"/>
      <c r="C889" s="60"/>
      <c r="D889" s="16"/>
      <c r="E889" s="16"/>
      <c r="F889" s="16"/>
      <c r="G889" s="16"/>
      <c r="H889" s="60"/>
      <c r="I889" s="60"/>
      <c r="J889" s="16"/>
    </row>
    <row r="890" spans="2:10" x14ac:dyDescent="0.3">
      <c r="B890" s="16"/>
      <c r="C890" s="60"/>
      <c r="D890" s="16"/>
      <c r="E890" s="16"/>
      <c r="F890" s="16"/>
      <c r="G890" s="16"/>
      <c r="H890" s="60"/>
      <c r="I890" s="60"/>
      <c r="J890" s="16"/>
    </row>
    <row r="891" spans="2:10" x14ac:dyDescent="0.3">
      <c r="B891" s="16"/>
      <c r="C891" s="60"/>
      <c r="D891" s="16"/>
      <c r="E891" s="16"/>
      <c r="F891" s="16"/>
      <c r="G891" s="16"/>
      <c r="H891" s="60"/>
      <c r="I891" s="60"/>
      <c r="J891" s="16"/>
    </row>
    <row r="892" spans="2:10" x14ac:dyDescent="0.3">
      <c r="B892" s="16"/>
      <c r="C892" s="60"/>
      <c r="D892" s="16"/>
      <c r="E892" s="16"/>
      <c r="F892" s="16"/>
      <c r="G892" s="16"/>
      <c r="H892" s="60"/>
      <c r="I892" s="60"/>
      <c r="J892" s="16"/>
    </row>
    <row r="893" spans="2:10" x14ac:dyDescent="0.3">
      <c r="B893" s="16"/>
      <c r="C893" s="60"/>
      <c r="D893" s="16"/>
      <c r="E893" s="16"/>
      <c r="F893" s="16"/>
      <c r="G893" s="16"/>
      <c r="H893" s="60"/>
      <c r="I893" s="60"/>
      <c r="J893" s="16"/>
    </row>
    <row r="894" spans="2:10" x14ac:dyDescent="0.3">
      <c r="B894" s="16"/>
      <c r="C894" s="60"/>
      <c r="D894" s="16"/>
      <c r="E894" s="16"/>
      <c r="F894" s="16"/>
      <c r="G894" s="16"/>
      <c r="H894" s="60"/>
      <c r="I894" s="60"/>
      <c r="J894" s="16"/>
    </row>
    <row r="895" spans="2:10" x14ac:dyDescent="0.3">
      <c r="B895" s="16"/>
      <c r="C895" s="60"/>
      <c r="D895" s="16"/>
      <c r="E895" s="16"/>
      <c r="F895" s="16"/>
      <c r="G895" s="16"/>
      <c r="H895" s="60"/>
      <c r="I895" s="60"/>
      <c r="J895" s="16"/>
    </row>
    <row r="896" spans="2:10" x14ac:dyDescent="0.3">
      <c r="B896" s="16"/>
      <c r="C896" s="60"/>
      <c r="D896" s="16"/>
      <c r="E896" s="16"/>
      <c r="F896" s="16"/>
      <c r="G896" s="16"/>
      <c r="H896" s="60"/>
      <c r="I896" s="60"/>
      <c r="J896" s="16"/>
    </row>
    <row r="897" spans="2:10" x14ac:dyDescent="0.3">
      <c r="B897" s="16"/>
      <c r="C897" s="60"/>
      <c r="D897" s="16"/>
      <c r="E897" s="16"/>
      <c r="F897" s="16"/>
      <c r="G897" s="16"/>
      <c r="H897" s="60"/>
      <c r="I897" s="60"/>
      <c r="J897" s="16"/>
    </row>
    <row r="898" spans="2:10" x14ac:dyDescent="0.3">
      <c r="B898" s="16"/>
      <c r="C898" s="60"/>
      <c r="D898" s="16"/>
      <c r="E898" s="16"/>
      <c r="F898" s="16"/>
      <c r="G898" s="16"/>
      <c r="H898" s="60"/>
      <c r="I898" s="60"/>
      <c r="J898" s="16"/>
    </row>
    <row r="899" spans="2:10" x14ac:dyDescent="0.3">
      <c r="B899" s="16"/>
      <c r="C899" s="60"/>
      <c r="D899" s="16"/>
      <c r="E899" s="16"/>
      <c r="F899" s="16"/>
      <c r="G899" s="16"/>
      <c r="H899" s="60"/>
      <c r="I899" s="60"/>
      <c r="J899" s="16"/>
    </row>
    <row r="900" spans="2:10" x14ac:dyDescent="0.3">
      <c r="B900" s="16"/>
      <c r="C900" s="60"/>
      <c r="D900" s="16"/>
      <c r="E900" s="16"/>
      <c r="F900" s="16"/>
      <c r="G900" s="16"/>
      <c r="H900" s="60"/>
      <c r="I900" s="60"/>
      <c r="J900" s="16"/>
    </row>
    <row r="901" spans="2:10" x14ac:dyDescent="0.3">
      <c r="B901" s="16"/>
      <c r="C901" s="60"/>
      <c r="D901" s="16"/>
      <c r="E901" s="16"/>
      <c r="F901" s="16"/>
      <c r="G901" s="16"/>
      <c r="H901" s="60"/>
      <c r="I901" s="60"/>
      <c r="J901" s="16"/>
    </row>
    <row r="902" spans="2:10" x14ac:dyDescent="0.3">
      <c r="B902" s="16"/>
      <c r="C902" s="60"/>
      <c r="D902" s="16"/>
      <c r="E902" s="16"/>
      <c r="F902" s="16"/>
      <c r="G902" s="16"/>
      <c r="H902" s="60"/>
      <c r="I902" s="60"/>
      <c r="J902" s="16"/>
    </row>
    <row r="903" spans="2:10" x14ac:dyDescent="0.3">
      <c r="B903" s="16"/>
      <c r="C903" s="60"/>
      <c r="D903" s="16"/>
      <c r="E903" s="16"/>
      <c r="F903" s="16"/>
      <c r="G903" s="16"/>
      <c r="H903" s="60"/>
      <c r="I903" s="60"/>
      <c r="J903" s="16"/>
    </row>
    <row r="904" spans="2:10" x14ac:dyDescent="0.3">
      <c r="B904" s="16"/>
      <c r="C904" s="60"/>
      <c r="D904" s="16"/>
      <c r="E904" s="16"/>
      <c r="F904" s="16"/>
      <c r="G904" s="16"/>
      <c r="H904" s="60"/>
      <c r="I904" s="60"/>
      <c r="J904" s="16"/>
    </row>
    <row r="905" spans="2:10" x14ac:dyDescent="0.3">
      <c r="B905" s="16"/>
      <c r="C905" s="60"/>
      <c r="D905" s="16"/>
      <c r="E905" s="16"/>
      <c r="F905" s="16"/>
      <c r="G905" s="16"/>
      <c r="H905" s="60"/>
      <c r="I905" s="60"/>
      <c r="J905" s="16"/>
    </row>
    <row r="906" spans="2:10" x14ac:dyDescent="0.3">
      <c r="B906" s="16"/>
      <c r="C906" s="60"/>
      <c r="D906" s="16"/>
      <c r="E906" s="16"/>
      <c r="F906" s="16"/>
      <c r="G906" s="16"/>
      <c r="H906" s="60"/>
      <c r="I906" s="60"/>
      <c r="J906" s="16"/>
    </row>
    <row r="907" spans="2:10" x14ac:dyDescent="0.3">
      <c r="B907" s="16"/>
      <c r="C907" s="60"/>
      <c r="D907" s="16"/>
      <c r="E907" s="16"/>
      <c r="F907" s="16"/>
      <c r="G907" s="16"/>
      <c r="H907" s="60"/>
      <c r="I907" s="60"/>
      <c r="J907" s="16"/>
    </row>
    <row r="908" spans="2:10" x14ac:dyDescent="0.3">
      <c r="B908" s="16"/>
      <c r="C908" s="60"/>
      <c r="D908" s="16"/>
      <c r="E908" s="16"/>
      <c r="F908" s="16"/>
      <c r="G908" s="16"/>
      <c r="H908" s="60"/>
      <c r="I908" s="60"/>
      <c r="J908" s="16"/>
    </row>
    <row r="909" spans="2:10" x14ac:dyDescent="0.3">
      <c r="B909" s="16"/>
      <c r="C909" s="60"/>
      <c r="D909" s="16"/>
      <c r="E909" s="16"/>
      <c r="F909" s="16"/>
      <c r="G909" s="16"/>
      <c r="H909" s="60"/>
      <c r="I909" s="60"/>
      <c r="J909" s="16"/>
    </row>
    <row r="910" spans="2:10" x14ac:dyDescent="0.3">
      <c r="B910" s="16"/>
      <c r="C910" s="60"/>
      <c r="D910" s="16"/>
      <c r="E910" s="16"/>
      <c r="F910" s="16"/>
      <c r="G910" s="16"/>
      <c r="H910" s="60"/>
      <c r="I910" s="60"/>
      <c r="J910" s="16"/>
    </row>
    <row r="911" spans="2:10" x14ac:dyDescent="0.3">
      <c r="B911" s="16"/>
      <c r="C911" s="60"/>
      <c r="D911" s="16"/>
      <c r="E911" s="16"/>
      <c r="F911" s="16"/>
      <c r="G911" s="16"/>
      <c r="H911" s="60"/>
      <c r="I911" s="60"/>
      <c r="J911" s="16"/>
    </row>
    <row r="912" spans="2:10" x14ac:dyDescent="0.3">
      <c r="B912" s="16"/>
      <c r="C912" s="60"/>
      <c r="D912" s="16"/>
      <c r="E912" s="16"/>
      <c r="F912" s="16"/>
      <c r="G912" s="16"/>
      <c r="H912" s="60"/>
      <c r="I912" s="60"/>
      <c r="J912" s="16"/>
    </row>
    <row r="913" spans="2:10" x14ac:dyDescent="0.3">
      <c r="B913" s="16"/>
      <c r="C913" s="60"/>
      <c r="D913" s="16"/>
      <c r="E913" s="16"/>
      <c r="F913" s="16"/>
      <c r="G913" s="16"/>
      <c r="H913" s="60"/>
      <c r="I913" s="60"/>
      <c r="J913" s="16"/>
    </row>
    <row r="914" spans="2:10" x14ac:dyDescent="0.3">
      <c r="B914" s="16"/>
      <c r="C914" s="60"/>
      <c r="D914" s="16"/>
      <c r="E914" s="16"/>
      <c r="F914" s="16"/>
      <c r="G914" s="16"/>
      <c r="H914" s="60"/>
      <c r="I914" s="60"/>
      <c r="J914" s="16"/>
    </row>
    <row r="915" spans="2:10" x14ac:dyDescent="0.3">
      <c r="B915" s="16"/>
      <c r="C915" s="60"/>
      <c r="D915" s="16"/>
      <c r="E915" s="16"/>
      <c r="F915" s="16"/>
      <c r="G915" s="16"/>
      <c r="H915" s="60"/>
      <c r="I915" s="60"/>
      <c r="J915" s="16"/>
    </row>
    <row r="916" spans="2:10" x14ac:dyDescent="0.3">
      <c r="B916" s="16"/>
      <c r="C916" s="60"/>
      <c r="D916" s="16"/>
      <c r="E916" s="16"/>
      <c r="F916" s="16"/>
      <c r="G916" s="16"/>
      <c r="H916" s="60"/>
      <c r="I916" s="60"/>
      <c r="J916" s="16"/>
    </row>
    <row r="917" spans="2:10" x14ac:dyDescent="0.3">
      <c r="B917" s="16"/>
      <c r="C917" s="60"/>
      <c r="D917" s="16"/>
      <c r="E917" s="16"/>
      <c r="F917" s="16"/>
      <c r="G917" s="16"/>
      <c r="H917" s="60"/>
      <c r="I917" s="60"/>
      <c r="J917" s="16"/>
    </row>
    <row r="918" spans="2:10" x14ac:dyDescent="0.3">
      <c r="B918" s="16"/>
      <c r="C918" s="60"/>
      <c r="D918" s="16"/>
      <c r="E918" s="16"/>
      <c r="F918" s="16"/>
      <c r="G918" s="16"/>
      <c r="H918" s="60"/>
      <c r="I918" s="60"/>
      <c r="J918" s="16"/>
    </row>
    <row r="919" spans="2:10" x14ac:dyDescent="0.3">
      <c r="B919" s="16"/>
      <c r="C919" s="60"/>
      <c r="D919" s="16"/>
      <c r="E919" s="16"/>
      <c r="F919" s="16"/>
      <c r="G919" s="16"/>
      <c r="H919" s="60"/>
      <c r="I919" s="60"/>
      <c r="J919" s="16"/>
    </row>
    <row r="920" spans="2:10" x14ac:dyDescent="0.3">
      <c r="B920" s="16"/>
      <c r="C920" s="60"/>
      <c r="D920" s="16"/>
      <c r="E920" s="16"/>
      <c r="F920" s="16"/>
      <c r="G920" s="16"/>
      <c r="H920" s="60"/>
      <c r="I920" s="60"/>
      <c r="J920" s="16"/>
    </row>
    <row r="921" spans="2:10" x14ac:dyDescent="0.3">
      <c r="B921" s="16"/>
      <c r="C921" s="60"/>
      <c r="D921" s="16"/>
      <c r="E921" s="16"/>
      <c r="F921" s="16"/>
      <c r="G921" s="16"/>
      <c r="H921" s="60"/>
      <c r="I921" s="60"/>
      <c r="J921" s="16"/>
    </row>
    <row r="922" spans="2:10" x14ac:dyDescent="0.3">
      <c r="B922" s="16"/>
      <c r="C922" s="60"/>
      <c r="D922" s="16"/>
      <c r="E922" s="16"/>
      <c r="F922" s="16"/>
      <c r="G922" s="16"/>
      <c r="H922" s="60"/>
      <c r="I922" s="60"/>
      <c r="J922" s="16"/>
    </row>
    <row r="923" spans="2:10" x14ac:dyDescent="0.3">
      <c r="B923" s="16"/>
      <c r="C923" s="60"/>
      <c r="D923" s="16"/>
      <c r="E923" s="16"/>
      <c r="F923" s="16"/>
      <c r="G923" s="16"/>
      <c r="H923" s="60"/>
      <c r="I923" s="60"/>
      <c r="J923" s="16"/>
    </row>
    <row r="924" spans="2:10" x14ac:dyDescent="0.3">
      <c r="B924" s="16"/>
      <c r="C924" s="60"/>
      <c r="D924" s="16"/>
      <c r="E924" s="16"/>
      <c r="F924" s="16"/>
      <c r="G924" s="16"/>
      <c r="H924" s="60"/>
      <c r="I924" s="60"/>
      <c r="J924" s="16"/>
    </row>
    <row r="925" spans="2:10" x14ac:dyDescent="0.3">
      <c r="B925" s="16"/>
      <c r="C925" s="60"/>
      <c r="D925" s="16"/>
      <c r="E925" s="16"/>
      <c r="F925" s="16"/>
      <c r="G925" s="16"/>
      <c r="H925" s="60"/>
      <c r="I925" s="60"/>
      <c r="J925" s="16"/>
    </row>
    <row r="926" spans="2:10" x14ac:dyDescent="0.3">
      <c r="B926" s="16"/>
      <c r="C926" s="60"/>
      <c r="D926" s="16"/>
      <c r="E926" s="16"/>
      <c r="F926" s="16"/>
      <c r="G926" s="16"/>
      <c r="H926" s="60"/>
      <c r="I926" s="60"/>
      <c r="J926" s="16"/>
    </row>
    <row r="927" spans="2:10" x14ac:dyDescent="0.3">
      <c r="B927" s="16"/>
      <c r="C927" s="60"/>
      <c r="D927" s="16"/>
      <c r="E927" s="16"/>
      <c r="F927" s="16"/>
      <c r="G927" s="16"/>
      <c r="H927" s="60"/>
      <c r="I927" s="60"/>
      <c r="J927" s="16"/>
    </row>
    <row r="928" spans="2:10" x14ac:dyDescent="0.3">
      <c r="B928" s="16"/>
      <c r="C928" s="60"/>
      <c r="D928" s="16"/>
      <c r="E928" s="16"/>
      <c r="F928" s="16"/>
      <c r="G928" s="16"/>
      <c r="H928" s="60"/>
      <c r="I928" s="60"/>
      <c r="J928" s="16"/>
    </row>
    <row r="929" spans="2:10" x14ac:dyDescent="0.3">
      <c r="B929" s="16"/>
      <c r="C929" s="60"/>
      <c r="D929" s="16"/>
      <c r="E929" s="16"/>
      <c r="F929" s="16"/>
      <c r="G929" s="16"/>
      <c r="H929" s="60"/>
      <c r="I929" s="60"/>
      <c r="J929" s="16"/>
    </row>
    <row r="930" spans="2:10" x14ac:dyDescent="0.3">
      <c r="B930" s="16"/>
      <c r="C930" s="60"/>
      <c r="D930" s="16"/>
      <c r="E930" s="16"/>
      <c r="F930" s="16"/>
      <c r="G930" s="16"/>
      <c r="H930" s="60"/>
      <c r="I930" s="60"/>
      <c r="J930" s="16"/>
    </row>
    <row r="931" spans="2:10" x14ac:dyDescent="0.3">
      <c r="B931" s="16"/>
      <c r="C931" s="60"/>
      <c r="D931" s="16"/>
      <c r="E931" s="16"/>
      <c r="F931" s="16"/>
      <c r="G931" s="16"/>
      <c r="H931" s="60"/>
      <c r="I931" s="60"/>
      <c r="J931" s="16"/>
    </row>
    <row r="932" spans="2:10" x14ac:dyDescent="0.3">
      <c r="B932" s="16"/>
      <c r="C932" s="60"/>
      <c r="D932" s="16"/>
      <c r="E932" s="16"/>
      <c r="F932" s="16"/>
      <c r="G932" s="16"/>
      <c r="H932" s="60"/>
      <c r="I932" s="60"/>
      <c r="J932" s="16"/>
    </row>
    <row r="933" spans="2:10" x14ac:dyDescent="0.3">
      <c r="B933" s="16"/>
      <c r="C933" s="60"/>
      <c r="D933" s="16"/>
      <c r="E933" s="16"/>
      <c r="F933" s="16"/>
      <c r="G933" s="16"/>
      <c r="H933" s="60"/>
      <c r="I933" s="60"/>
      <c r="J933" s="16"/>
    </row>
    <row r="934" spans="2:10" x14ac:dyDescent="0.3">
      <c r="B934" s="16"/>
      <c r="C934" s="60"/>
      <c r="D934" s="16"/>
      <c r="E934" s="16"/>
      <c r="F934" s="16"/>
      <c r="G934" s="16"/>
      <c r="H934" s="60"/>
      <c r="I934" s="60"/>
      <c r="J934" s="16"/>
    </row>
    <row r="935" spans="2:10" x14ac:dyDescent="0.3">
      <c r="B935" s="16"/>
      <c r="C935" s="60"/>
      <c r="D935" s="16"/>
      <c r="E935" s="16"/>
      <c r="F935" s="16"/>
      <c r="G935" s="16"/>
      <c r="H935" s="60"/>
      <c r="I935" s="60"/>
      <c r="J935" s="16"/>
    </row>
    <row r="936" spans="2:10" x14ac:dyDescent="0.3">
      <c r="B936" s="16"/>
      <c r="C936" s="60"/>
      <c r="D936" s="16"/>
      <c r="E936" s="16"/>
      <c r="F936" s="16"/>
      <c r="G936" s="16"/>
      <c r="H936" s="60"/>
      <c r="I936" s="60"/>
      <c r="J936" s="16"/>
    </row>
    <row r="937" spans="2:10" x14ac:dyDescent="0.3">
      <c r="B937" s="16"/>
      <c r="C937" s="60"/>
      <c r="D937" s="16"/>
      <c r="E937" s="16"/>
      <c r="F937" s="16"/>
      <c r="G937" s="16"/>
      <c r="H937" s="60"/>
      <c r="I937" s="60"/>
      <c r="J937" s="16"/>
    </row>
    <row r="938" spans="2:10" x14ac:dyDescent="0.3">
      <c r="B938" s="16"/>
      <c r="C938" s="60"/>
      <c r="D938" s="16"/>
      <c r="E938" s="16"/>
      <c r="F938" s="16"/>
      <c r="G938" s="16"/>
      <c r="H938" s="60"/>
      <c r="I938" s="60"/>
      <c r="J938" s="16"/>
    </row>
    <row r="939" spans="2:10" x14ac:dyDescent="0.3">
      <c r="B939" s="16"/>
      <c r="C939" s="60"/>
      <c r="D939" s="16"/>
      <c r="E939" s="16"/>
      <c r="F939" s="16"/>
      <c r="G939" s="16"/>
      <c r="H939" s="60"/>
      <c r="I939" s="60"/>
      <c r="J939" s="16"/>
    </row>
    <row r="940" spans="2:10" x14ac:dyDescent="0.3">
      <c r="B940" s="16"/>
      <c r="C940" s="60"/>
      <c r="D940" s="16"/>
      <c r="E940" s="16"/>
      <c r="F940" s="16"/>
      <c r="G940" s="16"/>
      <c r="H940" s="60"/>
      <c r="I940" s="60"/>
      <c r="J940" s="16"/>
    </row>
    <row r="941" spans="2:10" x14ac:dyDescent="0.3">
      <c r="B941" s="16"/>
      <c r="C941" s="60"/>
      <c r="D941" s="16"/>
      <c r="E941" s="16"/>
      <c r="F941" s="16"/>
      <c r="G941" s="16"/>
      <c r="H941" s="60"/>
      <c r="I941" s="60"/>
      <c r="J941" s="16"/>
    </row>
    <row r="942" spans="2:10" x14ac:dyDescent="0.3">
      <c r="B942" s="16"/>
      <c r="C942" s="60"/>
      <c r="D942" s="16"/>
      <c r="E942" s="16"/>
      <c r="F942" s="16"/>
      <c r="G942" s="16"/>
      <c r="H942" s="60"/>
      <c r="I942" s="60"/>
      <c r="J942" s="16"/>
    </row>
    <row r="943" spans="2:10" x14ac:dyDescent="0.3">
      <c r="B943" s="16"/>
      <c r="C943" s="60"/>
      <c r="D943" s="16"/>
      <c r="E943" s="16"/>
      <c r="F943" s="16"/>
      <c r="G943" s="16"/>
      <c r="H943" s="60"/>
      <c r="I943" s="60"/>
      <c r="J943" s="16"/>
    </row>
    <row r="944" spans="2:10" x14ac:dyDescent="0.3">
      <c r="B944" s="16"/>
      <c r="C944" s="60"/>
      <c r="D944" s="16"/>
      <c r="E944" s="16"/>
      <c r="F944" s="16"/>
      <c r="G944" s="16"/>
      <c r="H944" s="60"/>
      <c r="I944" s="60"/>
      <c r="J944" s="16"/>
    </row>
    <row r="945" spans="2:10" x14ac:dyDescent="0.3">
      <c r="B945" s="16"/>
      <c r="C945" s="60"/>
      <c r="D945" s="16"/>
      <c r="E945" s="16"/>
      <c r="F945" s="16"/>
      <c r="G945" s="16"/>
      <c r="H945" s="60"/>
      <c r="I945" s="60"/>
      <c r="J945" s="16"/>
    </row>
    <row r="946" spans="2:10" x14ac:dyDescent="0.3">
      <c r="B946" s="16"/>
      <c r="C946" s="60"/>
      <c r="D946" s="16"/>
      <c r="E946" s="16"/>
      <c r="F946" s="16"/>
      <c r="G946" s="16"/>
      <c r="H946" s="60"/>
      <c r="I946" s="60"/>
      <c r="J946" s="16"/>
    </row>
    <row r="947" spans="2:10" x14ac:dyDescent="0.3">
      <c r="B947" s="16"/>
      <c r="C947" s="60"/>
      <c r="D947" s="16"/>
      <c r="E947" s="16"/>
      <c r="F947" s="16"/>
      <c r="G947" s="16"/>
      <c r="H947" s="60"/>
      <c r="I947" s="60"/>
      <c r="J947" s="16"/>
    </row>
    <row r="948" spans="2:10" x14ac:dyDescent="0.3">
      <c r="B948" s="16"/>
      <c r="C948" s="60"/>
      <c r="D948" s="16"/>
      <c r="E948" s="16"/>
      <c r="F948" s="16"/>
      <c r="G948" s="16"/>
      <c r="H948" s="60"/>
      <c r="I948" s="60"/>
      <c r="J948" s="16"/>
    </row>
    <row r="949" spans="2:10" x14ac:dyDescent="0.3">
      <c r="B949" s="16"/>
      <c r="C949" s="60"/>
      <c r="D949" s="16"/>
      <c r="E949" s="16"/>
      <c r="F949" s="16"/>
      <c r="G949" s="16"/>
      <c r="H949" s="60"/>
      <c r="I949" s="60"/>
      <c r="J949" s="16"/>
    </row>
    <row r="950" spans="2:10" x14ac:dyDescent="0.3">
      <c r="B950" s="16"/>
      <c r="C950" s="60"/>
      <c r="D950" s="16"/>
      <c r="E950" s="16"/>
      <c r="F950" s="16"/>
      <c r="G950" s="16"/>
      <c r="H950" s="60"/>
      <c r="I950" s="60"/>
      <c r="J950" s="16"/>
    </row>
    <row r="951" spans="2:10" x14ac:dyDescent="0.3">
      <c r="B951" s="16"/>
      <c r="C951" s="60"/>
      <c r="D951" s="16"/>
      <c r="E951" s="16"/>
      <c r="F951" s="16"/>
      <c r="G951" s="16"/>
      <c r="H951" s="60"/>
      <c r="I951" s="60"/>
      <c r="J951" s="16"/>
    </row>
    <row r="952" spans="2:10" x14ac:dyDescent="0.3">
      <c r="B952" s="16"/>
      <c r="C952" s="60"/>
      <c r="D952" s="16"/>
      <c r="E952" s="16"/>
      <c r="F952" s="16"/>
      <c r="G952" s="16"/>
      <c r="H952" s="60"/>
      <c r="I952" s="60"/>
      <c r="J952" s="16"/>
    </row>
    <row r="953" spans="2:10" x14ac:dyDescent="0.3">
      <c r="B953" s="16"/>
      <c r="C953" s="60"/>
      <c r="D953" s="16"/>
      <c r="E953" s="16"/>
      <c r="F953" s="16"/>
      <c r="G953" s="16"/>
      <c r="H953" s="60"/>
      <c r="I953" s="60"/>
      <c r="J953" s="16"/>
    </row>
    <row r="954" spans="2:10" x14ac:dyDescent="0.3">
      <c r="B954" s="16"/>
      <c r="C954" s="60"/>
      <c r="D954" s="16"/>
      <c r="E954" s="16"/>
      <c r="F954" s="16"/>
      <c r="G954" s="16"/>
      <c r="H954" s="60"/>
      <c r="I954" s="60"/>
      <c r="J954" s="16"/>
    </row>
    <row r="955" spans="2:10" x14ac:dyDescent="0.3">
      <c r="B955" s="16"/>
      <c r="C955" s="60"/>
      <c r="D955" s="16"/>
      <c r="E955" s="16"/>
      <c r="F955" s="16"/>
      <c r="G955" s="16"/>
      <c r="H955" s="60"/>
      <c r="I955" s="60"/>
      <c r="J955" s="16"/>
    </row>
    <row r="956" spans="2:10" x14ac:dyDescent="0.3">
      <c r="B956" s="16"/>
      <c r="C956" s="60"/>
      <c r="D956" s="16"/>
      <c r="E956" s="16"/>
      <c r="F956" s="16"/>
      <c r="G956" s="16"/>
      <c r="H956" s="60"/>
      <c r="I956" s="60"/>
      <c r="J956" s="16"/>
    </row>
    <row r="957" spans="2:10" x14ac:dyDescent="0.3">
      <c r="B957" s="16"/>
      <c r="C957" s="60"/>
      <c r="D957" s="16"/>
      <c r="E957" s="16"/>
      <c r="F957" s="16"/>
      <c r="G957" s="16"/>
      <c r="H957" s="60"/>
      <c r="I957" s="60"/>
      <c r="J957" s="16"/>
    </row>
    <row r="958" spans="2:10" x14ac:dyDescent="0.3">
      <c r="B958" s="16"/>
      <c r="C958" s="60"/>
      <c r="D958" s="16"/>
      <c r="E958" s="16"/>
      <c r="F958" s="16"/>
      <c r="G958" s="16"/>
      <c r="H958" s="60"/>
      <c r="I958" s="60"/>
      <c r="J958" s="16"/>
    </row>
    <row r="959" spans="2:10" x14ac:dyDescent="0.3">
      <c r="B959" s="16"/>
      <c r="C959" s="60"/>
      <c r="D959" s="16"/>
      <c r="E959" s="16"/>
      <c r="F959" s="16"/>
      <c r="G959" s="16"/>
      <c r="H959" s="60"/>
      <c r="I959" s="60"/>
      <c r="J959" s="16"/>
    </row>
    <row r="960" spans="2:10" x14ac:dyDescent="0.3">
      <c r="B960" s="16"/>
      <c r="C960" s="60"/>
      <c r="D960" s="16"/>
      <c r="E960" s="16"/>
      <c r="F960" s="16"/>
      <c r="G960" s="16"/>
      <c r="H960" s="60"/>
      <c r="I960" s="60"/>
      <c r="J960" s="16"/>
    </row>
    <row r="961" spans="2:10" x14ac:dyDescent="0.3">
      <c r="B961" s="16"/>
      <c r="C961" s="60"/>
      <c r="D961" s="16"/>
      <c r="E961" s="16"/>
      <c r="F961" s="16"/>
      <c r="G961" s="16"/>
      <c r="H961" s="60"/>
      <c r="I961" s="60"/>
      <c r="J961" s="16"/>
    </row>
    <row r="962" spans="2:10" x14ac:dyDescent="0.3">
      <c r="B962" s="16"/>
      <c r="C962" s="60"/>
      <c r="D962" s="16"/>
      <c r="E962" s="16"/>
      <c r="F962" s="16"/>
      <c r="G962" s="16"/>
      <c r="H962" s="60"/>
      <c r="I962" s="60"/>
      <c r="J962" s="16"/>
    </row>
    <row r="963" spans="2:10" x14ac:dyDescent="0.3">
      <c r="B963" s="16"/>
      <c r="C963" s="60"/>
      <c r="D963" s="16"/>
      <c r="E963" s="16"/>
      <c r="F963" s="16"/>
      <c r="G963" s="16"/>
      <c r="H963" s="60"/>
      <c r="I963" s="60"/>
      <c r="J963" s="16"/>
    </row>
    <row r="964" spans="2:10" x14ac:dyDescent="0.3">
      <c r="B964" s="16"/>
      <c r="C964" s="60"/>
      <c r="D964" s="16"/>
      <c r="E964" s="16"/>
      <c r="F964" s="16"/>
      <c r="G964" s="16"/>
      <c r="H964" s="60"/>
      <c r="I964" s="60"/>
      <c r="J964" s="16"/>
    </row>
    <row r="965" spans="2:10" x14ac:dyDescent="0.3">
      <c r="B965" s="16"/>
      <c r="C965" s="60"/>
      <c r="D965" s="16"/>
      <c r="E965" s="16"/>
      <c r="F965" s="16"/>
      <c r="G965" s="16"/>
      <c r="H965" s="60"/>
      <c r="I965" s="60"/>
      <c r="J965" s="16"/>
    </row>
    <row r="966" spans="2:10" x14ac:dyDescent="0.3">
      <c r="B966" s="16"/>
      <c r="C966" s="60"/>
      <c r="D966" s="16"/>
      <c r="E966" s="16"/>
      <c r="F966" s="16"/>
      <c r="G966" s="16"/>
      <c r="H966" s="60"/>
      <c r="I966" s="60"/>
      <c r="J966" s="16"/>
    </row>
    <row r="967" spans="2:10" x14ac:dyDescent="0.3">
      <c r="B967" s="16"/>
      <c r="C967" s="60"/>
      <c r="D967" s="16"/>
      <c r="E967" s="16"/>
      <c r="F967" s="16"/>
      <c r="G967" s="16"/>
      <c r="H967" s="60"/>
      <c r="I967" s="60"/>
      <c r="J967" s="16"/>
    </row>
    <row r="968" spans="2:10" x14ac:dyDescent="0.3">
      <c r="B968" s="16"/>
      <c r="C968" s="60"/>
      <c r="D968" s="16"/>
      <c r="E968" s="16"/>
      <c r="F968" s="16"/>
      <c r="G968" s="16"/>
      <c r="H968" s="60"/>
      <c r="I968" s="60"/>
      <c r="J968" s="16"/>
    </row>
    <row r="969" spans="2:10" x14ac:dyDescent="0.3">
      <c r="B969" s="16"/>
      <c r="C969" s="60"/>
      <c r="D969" s="16"/>
      <c r="E969" s="16"/>
      <c r="F969" s="16"/>
      <c r="G969" s="16"/>
      <c r="H969" s="60"/>
      <c r="I969" s="60"/>
      <c r="J969" s="16"/>
    </row>
    <row r="970" spans="2:10" x14ac:dyDescent="0.3">
      <c r="B970" s="16"/>
      <c r="C970" s="60"/>
      <c r="D970" s="16"/>
      <c r="E970" s="16"/>
      <c r="F970" s="16"/>
      <c r="G970" s="16"/>
      <c r="H970" s="60"/>
      <c r="I970" s="60"/>
      <c r="J970" s="16"/>
    </row>
    <row r="971" spans="2:10" x14ac:dyDescent="0.3">
      <c r="B971" s="16"/>
      <c r="C971" s="60"/>
      <c r="D971" s="16"/>
      <c r="E971" s="16"/>
      <c r="F971" s="16"/>
      <c r="G971" s="16"/>
      <c r="H971" s="60"/>
      <c r="I971" s="60"/>
      <c r="J971" s="16"/>
    </row>
    <row r="972" spans="2:10" x14ac:dyDescent="0.3">
      <c r="B972" s="16"/>
      <c r="C972" s="60"/>
      <c r="D972" s="16"/>
      <c r="E972" s="16"/>
      <c r="F972" s="16"/>
      <c r="G972" s="16"/>
      <c r="H972" s="60"/>
      <c r="I972" s="60"/>
      <c r="J972" s="16"/>
    </row>
    <row r="973" spans="2:10" x14ac:dyDescent="0.3">
      <c r="B973" s="16"/>
      <c r="C973" s="60"/>
      <c r="D973" s="16"/>
      <c r="E973" s="16"/>
      <c r="F973" s="16"/>
      <c r="G973" s="16"/>
      <c r="H973" s="60"/>
      <c r="I973" s="60"/>
      <c r="J973" s="16"/>
    </row>
    <row r="974" spans="2:10" x14ac:dyDescent="0.3">
      <c r="B974" s="16"/>
      <c r="C974" s="60"/>
      <c r="D974" s="16"/>
      <c r="E974" s="16"/>
      <c r="F974" s="16"/>
      <c r="G974" s="16"/>
      <c r="H974" s="60"/>
      <c r="I974" s="60"/>
      <c r="J974" s="16"/>
    </row>
    <row r="975" spans="2:10" x14ac:dyDescent="0.3">
      <c r="B975" s="16"/>
      <c r="C975" s="60"/>
      <c r="D975" s="16"/>
      <c r="E975" s="16"/>
      <c r="F975" s="16"/>
      <c r="G975" s="16"/>
      <c r="H975" s="60"/>
      <c r="I975" s="60"/>
      <c r="J975" s="16"/>
    </row>
    <row r="976" spans="2:10" x14ac:dyDescent="0.3">
      <c r="B976" s="16"/>
      <c r="C976" s="60"/>
      <c r="D976" s="16"/>
      <c r="E976" s="16"/>
      <c r="F976" s="16"/>
      <c r="G976" s="16"/>
      <c r="H976" s="60"/>
      <c r="I976" s="60"/>
      <c r="J976" s="16"/>
    </row>
    <row r="977" spans="2:10" x14ac:dyDescent="0.3">
      <c r="B977" s="16"/>
      <c r="C977" s="60"/>
      <c r="D977" s="16"/>
      <c r="E977" s="16"/>
      <c r="F977" s="16"/>
      <c r="G977" s="16"/>
      <c r="H977" s="60"/>
      <c r="I977" s="60"/>
      <c r="J977" s="16"/>
    </row>
    <row r="978" spans="2:10" x14ac:dyDescent="0.3">
      <c r="B978" s="16"/>
      <c r="C978" s="60"/>
      <c r="D978" s="16"/>
      <c r="E978" s="16"/>
      <c r="F978" s="16"/>
      <c r="G978" s="16"/>
      <c r="H978" s="60"/>
      <c r="I978" s="60"/>
      <c r="J978" s="16"/>
    </row>
    <row r="979" spans="2:10" x14ac:dyDescent="0.3">
      <c r="B979" s="16"/>
      <c r="C979" s="60"/>
      <c r="D979" s="16"/>
      <c r="E979" s="16"/>
      <c r="F979" s="16"/>
      <c r="G979" s="16"/>
      <c r="H979" s="60"/>
      <c r="I979" s="60"/>
      <c r="J979" s="16"/>
    </row>
    <row r="980" spans="2:10" x14ac:dyDescent="0.3">
      <c r="B980" s="16"/>
      <c r="C980" s="60"/>
      <c r="D980" s="16"/>
      <c r="E980" s="16"/>
      <c r="F980" s="16"/>
      <c r="G980" s="16"/>
      <c r="H980" s="60"/>
      <c r="I980" s="60"/>
      <c r="J980" s="16"/>
    </row>
    <row r="981" spans="2:10" x14ac:dyDescent="0.3">
      <c r="B981" s="16"/>
      <c r="C981" s="60"/>
      <c r="D981" s="16"/>
      <c r="E981" s="16"/>
      <c r="F981" s="16"/>
      <c r="G981" s="16"/>
      <c r="H981" s="60"/>
      <c r="I981" s="60"/>
      <c r="J981" s="16"/>
    </row>
    <row r="982" spans="2:10" x14ac:dyDescent="0.3">
      <c r="B982" s="16"/>
      <c r="C982" s="60"/>
      <c r="D982" s="16"/>
      <c r="E982" s="16"/>
      <c r="F982" s="16"/>
      <c r="G982" s="16"/>
      <c r="H982" s="60"/>
      <c r="I982" s="60"/>
      <c r="J982" s="16"/>
    </row>
    <row r="983" spans="2:10" x14ac:dyDescent="0.3">
      <c r="B983" s="16"/>
      <c r="C983" s="60"/>
      <c r="D983" s="16"/>
      <c r="E983" s="16"/>
      <c r="F983" s="16"/>
      <c r="G983" s="16"/>
      <c r="H983" s="60"/>
      <c r="I983" s="60"/>
      <c r="J983" s="16"/>
    </row>
    <row r="984" spans="2:10" x14ac:dyDescent="0.3">
      <c r="B984" s="16"/>
      <c r="C984" s="60"/>
      <c r="D984" s="16"/>
      <c r="E984" s="16"/>
      <c r="F984" s="16"/>
      <c r="G984" s="16"/>
      <c r="H984" s="60"/>
      <c r="I984" s="60"/>
      <c r="J984" s="16"/>
    </row>
    <row r="985" spans="2:10" x14ac:dyDescent="0.3">
      <c r="B985" s="16"/>
      <c r="C985" s="60"/>
      <c r="D985" s="16"/>
      <c r="E985" s="16"/>
      <c r="F985" s="16"/>
      <c r="G985" s="16"/>
      <c r="H985" s="60"/>
      <c r="I985" s="60"/>
      <c r="J985" s="16"/>
    </row>
    <row r="986" spans="2:10" x14ac:dyDescent="0.3">
      <c r="B986" s="16"/>
      <c r="C986" s="60"/>
      <c r="D986" s="16"/>
      <c r="E986" s="16"/>
      <c r="F986" s="16"/>
      <c r="G986" s="16"/>
      <c r="H986" s="60"/>
      <c r="I986" s="60"/>
      <c r="J986" s="16"/>
    </row>
    <row r="987" spans="2:10" x14ac:dyDescent="0.3">
      <c r="B987" s="16"/>
      <c r="C987" s="60"/>
      <c r="D987" s="16"/>
      <c r="E987" s="16"/>
      <c r="F987" s="16"/>
      <c r="G987" s="16"/>
      <c r="H987" s="60"/>
      <c r="I987" s="60"/>
      <c r="J987" s="16"/>
    </row>
    <row r="988" spans="2:10" x14ac:dyDescent="0.3">
      <c r="B988" s="16"/>
      <c r="C988" s="60"/>
      <c r="D988" s="16"/>
      <c r="E988" s="16"/>
      <c r="F988" s="16"/>
      <c r="G988" s="16"/>
      <c r="H988" s="60"/>
      <c r="I988" s="60"/>
      <c r="J988" s="16"/>
    </row>
    <row r="989" spans="2:10" x14ac:dyDescent="0.3">
      <c r="B989" s="16"/>
      <c r="C989" s="60"/>
      <c r="D989" s="16"/>
      <c r="E989" s="16"/>
      <c r="F989" s="16"/>
      <c r="G989" s="16"/>
      <c r="H989" s="60"/>
      <c r="I989" s="60"/>
      <c r="J989" s="16"/>
    </row>
    <row r="990" spans="2:10" x14ac:dyDescent="0.3">
      <c r="B990" s="16"/>
      <c r="C990" s="60"/>
      <c r="D990" s="16"/>
      <c r="E990" s="16"/>
      <c r="F990" s="16"/>
      <c r="G990" s="16"/>
      <c r="H990" s="60"/>
      <c r="I990" s="60"/>
      <c r="J990" s="16"/>
    </row>
    <row r="991" spans="2:10" x14ac:dyDescent="0.3">
      <c r="B991" s="16"/>
      <c r="C991" s="60"/>
      <c r="D991" s="16"/>
      <c r="E991" s="16"/>
      <c r="F991" s="16"/>
      <c r="G991" s="16"/>
      <c r="H991" s="60"/>
      <c r="I991" s="60"/>
      <c r="J991" s="16"/>
    </row>
    <row r="992" spans="2:10" x14ac:dyDescent="0.3">
      <c r="B992" s="16"/>
      <c r="C992" s="60"/>
      <c r="D992" s="16"/>
      <c r="E992" s="16"/>
      <c r="F992" s="16"/>
      <c r="G992" s="16"/>
      <c r="H992" s="60"/>
      <c r="I992" s="60"/>
      <c r="J992" s="16"/>
    </row>
    <row r="993" spans="2:10" x14ac:dyDescent="0.3">
      <c r="B993" s="16"/>
      <c r="C993" s="60"/>
      <c r="D993" s="16"/>
      <c r="E993" s="16"/>
      <c r="F993" s="16"/>
      <c r="G993" s="16"/>
      <c r="H993" s="60"/>
      <c r="I993" s="60"/>
      <c r="J993" s="16"/>
    </row>
    <row r="994" spans="2:10" x14ac:dyDescent="0.3">
      <c r="B994" s="16"/>
      <c r="C994" s="60"/>
      <c r="D994" s="16"/>
      <c r="E994" s="16"/>
      <c r="F994" s="16"/>
      <c r="G994" s="16"/>
      <c r="H994" s="60"/>
      <c r="I994" s="60"/>
      <c r="J994" s="16"/>
    </row>
    <row r="995" spans="2:10" x14ac:dyDescent="0.3">
      <c r="B995" s="16"/>
      <c r="C995" s="60"/>
      <c r="D995" s="16"/>
      <c r="E995" s="16"/>
      <c r="F995" s="16"/>
      <c r="G995" s="16"/>
      <c r="H995" s="60"/>
      <c r="I995" s="60"/>
      <c r="J995" s="16"/>
    </row>
    <row r="996" spans="2:10" x14ac:dyDescent="0.3">
      <c r="B996" s="16"/>
      <c r="C996" s="60"/>
      <c r="D996" s="16"/>
      <c r="E996" s="16"/>
      <c r="F996" s="16"/>
      <c r="G996" s="16"/>
      <c r="H996" s="60"/>
      <c r="I996" s="60"/>
      <c r="J996" s="16"/>
    </row>
    <row r="997" spans="2:10" x14ac:dyDescent="0.3">
      <c r="B997" s="16"/>
      <c r="C997" s="60"/>
      <c r="D997" s="16"/>
      <c r="E997" s="16"/>
      <c r="F997" s="16"/>
      <c r="G997" s="16"/>
      <c r="H997" s="60"/>
      <c r="I997" s="60"/>
      <c r="J99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Resumen</vt:lpstr>
      <vt:lpstr>Inventario</vt:lpstr>
      <vt:lpstr>Ventas</vt:lpstr>
      <vt:lpstr>Caja Diaria</vt:lpstr>
      <vt:lpstr>Pedidos Proveedores</vt:lpstr>
      <vt:lpstr>Gastos</vt:lpstr>
      <vt:lpstr>Costos Fijos</vt:lpstr>
      <vt:lpstr>Análisis Precios</vt:lpstr>
      <vt:lpstr>P.Eq  Proyeccion</vt:lpstr>
      <vt:lpstr>Cotizador</vt:lpstr>
      <vt:lpstr>Cierre de caja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JPRE</cp:lastModifiedBy>
  <dcterms:modified xsi:type="dcterms:W3CDTF">2026-04-29T23:05:15Z</dcterms:modified>
</cp:coreProperties>
</file>